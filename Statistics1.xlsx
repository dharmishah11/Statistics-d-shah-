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458e57dc079a8/Documents/"/>
    </mc:Choice>
  </mc:AlternateContent>
  <xr:revisionPtr revIDLastSave="477" documentId="8_{DFD3F889-EADC-4092-ABF2-37462A0D0655}" xr6:coauthVersionLast="47" xr6:coauthVersionMax="47" xr10:uidLastSave="{92E9BBCC-A13D-43BA-AE0C-491FCDF7CD9C}"/>
  <bookViews>
    <workbookView xWindow="-108" yWindow="-108" windowWidth="23256" windowHeight="13896" firstSheet="7" activeTab="12" xr2:uid="{CB31A8B8-C94F-4E44-87A5-C6E882A7EA35}"/>
  </bookViews>
  <sheets>
    <sheet name="Data" sheetId="1" r:id="rId1"/>
    <sheet name="Analysis1" sheetId="2" r:id="rId2"/>
    <sheet name="Analysis2" sheetId="3" r:id="rId3"/>
    <sheet name="Analysis3" sheetId="4" r:id="rId4"/>
    <sheet name="Analysis4" sheetId="5" r:id="rId5"/>
    <sheet name="Analysis5" sheetId="6" r:id="rId6"/>
    <sheet name="Analysis6" sheetId="7" r:id="rId7"/>
    <sheet name="Analysis7" sheetId="8" r:id="rId8"/>
    <sheet name="Analysis8" sheetId="9" r:id="rId9"/>
    <sheet name="Analysis9" sheetId="10" r:id="rId10"/>
    <sheet name="Analysis10" sheetId="11" r:id="rId11"/>
    <sheet name="Analysis11" sheetId="12" r:id="rId12"/>
    <sheet name="Analysis12" sheetId="13" r:id="rId13"/>
  </sheets>
  <definedNames>
    <definedName name="_xlchart.v1.0" hidden="1">Analysis8!$M$2:$M$7</definedName>
    <definedName name="_xlchart.v1.1" hidden="1">Analysis8!$N$1</definedName>
    <definedName name="_xlchart.v1.10" hidden="1">Analysis8!$B$1</definedName>
    <definedName name="_xlchart.v1.11" hidden="1">Analysis8!$B$2:$B$9</definedName>
    <definedName name="_xlchart.v1.12" hidden="1">Analysis9!$A$1</definedName>
    <definedName name="_xlchart.v1.13" hidden="1">Analysis9!$A$2:$A$6</definedName>
    <definedName name="_xlchart.v1.14" hidden="1">Analysis9!$B$1</definedName>
    <definedName name="_xlchart.v1.15" hidden="1">Analysis9!$B$2:$B$6</definedName>
    <definedName name="_xlchart.v1.16" hidden="1">Analysis9!$A$1</definedName>
    <definedName name="_xlchart.v1.17" hidden="1">Analysis9!$A$2:$A$6</definedName>
    <definedName name="_xlchart.v1.18" hidden="1">Analysis9!$B$1</definedName>
    <definedName name="_xlchart.v1.19" hidden="1">Analysis9!$B$2:$B$6</definedName>
    <definedName name="_xlchart.v1.2" hidden="1">Analysis8!$N$2:$N$7</definedName>
    <definedName name="_xlchart.v1.3" hidden="1">Analysis8!$G$2:$G$7</definedName>
    <definedName name="_xlchart.v1.4" hidden="1">Analysis8!$H$1</definedName>
    <definedName name="_xlchart.v1.5" hidden="1">Analysis8!$H$2:$H$7</definedName>
    <definedName name="_xlchart.v1.6" hidden="1">Analysis8!$J$2:$J$7</definedName>
    <definedName name="_xlchart.v1.7" hidden="1">Analysis8!$K$1</definedName>
    <definedName name="_xlchart.v1.8" hidden="1">Analysis8!$K$2:$K$7</definedName>
    <definedName name="_xlchart.v1.9" hidden="1">Analysis8!$A$2:$A$9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2" l="1"/>
  <c r="C56" i="12"/>
  <c r="C64" i="12"/>
  <c r="C5" i="12"/>
  <c r="C28" i="12"/>
  <c r="C36" i="12"/>
  <c r="C22" i="12"/>
  <c r="B70" i="12"/>
  <c r="C70" i="12" s="1"/>
  <c r="B71" i="12"/>
  <c r="C71" i="12" s="1"/>
  <c r="B72" i="12"/>
  <c r="C72" i="12" s="1"/>
  <c r="B73" i="12"/>
  <c r="C73" i="12" s="1"/>
  <c r="B74" i="12"/>
  <c r="C74" i="12" s="1"/>
  <c r="B75" i="12"/>
  <c r="C75" i="12" s="1"/>
  <c r="B76" i="12"/>
  <c r="C76" i="12" s="1"/>
  <c r="B2" i="12"/>
  <c r="C2" i="12" s="1"/>
  <c r="B5" i="12"/>
  <c r="B3" i="12"/>
  <c r="C3" i="12" s="1"/>
  <c r="B77" i="12"/>
  <c r="C77" i="12" s="1"/>
  <c r="B78" i="12"/>
  <c r="C78" i="12" s="1"/>
  <c r="B79" i="12"/>
  <c r="C79" i="12" s="1"/>
  <c r="B80" i="12"/>
  <c r="C80" i="12" s="1"/>
  <c r="B81" i="12"/>
  <c r="C81" i="12" s="1"/>
  <c r="B82" i="12"/>
  <c r="C82" i="12" s="1"/>
  <c r="B64" i="12"/>
  <c r="B63" i="12"/>
  <c r="C63" i="12" s="1"/>
  <c r="B65" i="12"/>
  <c r="C65" i="12" s="1"/>
  <c r="B66" i="12"/>
  <c r="C66" i="12" s="1"/>
  <c r="B67" i="12"/>
  <c r="C67" i="12" s="1"/>
  <c r="B6" i="12"/>
  <c r="C6" i="12" s="1"/>
  <c r="B8" i="12"/>
  <c r="C8" i="12" s="1"/>
  <c r="B9" i="12"/>
  <c r="C9" i="12" s="1"/>
  <c r="B10" i="12"/>
  <c r="C10" i="12" s="1"/>
  <c r="B68" i="12"/>
  <c r="C68" i="12" s="1"/>
  <c r="B69" i="12"/>
  <c r="C69" i="12" s="1"/>
  <c r="B11" i="12"/>
  <c r="C11" i="12" s="1"/>
  <c r="B12" i="12"/>
  <c r="C12" i="12" s="1"/>
  <c r="B62" i="12"/>
  <c r="C62" i="12" s="1"/>
  <c r="B61" i="12"/>
  <c r="C61" i="12" s="1"/>
  <c r="B60" i="12"/>
  <c r="C60" i="12" s="1"/>
  <c r="B59" i="12"/>
  <c r="C59" i="12" s="1"/>
  <c r="B58" i="12"/>
  <c r="C58" i="12" s="1"/>
  <c r="B57" i="12"/>
  <c r="C57" i="12" s="1"/>
  <c r="B56" i="12"/>
  <c r="B55" i="12"/>
  <c r="B54" i="12"/>
  <c r="C54" i="12" s="1"/>
  <c r="B21" i="12"/>
  <c r="C21" i="12" s="1"/>
  <c r="B53" i="12"/>
  <c r="C53" i="12" s="1"/>
  <c r="B52" i="12"/>
  <c r="C52" i="12" s="1"/>
  <c r="B20" i="12"/>
  <c r="C20" i="12" s="1"/>
  <c r="B51" i="12"/>
  <c r="C51" i="12" s="1"/>
  <c r="B50" i="12"/>
  <c r="C50" i="12" s="1"/>
  <c r="B49" i="12"/>
  <c r="C49" i="12" s="1"/>
  <c r="B14" i="12"/>
  <c r="C14" i="12" s="1"/>
  <c r="B48" i="12"/>
  <c r="C48" i="12" s="1"/>
  <c r="B17" i="12"/>
  <c r="C17" i="12" s="1"/>
  <c r="B13" i="12"/>
  <c r="C13" i="12" s="1"/>
  <c r="B16" i="12"/>
  <c r="C16" i="12" s="1"/>
  <c r="B15" i="12"/>
  <c r="C15" i="12" s="1"/>
  <c r="B47" i="12"/>
  <c r="C47" i="12" s="1"/>
  <c r="B46" i="12"/>
  <c r="C46" i="12" s="1"/>
  <c r="B45" i="12"/>
  <c r="C45" i="12" s="1"/>
  <c r="B19" i="12"/>
  <c r="C19" i="12" s="1"/>
  <c r="B18" i="12"/>
  <c r="C18" i="12" s="1"/>
  <c r="B44" i="12"/>
  <c r="C44" i="12" s="1"/>
  <c r="B43" i="12"/>
  <c r="C43" i="12" s="1"/>
  <c r="B42" i="12"/>
  <c r="C42" i="12" s="1"/>
  <c r="B41" i="12"/>
  <c r="C41" i="12" s="1"/>
  <c r="B40" i="12"/>
  <c r="C40" i="12" s="1"/>
  <c r="B39" i="12"/>
  <c r="C39" i="12" s="1"/>
  <c r="B38" i="12"/>
  <c r="C38" i="12" s="1"/>
  <c r="B37" i="12"/>
  <c r="C37" i="12" s="1"/>
  <c r="B36" i="12"/>
  <c r="B35" i="12"/>
  <c r="C35" i="12" s="1"/>
  <c r="B34" i="12"/>
  <c r="C34" i="12" s="1"/>
  <c r="B33" i="12"/>
  <c r="C33" i="12" s="1"/>
  <c r="B32" i="12"/>
  <c r="C32" i="12" s="1"/>
  <c r="B31" i="12"/>
  <c r="C31" i="12" s="1"/>
  <c r="B30" i="12"/>
  <c r="C30" i="12" s="1"/>
  <c r="B29" i="12"/>
  <c r="C29" i="12" s="1"/>
  <c r="B28" i="12"/>
  <c r="B27" i="12"/>
  <c r="C27" i="12" s="1"/>
  <c r="B4" i="12"/>
  <c r="C4" i="12" s="1"/>
  <c r="B26" i="12"/>
  <c r="C26" i="12" s="1"/>
  <c r="B25" i="12"/>
  <c r="C25" i="12" s="1"/>
  <c r="B7" i="12"/>
  <c r="C7" i="12" s="1"/>
  <c r="B24" i="12"/>
  <c r="C24" i="12" s="1"/>
  <c r="B23" i="12"/>
  <c r="C23" i="12" s="1"/>
  <c r="B22" i="12"/>
  <c r="C3" i="11"/>
  <c r="C4" i="11"/>
  <c r="C5" i="11"/>
  <c r="C6" i="11"/>
  <c r="C2" i="11"/>
  <c r="B3" i="11"/>
  <c r="B4" i="11"/>
  <c r="B5" i="11"/>
  <c r="B6" i="11"/>
  <c r="B2" i="11"/>
  <c r="F3" i="10"/>
  <c r="F2" i="10"/>
  <c r="F1" i="10"/>
  <c r="B6" i="10"/>
  <c r="B5" i="10"/>
  <c r="B4" i="10"/>
  <c r="B3" i="10"/>
  <c r="B2" i="10"/>
  <c r="A6" i="10"/>
  <c r="A5" i="10"/>
  <c r="A4" i="10"/>
  <c r="A3" i="10"/>
  <c r="A2" i="10"/>
  <c r="N3" i="9"/>
  <c r="N4" i="9"/>
  <c r="N5" i="9"/>
  <c r="N6" i="9"/>
  <c r="N7" i="9"/>
  <c r="N2" i="9"/>
  <c r="K2" i="9"/>
  <c r="K3" i="9"/>
  <c r="K4" i="9"/>
  <c r="K5" i="9"/>
  <c r="K6" i="9"/>
  <c r="K7" i="9"/>
  <c r="H2" i="9"/>
  <c r="H3" i="9"/>
  <c r="H4" i="9"/>
  <c r="H5" i="9"/>
  <c r="H6" i="9"/>
  <c r="H7" i="9"/>
  <c r="E3" i="9"/>
  <c r="E4" i="9"/>
  <c r="E5" i="9"/>
  <c r="E6" i="9"/>
  <c r="E2" i="9"/>
  <c r="B2" i="9"/>
  <c r="B3" i="9"/>
  <c r="B4" i="9"/>
  <c r="B5" i="9"/>
  <c r="B6" i="9"/>
  <c r="B7" i="9"/>
  <c r="B8" i="9"/>
  <c r="B9" i="9"/>
  <c r="C32" i="8"/>
  <c r="C33" i="8"/>
  <c r="C34" i="8"/>
  <c r="C35" i="8"/>
  <c r="C36" i="8"/>
  <c r="C31" i="8"/>
  <c r="C22" i="8"/>
  <c r="B32" i="8"/>
  <c r="B33" i="8"/>
  <c r="B34" i="8"/>
  <c r="B35" i="8"/>
  <c r="B36" i="8"/>
  <c r="B31" i="8"/>
  <c r="B24" i="8"/>
  <c r="D20" i="8"/>
  <c r="D21" i="8"/>
  <c r="D22" i="8"/>
  <c r="D23" i="8"/>
  <c r="D24" i="8"/>
  <c r="D19" i="8"/>
  <c r="D3" i="8"/>
  <c r="C20" i="8"/>
  <c r="C21" i="8"/>
  <c r="C23" i="8"/>
  <c r="C24" i="8"/>
  <c r="C19" i="8"/>
  <c r="C2" i="7"/>
  <c r="B20" i="8"/>
  <c r="B21" i="8"/>
  <c r="B22" i="8"/>
  <c r="B23" i="8"/>
  <c r="B19" i="8"/>
  <c r="B3" i="8"/>
  <c r="D4" i="8"/>
  <c r="D5" i="8"/>
  <c r="D6" i="8"/>
  <c r="D7" i="8"/>
  <c r="D8" i="8"/>
  <c r="C4" i="8"/>
  <c r="C5" i="8"/>
  <c r="C6" i="8"/>
  <c r="C7" i="8"/>
  <c r="C8" i="8"/>
  <c r="C3" i="8"/>
  <c r="B4" i="8"/>
  <c r="B5" i="8"/>
  <c r="B6" i="8"/>
  <c r="B7" i="8"/>
  <c r="B8" i="8"/>
  <c r="B2" i="7"/>
  <c r="D3" i="7"/>
  <c r="D4" i="7"/>
  <c r="D5" i="7"/>
  <c r="D6" i="7"/>
  <c r="D2" i="7"/>
  <c r="C3" i="7"/>
  <c r="C4" i="7"/>
  <c r="C5" i="7"/>
  <c r="C6" i="7"/>
  <c r="B3" i="7"/>
  <c r="B4" i="7"/>
  <c r="B5" i="7"/>
  <c r="B6" i="7"/>
  <c r="F4" i="6"/>
  <c r="F5" i="6"/>
  <c r="F6" i="6"/>
  <c r="F3" i="6"/>
  <c r="A4" i="5"/>
  <c r="A3" i="5"/>
  <c r="A2" i="5"/>
  <c r="A1" i="5"/>
  <c r="C6" i="4"/>
  <c r="C9" i="4"/>
  <c r="C2" i="4"/>
  <c r="C15" i="4"/>
  <c r="C7" i="4"/>
  <c r="C13" i="4"/>
  <c r="C21" i="4"/>
  <c r="C23" i="4"/>
  <c r="C20" i="4"/>
  <c r="C3" i="4"/>
  <c r="C16" i="4"/>
  <c r="C14" i="4"/>
  <c r="C25" i="4"/>
  <c r="C26" i="4"/>
  <c r="C22" i="4"/>
  <c r="C5" i="4"/>
  <c r="C12" i="4"/>
  <c r="C4" i="4"/>
  <c r="C8" i="4"/>
  <c r="C17" i="4"/>
  <c r="C11" i="4"/>
  <c r="C24" i="4"/>
  <c r="C18" i="4"/>
  <c r="C19" i="4"/>
  <c r="C10" i="4"/>
  <c r="B10" i="4"/>
  <c r="B6" i="4"/>
  <c r="B9" i="4"/>
  <c r="B2" i="4"/>
  <c r="B15" i="4"/>
  <c r="B7" i="4"/>
  <c r="B13" i="4"/>
  <c r="B21" i="4"/>
  <c r="B23" i="4"/>
  <c r="B20" i="4"/>
  <c r="B3" i="4"/>
  <c r="B16" i="4"/>
  <c r="B14" i="4"/>
  <c r="B25" i="4"/>
  <c r="B26" i="4"/>
  <c r="B22" i="4"/>
  <c r="B5" i="4"/>
  <c r="B12" i="4"/>
  <c r="B4" i="4"/>
  <c r="B8" i="4"/>
  <c r="B17" i="4"/>
  <c r="B11" i="4"/>
  <c r="B24" i="4"/>
  <c r="B18" i="4"/>
  <c r="B19" i="4"/>
  <c r="C3" i="3"/>
  <c r="C4" i="3"/>
  <c r="C5" i="3"/>
  <c r="C6" i="3"/>
  <c r="C7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<sst xmlns="http://schemas.openxmlformats.org/spreadsheetml/2006/main" count="56435" uniqueCount="275">
  <si>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</si>
  <si>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</si>
  <si>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</si>
  <si>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</si>
  <si>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</si>
  <si>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</si>
  <si>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</si>
  <si>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</si>
  <si>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</si>
  <si>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</si>
  <si>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</si>
  <si>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</si>
  <si>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</si>
  <si>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</si>
  <si>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</si>
  <si>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</si>
  <si>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</si>
  <si>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</si>
  <si>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</si>
  <si>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</si>
  <si>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</si>
  <si>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</si>
  <si>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</si>
  <si>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</si>
  <si>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</si>
  <si>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</si>
  <si>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</si>
  <si>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</si>
  <si>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</si>
  <si>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</si>
  <si>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</si>
  <si>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</si>
  <si>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</si>
  <si>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</si>
  <si>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</si>
  <si>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</si>
  <si>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</si>
  <si>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</si>
  <si>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</si>
  <si>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</si>
  <si>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</si>
  <si>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</si>
  <si>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</si>
  <si>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</si>
  <si>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</si>
  <si>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</si>
  <si>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</si>
  <si>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</si>
  <si>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</si>
  <si>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</si>
  <si>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</si>
  <si>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</si>
  <si>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</si>
  <si>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</si>
  <si>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</si>
  <si>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</si>
  <si>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</si>
  <si>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</si>
  <si>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</si>
  <si>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</si>
  <si>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</si>
  <si>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</si>
  <si>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</si>
  <si>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</si>
  <si>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</si>
  <si>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</si>
  <si>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</si>
  <si>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</si>
  <si>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</si>
  <si>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</si>
  <si>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</si>
  <si>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</si>
  <si>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</si>
  <si>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</si>
  <si>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</si>
  <si>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</si>
  <si>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</si>
  <si>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</si>
  <si>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</si>
  <si>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</si>
  <si>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</si>
  <si>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</si>
  <si>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</si>
  <si>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</si>
  <si>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</si>
  <si>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</si>
  <si>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</si>
  <si>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</si>
  <si>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</si>
  <si>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</si>
  <si>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</si>
  <si>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</si>
  <si>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</si>
  <si>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</si>
  <si>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</si>
  <si>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</si>
  <si>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</si>
  <si>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</si>
  <si>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</si>
  <si>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</si>
  <si>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</si>
  <si>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</si>
  <si>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</si>
  <si>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</si>
  <si>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</si>
  <si>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</si>
  <si>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</si>
  <si>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</si>
  <si>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</si>
  <si>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</si>
  <si>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</si>
  <si>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</si>
  <si>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</si>
  <si>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</si>
  <si>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</si>
  <si>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</si>
  <si>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</si>
  <si>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</si>
  <si>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</si>
  <si>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</si>
  <si>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</si>
  <si>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</si>
  <si>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</si>
  <si>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</si>
  <si>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</si>
  <si>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</si>
  <si>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</si>
  <si>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</si>
  <si>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</si>
  <si>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</si>
  <si>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</si>
  <si>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</si>
  <si>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</si>
  <si>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</si>
  <si>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</si>
  <si>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</si>
  <si>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</si>
  <si>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</si>
  <si>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</si>
  <si>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</si>
  <si>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</si>
  <si>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</si>
  <si>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</si>
  <si>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</si>
  <si>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</si>
  <si>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</si>
  <si>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</si>
  <si>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</si>
  <si>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</si>
  <si>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</si>
  <si>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</si>
  <si>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</si>
  <si>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</si>
  <si>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</si>
  <si>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</si>
  <si>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</si>
  <si>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</si>
  <si>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</si>
  <si>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</si>
  <si>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</si>
  <si>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</si>
  <si>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</si>
  <si>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</si>
  <si>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</si>
  <si>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</si>
  <si>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</si>
  <si>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</si>
  <si>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</si>
  <si>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</si>
  <si>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</si>
  <si>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</si>
  <si>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</si>
  <si>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</si>
  <si>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</si>
  <si>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</si>
  <si>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</si>
  <si>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</si>
  <si>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</si>
  <si>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</si>
  <si>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</si>
  <si>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</si>
  <si>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</si>
  <si>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</si>
  <si>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</si>
  <si>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</si>
  <si>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</si>
  <si>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</si>
  <si>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</si>
  <si>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</si>
  <si>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</si>
  <si>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</si>
  <si>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</si>
  <si>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</si>
  <si>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</si>
  <si>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</si>
  <si>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</si>
  <si>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</si>
  <si>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</si>
  <si>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</si>
  <si>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</si>
  <si>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</si>
  <si>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</si>
  <si>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</si>
  <si>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</si>
  <si>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</si>
  <si>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</si>
  <si>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</si>
  <si>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</si>
  <si>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</si>
  <si>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</si>
  <si>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</si>
  <si>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</si>
  <si>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</si>
  <si>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</si>
  <si>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</si>
  <si>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</si>
  <si>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</si>
  <si>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</si>
  <si>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</si>
  <si>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</si>
  <si>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</si>
  <si>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</si>
  <si>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</si>
  <si>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</si>
  <si>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</si>
  <si>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</si>
  <si>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</si>
  <si>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</si>
  <si>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</si>
  <si>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</si>
  <si>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</si>
  <si>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</si>
  <si>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</si>
  <si>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</si>
  <si>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</si>
  <si>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</si>
  <si>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</si>
  <si>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</si>
  <si>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</si>
  <si>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</si>
  <si>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</si>
  <si>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</si>
  <si>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</si>
  <si>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</si>
  <si>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</si>
  <si>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</si>
  <si>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</si>
  <si>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</si>
  <si>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</si>
  <si>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</si>
  <si>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</si>
  <si>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</si>
  <si>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</si>
  <si>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</si>
  <si>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</si>
  <si>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Count</t>
  </si>
  <si>
    <t>Average</t>
  </si>
  <si>
    <t>Correl=</t>
  </si>
  <si>
    <t>Bedroom</t>
  </si>
  <si>
    <t>Correl</t>
  </si>
  <si>
    <t>Bathroom</t>
  </si>
  <si>
    <t>Fireplace</t>
  </si>
  <si>
    <t>Highest Price</t>
  </si>
  <si>
    <t>Lowest Price</t>
  </si>
  <si>
    <t>Q1</t>
  </si>
  <si>
    <t>Q3</t>
  </si>
  <si>
    <t>Upper limit</t>
  </si>
  <si>
    <t>Year</t>
  </si>
  <si>
    <t>KitchebvGr</t>
  </si>
  <si>
    <t>Functiol</t>
  </si>
  <si>
    <t>mes</t>
  </si>
  <si>
    <t>Column1</t>
  </si>
  <si>
    <t>Column2</t>
  </si>
  <si>
    <t>From the Analysis 1, Overall Quality and GrLivArea can help in prediction.</t>
  </si>
  <si>
    <t>Empty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</si>
</sst>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11" fillId="6" borderId="4" xfId="1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Analysis1!$B$1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Analysis1!$A$2:$A$7</c:f>
              <c:strCache>
                <c:ptCount val="6"/>
                <c:pt idx="0">
                  <c:v>OverallQual</c:v>
                </c:pt>
                <c:pt idx="1">
                  <c:v>GrLivArea</c:v>
                </c:pt>
                <c:pt idx="2">
                  <c:v>TotalBsmtSF</c:v>
                </c:pt>
                <c:pt idx="3">
                  <c:v>GarageCars</c:v>
                </c:pt>
                <c:pt idx="4">
                  <c:v>GarageArea</c:v>
                </c:pt>
                <c:pt idx="5">
                  <c:v>YearBuilt</c:v>
                </c:pt>
              </c:strCache>
            </c:strRef>
          </c:cat>
          <c:val>
            <c:numRef>
              <c:f>Analysis1!$B$2:$B$7</c:f>
              <c:numCache>
                <c:formatCode>General</c:formatCode>
                <c:ptCount val="6"/>
                <c:pt idx="0">
                  <c:v>0.79098160058380473</c:v>
                </c:pt>
                <c:pt idx="1">
                  <c:v>0.70862447761265124</c:v>
                </c:pt>
                <c:pt idx="2">
                  <c:v>0.61358055155919444</c:v>
                </c:pt>
                <c:pt idx="3">
                  <c:v>0.64040919725834911</c:v>
                </c:pt>
                <c:pt idx="4">
                  <c:v>0.62343143891835995</c:v>
                </c:pt>
                <c:pt idx="5">
                  <c:v>0.5228973328794968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286-9B54-28817337CB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Analysis2!$A$2:$A$11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804-BE69-E06D3EFCD7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Analysis2!$B$2:$B$11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20</c:v>
                </c:pt>
                <c:pt idx="3">
                  <c:v>116</c:v>
                </c:pt>
                <c:pt idx="4">
                  <c:v>397</c:v>
                </c:pt>
                <c:pt idx="5">
                  <c:v>374</c:v>
                </c:pt>
                <c:pt idx="6">
                  <c:v>319</c:v>
                </c:pt>
                <c:pt idx="7">
                  <c:v>168</c:v>
                </c:pt>
                <c:pt idx="8">
                  <c:v>43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3-4804-BE69-E06D3EFCD7F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Analysis2!$C$2:$C$11</c:f>
              <c:numCache>
                <c:formatCode>General</c:formatCode>
                <c:ptCount val="10"/>
                <c:pt idx="0">
                  <c:v>50150</c:v>
                </c:pt>
                <c:pt idx="1">
                  <c:v>51770.333333333336</c:v>
                </c:pt>
                <c:pt idx="2">
                  <c:v>87473.75</c:v>
                </c:pt>
                <c:pt idx="3">
                  <c:v>108420.6551724138</c:v>
                </c:pt>
                <c:pt idx="4">
                  <c:v>133523.34760705288</c:v>
                </c:pt>
                <c:pt idx="5">
                  <c:v>161603.0347593583</c:v>
                </c:pt>
                <c:pt idx="6">
                  <c:v>207716.42319749217</c:v>
                </c:pt>
                <c:pt idx="7">
                  <c:v>274735.53571428574</c:v>
                </c:pt>
                <c:pt idx="8">
                  <c:v>367513.02325581393</c:v>
                </c:pt>
                <c:pt idx="9">
                  <c:v>438588.38888888888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3-4804-BE69-E06D3EFC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1749312"/>
        <c:axId val="1521252400"/>
      </c:barChart>
      <c:catAx>
        <c:axId val="120174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52400"/>
        <c:crosses val="autoZero"/>
        <c:auto val="1"/>
        <c:lblAlgn val="ctr"/>
        <c:lblOffset val="100"/>
        <c:noMultiLvlLbl val="0"/>
      </c:catAx>
      <c:valAx>
        <c:axId val="15212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Analysis3!$B$1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Analysis3!$A$2:$A$26</c:f>
              <c:strCache>
                <c:ptCount val="25"/>
                <c:pt idx="0">
                  <c:v>NoRidge</c:v>
                </c:pt>
                <c:pt idx="1">
                  <c:v>NridgHt</c:v>
                </c:pt>
                <c:pt idx="2">
                  <c:v>StoneBr</c:v>
                </c:pt>
                <c:pt idx="3">
                  <c:v>Timber</c:v>
                </c:pt>
                <c:pt idx="4">
                  <c:v>Veenker</c:v>
                </c:pt>
                <c:pt idx="5">
                  <c:v>Somerst</c:v>
                </c:pt>
                <c:pt idx="6">
                  <c:v>ClearCr</c:v>
                </c:pt>
                <c:pt idx="7">
                  <c:v>Crawfor</c:v>
                </c:pt>
                <c:pt idx="8">
                  <c:v>CollgCr</c:v>
                </c:pt>
                <c:pt idx="9">
                  <c:v>Blmngtn</c:v>
                </c:pt>
                <c:pt idx="10">
                  <c:v>Gilbert</c:v>
                </c:pt>
                <c:pt idx="11">
                  <c:v>NWAmes</c:v>
                </c:pt>
                <c:pt idx="12">
                  <c:v>SawyerW</c:v>
                </c:pt>
                <c:pt idx="13">
                  <c:v>Mitchel</c:v>
                </c:pt>
                <c:pt idx="14">
                  <c:v>NAmes</c:v>
                </c:pt>
                <c:pt idx="15">
                  <c:v>NPkVill</c:v>
                </c:pt>
                <c:pt idx="16">
                  <c:v>SWISU</c:v>
                </c:pt>
                <c:pt idx="17">
                  <c:v>Blueste</c:v>
                </c:pt>
                <c:pt idx="18">
                  <c:v>Sawyer</c:v>
                </c:pt>
                <c:pt idx="19">
                  <c:v>OldTown</c:v>
                </c:pt>
                <c:pt idx="20">
                  <c:v>Edwards</c:v>
                </c:pt>
                <c:pt idx="21">
                  <c:v>BrkSide</c:v>
                </c:pt>
                <c:pt idx="22">
                  <c:v>BrDale</c:v>
                </c:pt>
                <c:pt idx="23">
                  <c:v>IDOTRR</c:v>
                </c:pt>
                <c:pt idx="24">
                  <c:v>MeadowV</c:v>
                </c:pt>
              </c:strCache>
            </c:strRef>
          </c:cat>
          <c:val>
            <c:numRef>
              <c:f>Analysis3!$B$2:$B$26</c:f>
              <c:numCache>
                <c:formatCode>General</c:formatCode>
                <c:ptCount val="25"/>
                <c:pt idx="0">
                  <c:v>335295.31707317074</c:v>
                </c:pt>
                <c:pt idx="1">
                  <c:v>316270.62337662338</c:v>
                </c:pt>
                <c:pt idx="2">
                  <c:v>310499</c:v>
                </c:pt>
                <c:pt idx="3">
                  <c:v>242247.44736842104</c:v>
                </c:pt>
                <c:pt idx="4">
                  <c:v>238772.72727272726</c:v>
                </c:pt>
                <c:pt idx="5">
                  <c:v>225379.83720930232</c:v>
                </c:pt>
                <c:pt idx="6">
                  <c:v>212565.42857142858</c:v>
                </c:pt>
                <c:pt idx="7">
                  <c:v>210624.72549019608</c:v>
                </c:pt>
                <c:pt idx="8">
                  <c:v>197965.77333333335</c:v>
                </c:pt>
                <c:pt idx="9">
                  <c:v>194870.88235294117</c:v>
                </c:pt>
                <c:pt idx="10">
                  <c:v>192854.50632911394</c:v>
                </c:pt>
                <c:pt idx="11">
                  <c:v>189050.0684931507</c:v>
                </c:pt>
                <c:pt idx="12">
                  <c:v>186555.79661016949</c:v>
                </c:pt>
                <c:pt idx="13">
                  <c:v>156270.12244897959</c:v>
                </c:pt>
                <c:pt idx="14">
                  <c:v>0</c:v>
                </c:pt>
                <c:pt idx="15">
                  <c:v>142694.44444444444</c:v>
                </c:pt>
                <c:pt idx="16">
                  <c:v>142591.35999999999</c:v>
                </c:pt>
                <c:pt idx="17">
                  <c:v>137500</c:v>
                </c:pt>
                <c:pt idx="18">
                  <c:v>136793.13513513515</c:v>
                </c:pt>
                <c:pt idx="19">
                  <c:v>128225.30088495575</c:v>
                </c:pt>
                <c:pt idx="20">
                  <c:v>128219.7</c:v>
                </c:pt>
                <c:pt idx="21">
                  <c:v>124834.05172413793</c:v>
                </c:pt>
                <c:pt idx="22">
                  <c:v>104493.75</c:v>
                </c:pt>
                <c:pt idx="23">
                  <c:v>100123.78378378379</c:v>
                </c:pt>
                <c:pt idx="24">
                  <c:v>98576.470588235301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0-4849-A210-E7B2277C4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9737456"/>
        <c:axId val="1521245200"/>
      </c:barChart>
      <c:catAx>
        <c:axId val="167973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45200"/>
        <c:crosses val="autoZero"/>
        <c:auto val="1"/>
        <c:lblAlgn val="ctr"/>
        <c:lblOffset val="100"/>
        <c:noMultiLvlLbl val="0"/>
      </c:catAx>
      <c:valAx>
        <c:axId val="152124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Analysis4!$C$1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Analysis4!$B$2:$B$1461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Analysis4!$C$2:$C$1461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E-48B2-907B-7EDBEF171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139376"/>
        <c:axId val="1043342480"/>
      </c:scatterChart>
      <c:valAx>
        <c:axId val="16441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42480"/>
        <c:crosses val="autoZero"/>
        <c:crossBetween val="midCat"/>
      </c:valAx>
      <c:valAx>
        <c:axId val="10433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Analysis5!$C$1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4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Analysis5!$B$2:$B$1461</c:f>
              <c:numCache>
                <c:formatCode>General</c:formatCode>
                <c:ptCount val="1460"/>
                <c:pt idx="0">
                  <c:v>2003</c:v>
                </c:pt>
                <c:pt idx="1">
                  <c:v>1976</c:v>
                </c:pt>
                <c:pt idx="2">
                  <c:v>2002</c:v>
                </c:pt>
                <c:pt idx="3">
                  <c:v>1970</c:v>
                </c:pt>
                <c:pt idx="4">
                  <c:v>2000</c:v>
                </c:pt>
                <c:pt idx="5">
                  <c:v>1995</c:v>
                </c:pt>
                <c:pt idx="6">
                  <c:v>2005</c:v>
                </c:pt>
                <c:pt idx="7">
                  <c:v>1973</c:v>
                </c:pt>
                <c:pt idx="8">
                  <c:v>1950</c:v>
                </c:pt>
                <c:pt idx="9">
                  <c:v>1950</c:v>
                </c:pt>
                <c:pt idx="10">
                  <c:v>1965</c:v>
                </c:pt>
                <c:pt idx="11">
                  <c:v>2006</c:v>
                </c:pt>
                <c:pt idx="12">
                  <c:v>1962</c:v>
                </c:pt>
                <c:pt idx="13">
                  <c:v>2007</c:v>
                </c:pt>
                <c:pt idx="14">
                  <c:v>1960</c:v>
                </c:pt>
                <c:pt idx="15">
                  <c:v>2001</c:v>
                </c:pt>
                <c:pt idx="16">
                  <c:v>1970</c:v>
                </c:pt>
                <c:pt idx="17">
                  <c:v>1967</c:v>
                </c:pt>
                <c:pt idx="18">
                  <c:v>2004</c:v>
                </c:pt>
                <c:pt idx="19">
                  <c:v>1965</c:v>
                </c:pt>
                <c:pt idx="20">
                  <c:v>2006</c:v>
                </c:pt>
                <c:pt idx="21">
                  <c:v>1950</c:v>
                </c:pt>
                <c:pt idx="22">
                  <c:v>2002</c:v>
                </c:pt>
                <c:pt idx="23">
                  <c:v>1976</c:v>
                </c:pt>
                <c:pt idx="24">
                  <c:v>2001</c:v>
                </c:pt>
                <c:pt idx="25">
                  <c:v>2007</c:v>
                </c:pt>
                <c:pt idx="26">
                  <c:v>2000</c:v>
                </c:pt>
                <c:pt idx="27">
                  <c:v>2008</c:v>
                </c:pt>
                <c:pt idx="28">
                  <c:v>1997</c:v>
                </c:pt>
                <c:pt idx="29">
                  <c:v>1950</c:v>
                </c:pt>
                <c:pt idx="30">
                  <c:v>1950</c:v>
                </c:pt>
                <c:pt idx="31">
                  <c:v>2006</c:v>
                </c:pt>
                <c:pt idx="32">
                  <c:v>2007</c:v>
                </c:pt>
                <c:pt idx="33">
                  <c:v>1959</c:v>
                </c:pt>
                <c:pt idx="34">
                  <c:v>2005</c:v>
                </c:pt>
                <c:pt idx="35">
                  <c:v>2005</c:v>
                </c:pt>
                <c:pt idx="36">
                  <c:v>1995</c:v>
                </c:pt>
                <c:pt idx="37">
                  <c:v>1990</c:v>
                </c:pt>
                <c:pt idx="38">
                  <c:v>2007</c:v>
                </c:pt>
                <c:pt idx="39">
                  <c:v>1955</c:v>
                </c:pt>
                <c:pt idx="40">
                  <c:v>1965</c:v>
                </c:pt>
                <c:pt idx="41">
                  <c:v>1959</c:v>
                </c:pt>
                <c:pt idx="42">
                  <c:v>1983</c:v>
                </c:pt>
                <c:pt idx="43">
                  <c:v>1980</c:v>
                </c:pt>
                <c:pt idx="44">
                  <c:v>1959</c:v>
                </c:pt>
                <c:pt idx="45">
                  <c:v>2005</c:v>
                </c:pt>
                <c:pt idx="46">
                  <c:v>2003</c:v>
                </c:pt>
                <c:pt idx="47">
                  <c:v>2006</c:v>
                </c:pt>
                <c:pt idx="48">
                  <c:v>2008</c:v>
                </c:pt>
                <c:pt idx="49">
                  <c:v>1966</c:v>
                </c:pt>
                <c:pt idx="50">
                  <c:v>1997</c:v>
                </c:pt>
                <c:pt idx="51">
                  <c:v>1950</c:v>
                </c:pt>
                <c:pt idx="52">
                  <c:v>1963</c:v>
                </c:pt>
                <c:pt idx="53">
                  <c:v>1987</c:v>
                </c:pt>
                <c:pt idx="54">
                  <c:v>1955</c:v>
                </c:pt>
                <c:pt idx="55">
                  <c:v>1964</c:v>
                </c:pt>
                <c:pt idx="56">
                  <c:v>2000</c:v>
                </c:pt>
                <c:pt idx="57">
                  <c:v>2004</c:v>
                </c:pt>
                <c:pt idx="58">
                  <c:v>2006</c:v>
                </c:pt>
                <c:pt idx="59">
                  <c:v>1972</c:v>
                </c:pt>
                <c:pt idx="60">
                  <c:v>2004</c:v>
                </c:pt>
                <c:pt idx="61">
                  <c:v>1996</c:v>
                </c:pt>
                <c:pt idx="62">
                  <c:v>2006</c:v>
                </c:pt>
                <c:pt idx="63">
                  <c:v>1950</c:v>
                </c:pt>
                <c:pt idx="64">
                  <c:v>1998</c:v>
                </c:pt>
                <c:pt idx="65">
                  <c:v>2005</c:v>
                </c:pt>
                <c:pt idx="66">
                  <c:v>1989</c:v>
                </c:pt>
                <c:pt idx="67">
                  <c:v>2003</c:v>
                </c:pt>
                <c:pt idx="68">
                  <c:v>1950</c:v>
                </c:pt>
                <c:pt idx="69">
                  <c:v>1953</c:v>
                </c:pt>
                <c:pt idx="70">
                  <c:v>1973</c:v>
                </c:pt>
                <c:pt idx="71">
                  <c:v>2006</c:v>
                </c:pt>
                <c:pt idx="72">
                  <c:v>1998</c:v>
                </c:pt>
                <c:pt idx="73">
                  <c:v>2003</c:v>
                </c:pt>
                <c:pt idx="74">
                  <c:v>1950</c:v>
                </c:pt>
                <c:pt idx="75">
                  <c:v>1973</c:v>
                </c:pt>
                <c:pt idx="76">
                  <c:v>1956</c:v>
                </c:pt>
                <c:pt idx="77">
                  <c:v>2001</c:v>
                </c:pt>
                <c:pt idx="78">
                  <c:v>1968</c:v>
                </c:pt>
                <c:pt idx="79">
                  <c:v>1981</c:v>
                </c:pt>
                <c:pt idx="80">
                  <c:v>1968</c:v>
                </c:pt>
                <c:pt idx="81">
                  <c:v>1998</c:v>
                </c:pt>
                <c:pt idx="82">
                  <c:v>2007</c:v>
                </c:pt>
                <c:pt idx="83">
                  <c:v>1960</c:v>
                </c:pt>
                <c:pt idx="84">
                  <c:v>1996</c:v>
                </c:pt>
                <c:pt idx="85">
                  <c:v>1992</c:v>
                </c:pt>
                <c:pt idx="86">
                  <c:v>2005</c:v>
                </c:pt>
                <c:pt idx="87">
                  <c:v>2009</c:v>
                </c:pt>
                <c:pt idx="88">
                  <c:v>1982</c:v>
                </c:pt>
                <c:pt idx="89">
                  <c:v>1995</c:v>
                </c:pt>
                <c:pt idx="90">
                  <c:v>1950</c:v>
                </c:pt>
                <c:pt idx="91">
                  <c:v>1961</c:v>
                </c:pt>
                <c:pt idx="92">
                  <c:v>2006</c:v>
                </c:pt>
                <c:pt idx="93">
                  <c:v>1998</c:v>
                </c:pt>
                <c:pt idx="94">
                  <c:v>1997</c:v>
                </c:pt>
                <c:pt idx="95">
                  <c:v>1993</c:v>
                </c:pt>
                <c:pt idx="96">
                  <c:v>1999</c:v>
                </c:pt>
                <c:pt idx="97">
                  <c:v>1965</c:v>
                </c:pt>
                <c:pt idx="98">
                  <c:v>1950</c:v>
                </c:pt>
                <c:pt idx="99">
                  <c:v>1959</c:v>
                </c:pt>
                <c:pt idx="100">
                  <c:v>2001</c:v>
                </c:pt>
                <c:pt idx="101">
                  <c:v>1985</c:v>
                </c:pt>
                <c:pt idx="102">
                  <c:v>1979</c:v>
                </c:pt>
                <c:pt idx="103">
                  <c:v>2009</c:v>
                </c:pt>
                <c:pt idx="104">
                  <c:v>1950</c:v>
                </c:pt>
                <c:pt idx="105">
                  <c:v>2004</c:v>
                </c:pt>
                <c:pt idx="106">
                  <c:v>1995</c:v>
                </c:pt>
                <c:pt idx="107">
                  <c:v>1950</c:v>
                </c:pt>
                <c:pt idx="108">
                  <c:v>2005</c:v>
                </c:pt>
                <c:pt idx="109">
                  <c:v>1977</c:v>
                </c:pt>
                <c:pt idx="110">
                  <c:v>1972</c:v>
                </c:pt>
                <c:pt idx="111">
                  <c:v>2000</c:v>
                </c:pt>
                <c:pt idx="112">
                  <c:v>2007</c:v>
                </c:pt>
                <c:pt idx="113">
                  <c:v>1953</c:v>
                </c:pt>
                <c:pt idx="114">
                  <c:v>2002</c:v>
                </c:pt>
                <c:pt idx="115">
                  <c:v>1999</c:v>
                </c:pt>
                <c:pt idx="116">
                  <c:v>1962</c:v>
                </c:pt>
                <c:pt idx="117">
                  <c:v>2007</c:v>
                </c:pt>
                <c:pt idx="118">
                  <c:v>1990</c:v>
                </c:pt>
                <c:pt idx="119">
                  <c:v>2006</c:v>
                </c:pt>
                <c:pt idx="120">
                  <c:v>1969</c:v>
                </c:pt>
                <c:pt idx="121">
                  <c:v>1950</c:v>
                </c:pt>
                <c:pt idx="122">
                  <c:v>1958</c:v>
                </c:pt>
                <c:pt idx="123">
                  <c:v>1993</c:v>
                </c:pt>
                <c:pt idx="124">
                  <c:v>1998</c:v>
                </c:pt>
                <c:pt idx="125">
                  <c:v>1982</c:v>
                </c:pt>
                <c:pt idx="126">
                  <c:v>1976</c:v>
                </c:pt>
                <c:pt idx="127">
                  <c:v>1950</c:v>
                </c:pt>
                <c:pt idx="128">
                  <c:v>1966</c:v>
                </c:pt>
                <c:pt idx="129">
                  <c:v>1991</c:v>
                </c:pt>
                <c:pt idx="130">
                  <c:v>1966</c:v>
                </c:pt>
                <c:pt idx="131">
                  <c:v>2000</c:v>
                </c:pt>
                <c:pt idx="132">
                  <c:v>2002</c:v>
                </c:pt>
                <c:pt idx="133">
                  <c:v>2002</c:v>
                </c:pt>
                <c:pt idx="134">
                  <c:v>1993</c:v>
                </c:pt>
                <c:pt idx="135">
                  <c:v>1970</c:v>
                </c:pt>
                <c:pt idx="136">
                  <c:v>1967</c:v>
                </c:pt>
                <c:pt idx="137">
                  <c:v>1989</c:v>
                </c:pt>
                <c:pt idx="138">
                  <c:v>2000</c:v>
                </c:pt>
                <c:pt idx="139">
                  <c:v>1997</c:v>
                </c:pt>
                <c:pt idx="140">
                  <c:v>1971</c:v>
                </c:pt>
                <c:pt idx="141">
                  <c:v>2005</c:v>
                </c:pt>
                <c:pt idx="142">
                  <c:v>1952</c:v>
                </c:pt>
                <c:pt idx="143">
                  <c:v>1999</c:v>
                </c:pt>
                <c:pt idx="144">
                  <c:v>1963</c:v>
                </c:pt>
                <c:pt idx="145">
                  <c:v>2006</c:v>
                </c:pt>
                <c:pt idx="146">
                  <c:v>1993</c:v>
                </c:pt>
                <c:pt idx="147">
                  <c:v>2001</c:v>
                </c:pt>
                <c:pt idx="148">
                  <c:v>2005</c:v>
                </c:pt>
                <c:pt idx="149">
                  <c:v>1950</c:v>
                </c:pt>
                <c:pt idx="150">
                  <c:v>1975</c:v>
                </c:pt>
                <c:pt idx="151">
                  <c:v>2008</c:v>
                </c:pt>
                <c:pt idx="152">
                  <c:v>1971</c:v>
                </c:pt>
                <c:pt idx="153">
                  <c:v>1975</c:v>
                </c:pt>
                <c:pt idx="154">
                  <c:v>1950</c:v>
                </c:pt>
                <c:pt idx="155">
                  <c:v>1950</c:v>
                </c:pt>
                <c:pt idx="156">
                  <c:v>1950</c:v>
                </c:pt>
                <c:pt idx="157">
                  <c:v>2010</c:v>
                </c:pt>
                <c:pt idx="158">
                  <c:v>2005</c:v>
                </c:pt>
                <c:pt idx="159">
                  <c:v>2006</c:v>
                </c:pt>
                <c:pt idx="160">
                  <c:v>1984</c:v>
                </c:pt>
                <c:pt idx="161">
                  <c:v>2004</c:v>
                </c:pt>
                <c:pt idx="162">
                  <c:v>2005</c:v>
                </c:pt>
                <c:pt idx="163">
                  <c:v>1956</c:v>
                </c:pt>
                <c:pt idx="164">
                  <c:v>2004</c:v>
                </c:pt>
                <c:pt idx="165">
                  <c:v>1999</c:v>
                </c:pt>
                <c:pt idx="166">
                  <c:v>1993</c:v>
                </c:pt>
                <c:pt idx="167">
                  <c:v>2007</c:v>
                </c:pt>
                <c:pt idx="168">
                  <c:v>2004</c:v>
                </c:pt>
                <c:pt idx="169">
                  <c:v>1981</c:v>
                </c:pt>
                <c:pt idx="170">
                  <c:v>1950</c:v>
                </c:pt>
                <c:pt idx="171">
                  <c:v>1960</c:v>
                </c:pt>
                <c:pt idx="172">
                  <c:v>1987</c:v>
                </c:pt>
                <c:pt idx="173">
                  <c:v>1961</c:v>
                </c:pt>
                <c:pt idx="174">
                  <c:v>1986</c:v>
                </c:pt>
                <c:pt idx="175">
                  <c:v>2001</c:v>
                </c:pt>
                <c:pt idx="176">
                  <c:v>1989</c:v>
                </c:pt>
                <c:pt idx="177">
                  <c:v>1958</c:v>
                </c:pt>
                <c:pt idx="178">
                  <c:v>2009</c:v>
                </c:pt>
                <c:pt idx="179">
                  <c:v>2006</c:v>
                </c:pt>
                <c:pt idx="180">
                  <c:v>2000</c:v>
                </c:pt>
                <c:pt idx="181">
                  <c:v>1950</c:v>
                </c:pt>
                <c:pt idx="182">
                  <c:v>2006</c:v>
                </c:pt>
                <c:pt idx="183">
                  <c:v>2003</c:v>
                </c:pt>
                <c:pt idx="184">
                  <c:v>1991</c:v>
                </c:pt>
                <c:pt idx="185">
                  <c:v>1993</c:v>
                </c:pt>
                <c:pt idx="186">
                  <c:v>1991</c:v>
                </c:pt>
                <c:pt idx="187">
                  <c:v>1987</c:v>
                </c:pt>
                <c:pt idx="188">
                  <c:v>1979</c:v>
                </c:pt>
                <c:pt idx="189">
                  <c:v>2002</c:v>
                </c:pt>
                <c:pt idx="190">
                  <c:v>1994</c:v>
                </c:pt>
                <c:pt idx="191">
                  <c:v>2004</c:v>
                </c:pt>
                <c:pt idx="192">
                  <c:v>1999</c:v>
                </c:pt>
                <c:pt idx="193">
                  <c:v>2004</c:v>
                </c:pt>
                <c:pt idx="194">
                  <c:v>1972</c:v>
                </c:pt>
                <c:pt idx="195">
                  <c:v>1976</c:v>
                </c:pt>
                <c:pt idx="196">
                  <c:v>2007</c:v>
                </c:pt>
                <c:pt idx="197">
                  <c:v>1990</c:v>
                </c:pt>
                <c:pt idx="198">
                  <c:v>1950</c:v>
                </c:pt>
                <c:pt idx="199">
                  <c:v>2005</c:v>
                </c:pt>
                <c:pt idx="200">
                  <c:v>2004</c:v>
                </c:pt>
                <c:pt idx="201">
                  <c:v>1977</c:v>
                </c:pt>
                <c:pt idx="202">
                  <c:v>1950</c:v>
                </c:pt>
                <c:pt idx="203">
                  <c:v>2004</c:v>
                </c:pt>
                <c:pt idx="204">
                  <c:v>1950</c:v>
                </c:pt>
                <c:pt idx="205">
                  <c:v>1990</c:v>
                </c:pt>
                <c:pt idx="206">
                  <c:v>1962</c:v>
                </c:pt>
                <c:pt idx="207">
                  <c:v>1960</c:v>
                </c:pt>
                <c:pt idx="208">
                  <c:v>1989</c:v>
                </c:pt>
                <c:pt idx="209">
                  <c:v>1964</c:v>
                </c:pt>
                <c:pt idx="210">
                  <c:v>1950</c:v>
                </c:pt>
                <c:pt idx="211">
                  <c:v>2009</c:v>
                </c:pt>
                <c:pt idx="212">
                  <c:v>2009</c:v>
                </c:pt>
                <c:pt idx="213">
                  <c:v>1995</c:v>
                </c:pt>
                <c:pt idx="214">
                  <c:v>1977</c:v>
                </c:pt>
                <c:pt idx="215">
                  <c:v>1996</c:v>
                </c:pt>
                <c:pt idx="216">
                  <c:v>2004</c:v>
                </c:pt>
                <c:pt idx="217">
                  <c:v>1950</c:v>
                </c:pt>
                <c:pt idx="218">
                  <c:v>2006</c:v>
                </c:pt>
                <c:pt idx="219">
                  <c:v>2006</c:v>
                </c:pt>
                <c:pt idx="220">
                  <c:v>2006</c:v>
                </c:pt>
                <c:pt idx="221">
                  <c:v>2002</c:v>
                </c:pt>
                <c:pt idx="222">
                  <c:v>1975</c:v>
                </c:pt>
                <c:pt idx="223">
                  <c:v>1971</c:v>
                </c:pt>
                <c:pt idx="224">
                  <c:v>2003</c:v>
                </c:pt>
                <c:pt idx="225">
                  <c:v>1971</c:v>
                </c:pt>
                <c:pt idx="226">
                  <c:v>1995</c:v>
                </c:pt>
                <c:pt idx="227">
                  <c:v>1970</c:v>
                </c:pt>
                <c:pt idx="228">
                  <c:v>1967</c:v>
                </c:pt>
                <c:pt idx="229">
                  <c:v>2006</c:v>
                </c:pt>
                <c:pt idx="230">
                  <c:v>1959</c:v>
                </c:pt>
                <c:pt idx="231">
                  <c:v>1996</c:v>
                </c:pt>
                <c:pt idx="232">
                  <c:v>1972</c:v>
                </c:pt>
                <c:pt idx="233">
                  <c:v>1976</c:v>
                </c:pt>
                <c:pt idx="234">
                  <c:v>2002</c:v>
                </c:pt>
                <c:pt idx="235">
                  <c:v>1971</c:v>
                </c:pt>
                <c:pt idx="236">
                  <c:v>2004</c:v>
                </c:pt>
                <c:pt idx="237">
                  <c:v>2003</c:v>
                </c:pt>
                <c:pt idx="238">
                  <c:v>2007</c:v>
                </c:pt>
                <c:pt idx="239">
                  <c:v>1950</c:v>
                </c:pt>
                <c:pt idx="240">
                  <c:v>2008</c:v>
                </c:pt>
                <c:pt idx="241">
                  <c:v>1997</c:v>
                </c:pt>
                <c:pt idx="242">
                  <c:v>1950</c:v>
                </c:pt>
                <c:pt idx="243">
                  <c:v>1980</c:v>
                </c:pt>
                <c:pt idx="244">
                  <c:v>2002</c:v>
                </c:pt>
                <c:pt idx="245">
                  <c:v>1988</c:v>
                </c:pt>
                <c:pt idx="246">
                  <c:v>1950</c:v>
                </c:pt>
                <c:pt idx="247">
                  <c:v>1954</c:v>
                </c:pt>
                <c:pt idx="248">
                  <c:v>2003</c:v>
                </c:pt>
                <c:pt idx="249">
                  <c:v>2006</c:v>
                </c:pt>
                <c:pt idx="250">
                  <c:v>1966</c:v>
                </c:pt>
                <c:pt idx="251">
                  <c:v>2007</c:v>
                </c:pt>
                <c:pt idx="252">
                  <c:v>2004</c:v>
                </c:pt>
                <c:pt idx="253">
                  <c:v>1991</c:v>
                </c:pt>
                <c:pt idx="254">
                  <c:v>1957</c:v>
                </c:pt>
                <c:pt idx="255">
                  <c:v>1999</c:v>
                </c:pt>
                <c:pt idx="256">
                  <c:v>2003</c:v>
                </c:pt>
                <c:pt idx="257">
                  <c:v>2006</c:v>
                </c:pt>
                <c:pt idx="258">
                  <c:v>2001</c:v>
                </c:pt>
                <c:pt idx="259">
                  <c:v>1956</c:v>
                </c:pt>
                <c:pt idx="260">
                  <c:v>1962</c:v>
                </c:pt>
                <c:pt idx="261">
                  <c:v>2007</c:v>
                </c:pt>
                <c:pt idx="262">
                  <c:v>1995</c:v>
                </c:pt>
                <c:pt idx="263">
                  <c:v>2001</c:v>
                </c:pt>
                <c:pt idx="264">
                  <c:v>2004</c:v>
                </c:pt>
                <c:pt idx="265">
                  <c:v>1981</c:v>
                </c:pt>
                <c:pt idx="266">
                  <c:v>1997</c:v>
                </c:pt>
                <c:pt idx="267">
                  <c:v>1997</c:v>
                </c:pt>
                <c:pt idx="268">
                  <c:v>1955</c:v>
                </c:pt>
                <c:pt idx="269">
                  <c:v>1976</c:v>
                </c:pt>
                <c:pt idx="270">
                  <c:v>2006</c:v>
                </c:pt>
                <c:pt idx="271">
                  <c:v>2005</c:v>
                </c:pt>
                <c:pt idx="272">
                  <c:v>2007</c:v>
                </c:pt>
                <c:pt idx="273">
                  <c:v>1988</c:v>
                </c:pt>
                <c:pt idx="274">
                  <c:v>1982</c:v>
                </c:pt>
                <c:pt idx="275">
                  <c:v>2007</c:v>
                </c:pt>
                <c:pt idx="276">
                  <c:v>2003</c:v>
                </c:pt>
                <c:pt idx="277">
                  <c:v>1951</c:v>
                </c:pt>
                <c:pt idx="278">
                  <c:v>2007</c:v>
                </c:pt>
                <c:pt idx="279">
                  <c:v>1977</c:v>
                </c:pt>
                <c:pt idx="280">
                  <c:v>1989</c:v>
                </c:pt>
                <c:pt idx="281">
                  <c:v>2006</c:v>
                </c:pt>
                <c:pt idx="282">
                  <c:v>2008</c:v>
                </c:pt>
                <c:pt idx="283">
                  <c:v>2009</c:v>
                </c:pt>
                <c:pt idx="284">
                  <c:v>1992</c:v>
                </c:pt>
                <c:pt idx="285">
                  <c:v>2007</c:v>
                </c:pt>
                <c:pt idx="286">
                  <c:v>1981</c:v>
                </c:pt>
                <c:pt idx="287">
                  <c:v>1971</c:v>
                </c:pt>
                <c:pt idx="288">
                  <c:v>1967</c:v>
                </c:pt>
                <c:pt idx="289">
                  <c:v>2003</c:v>
                </c:pt>
                <c:pt idx="290">
                  <c:v>2006</c:v>
                </c:pt>
                <c:pt idx="291">
                  <c:v>2000</c:v>
                </c:pt>
                <c:pt idx="292">
                  <c:v>2008</c:v>
                </c:pt>
                <c:pt idx="293">
                  <c:v>1994</c:v>
                </c:pt>
                <c:pt idx="294">
                  <c:v>1953</c:v>
                </c:pt>
                <c:pt idx="295">
                  <c:v>1984</c:v>
                </c:pt>
                <c:pt idx="296">
                  <c:v>1950</c:v>
                </c:pt>
                <c:pt idx="297">
                  <c:v>1998</c:v>
                </c:pt>
                <c:pt idx="298">
                  <c:v>1968</c:v>
                </c:pt>
                <c:pt idx="299">
                  <c:v>2004</c:v>
                </c:pt>
                <c:pt idx="300">
                  <c:v>1953</c:v>
                </c:pt>
                <c:pt idx="301">
                  <c:v>1999</c:v>
                </c:pt>
                <c:pt idx="302">
                  <c:v>2002</c:v>
                </c:pt>
                <c:pt idx="303">
                  <c:v>1972</c:v>
                </c:pt>
                <c:pt idx="304">
                  <c:v>2002</c:v>
                </c:pt>
                <c:pt idx="305">
                  <c:v>2005</c:v>
                </c:pt>
                <c:pt idx="306">
                  <c:v>1991</c:v>
                </c:pt>
                <c:pt idx="307">
                  <c:v>1950</c:v>
                </c:pt>
                <c:pt idx="308">
                  <c:v>1950</c:v>
                </c:pt>
                <c:pt idx="309">
                  <c:v>2004</c:v>
                </c:pt>
                <c:pt idx="310">
                  <c:v>1994</c:v>
                </c:pt>
                <c:pt idx="311">
                  <c:v>2002</c:v>
                </c:pt>
                <c:pt idx="312">
                  <c:v>1950</c:v>
                </c:pt>
                <c:pt idx="313">
                  <c:v>1965</c:v>
                </c:pt>
                <c:pt idx="314">
                  <c:v>1990</c:v>
                </c:pt>
                <c:pt idx="315">
                  <c:v>2005</c:v>
                </c:pt>
                <c:pt idx="316">
                  <c:v>1980</c:v>
                </c:pt>
                <c:pt idx="317">
                  <c:v>2006</c:v>
                </c:pt>
                <c:pt idx="318">
                  <c:v>1993</c:v>
                </c:pt>
                <c:pt idx="319">
                  <c:v>1980</c:v>
                </c:pt>
                <c:pt idx="320">
                  <c:v>2006</c:v>
                </c:pt>
                <c:pt idx="321">
                  <c:v>2004</c:v>
                </c:pt>
                <c:pt idx="322">
                  <c:v>1987</c:v>
                </c:pt>
                <c:pt idx="323">
                  <c:v>2005</c:v>
                </c:pt>
                <c:pt idx="324">
                  <c:v>2007</c:v>
                </c:pt>
                <c:pt idx="325">
                  <c:v>1950</c:v>
                </c:pt>
                <c:pt idx="326">
                  <c:v>1993</c:v>
                </c:pt>
                <c:pt idx="327">
                  <c:v>1960</c:v>
                </c:pt>
                <c:pt idx="328">
                  <c:v>1994</c:v>
                </c:pt>
                <c:pt idx="329">
                  <c:v>1950</c:v>
                </c:pt>
                <c:pt idx="330">
                  <c:v>1964</c:v>
                </c:pt>
                <c:pt idx="331">
                  <c:v>1992</c:v>
                </c:pt>
                <c:pt idx="332">
                  <c:v>2004</c:v>
                </c:pt>
                <c:pt idx="333">
                  <c:v>2004</c:v>
                </c:pt>
                <c:pt idx="334">
                  <c:v>1998</c:v>
                </c:pt>
                <c:pt idx="335">
                  <c:v>1965</c:v>
                </c:pt>
                <c:pt idx="336">
                  <c:v>2006</c:v>
                </c:pt>
                <c:pt idx="337">
                  <c:v>2003</c:v>
                </c:pt>
                <c:pt idx="338">
                  <c:v>1998</c:v>
                </c:pt>
                <c:pt idx="339">
                  <c:v>1998</c:v>
                </c:pt>
                <c:pt idx="340">
                  <c:v>2002</c:v>
                </c:pt>
                <c:pt idx="341">
                  <c:v>1950</c:v>
                </c:pt>
                <c:pt idx="342">
                  <c:v>1950</c:v>
                </c:pt>
                <c:pt idx="343">
                  <c:v>2005</c:v>
                </c:pt>
                <c:pt idx="344">
                  <c:v>1976</c:v>
                </c:pt>
                <c:pt idx="345">
                  <c:v>1950</c:v>
                </c:pt>
                <c:pt idx="346">
                  <c:v>1998</c:v>
                </c:pt>
                <c:pt idx="347">
                  <c:v>1960</c:v>
                </c:pt>
                <c:pt idx="348">
                  <c:v>2004</c:v>
                </c:pt>
                <c:pt idx="349">
                  <c:v>2006</c:v>
                </c:pt>
                <c:pt idx="350">
                  <c:v>2007</c:v>
                </c:pt>
                <c:pt idx="351">
                  <c:v>1986</c:v>
                </c:pt>
                <c:pt idx="352">
                  <c:v>1950</c:v>
                </c:pt>
                <c:pt idx="353">
                  <c:v>2003</c:v>
                </c:pt>
                <c:pt idx="354">
                  <c:v>2000</c:v>
                </c:pt>
                <c:pt idx="355">
                  <c:v>1995</c:v>
                </c:pt>
                <c:pt idx="356">
                  <c:v>1992</c:v>
                </c:pt>
                <c:pt idx="357">
                  <c:v>1976</c:v>
                </c:pt>
                <c:pt idx="358">
                  <c:v>1958</c:v>
                </c:pt>
                <c:pt idx="359">
                  <c:v>1998</c:v>
                </c:pt>
                <c:pt idx="360">
                  <c:v>1978</c:v>
                </c:pt>
                <c:pt idx="361">
                  <c:v>1982</c:v>
                </c:pt>
                <c:pt idx="362">
                  <c:v>2003</c:v>
                </c:pt>
                <c:pt idx="363">
                  <c:v>2007</c:v>
                </c:pt>
                <c:pt idx="364">
                  <c:v>1976</c:v>
                </c:pt>
                <c:pt idx="365">
                  <c:v>1997</c:v>
                </c:pt>
                <c:pt idx="366">
                  <c:v>1963</c:v>
                </c:pt>
                <c:pt idx="367">
                  <c:v>1962</c:v>
                </c:pt>
                <c:pt idx="368">
                  <c:v>1954</c:v>
                </c:pt>
                <c:pt idx="369">
                  <c:v>2006</c:v>
                </c:pt>
                <c:pt idx="370">
                  <c:v>2000</c:v>
                </c:pt>
                <c:pt idx="371">
                  <c:v>1959</c:v>
                </c:pt>
                <c:pt idx="372">
                  <c:v>1984</c:v>
                </c:pt>
                <c:pt idx="373">
                  <c:v>1953</c:v>
                </c:pt>
                <c:pt idx="374">
                  <c:v>2004</c:v>
                </c:pt>
                <c:pt idx="375">
                  <c:v>1950</c:v>
                </c:pt>
                <c:pt idx="376">
                  <c:v>1996</c:v>
                </c:pt>
                <c:pt idx="377">
                  <c:v>2005</c:v>
                </c:pt>
                <c:pt idx="378">
                  <c:v>2010</c:v>
                </c:pt>
                <c:pt idx="379">
                  <c:v>2000</c:v>
                </c:pt>
                <c:pt idx="380">
                  <c:v>1950</c:v>
                </c:pt>
                <c:pt idx="381">
                  <c:v>2006</c:v>
                </c:pt>
                <c:pt idx="382">
                  <c:v>2006</c:v>
                </c:pt>
                <c:pt idx="383">
                  <c:v>1950</c:v>
                </c:pt>
                <c:pt idx="384">
                  <c:v>1992</c:v>
                </c:pt>
                <c:pt idx="385">
                  <c:v>2005</c:v>
                </c:pt>
                <c:pt idx="386">
                  <c:v>1996</c:v>
                </c:pt>
                <c:pt idx="387">
                  <c:v>1976</c:v>
                </c:pt>
                <c:pt idx="388">
                  <c:v>2000</c:v>
                </c:pt>
                <c:pt idx="389">
                  <c:v>2008</c:v>
                </c:pt>
                <c:pt idx="390">
                  <c:v>1950</c:v>
                </c:pt>
                <c:pt idx="391">
                  <c:v>2002</c:v>
                </c:pt>
                <c:pt idx="392">
                  <c:v>1959</c:v>
                </c:pt>
                <c:pt idx="393">
                  <c:v>1950</c:v>
                </c:pt>
                <c:pt idx="394">
                  <c:v>1950</c:v>
                </c:pt>
                <c:pt idx="395">
                  <c:v>1956</c:v>
                </c:pt>
                <c:pt idx="396">
                  <c:v>1972</c:v>
                </c:pt>
                <c:pt idx="397">
                  <c:v>1962</c:v>
                </c:pt>
                <c:pt idx="398">
                  <c:v>1950</c:v>
                </c:pt>
                <c:pt idx="399">
                  <c:v>2007</c:v>
                </c:pt>
                <c:pt idx="400">
                  <c:v>1996</c:v>
                </c:pt>
                <c:pt idx="401">
                  <c:v>2005</c:v>
                </c:pt>
                <c:pt idx="402">
                  <c:v>1997</c:v>
                </c:pt>
                <c:pt idx="403">
                  <c:v>1998</c:v>
                </c:pt>
                <c:pt idx="404">
                  <c:v>1996</c:v>
                </c:pt>
                <c:pt idx="405">
                  <c:v>1993</c:v>
                </c:pt>
                <c:pt idx="406">
                  <c:v>1950</c:v>
                </c:pt>
                <c:pt idx="407">
                  <c:v>1976</c:v>
                </c:pt>
                <c:pt idx="408">
                  <c:v>2006</c:v>
                </c:pt>
                <c:pt idx="409">
                  <c:v>2008</c:v>
                </c:pt>
                <c:pt idx="410">
                  <c:v>1958</c:v>
                </c:pt>
                <c:pt idx="411">
                  <c:v>1955</c:v>
                </c:pt>
                <c:pt idx="412">
                  <c:v>2009</c:v>
                </c:pt>
                <c:pt idx="413">
                  <c:v>1950</c:v>
                </c:pt>
                <c:pt idx="414">
                  <c:v>1993</c:v>
                </c:pt>
                <c:pt idx="415">
                  <c:v>2007</c:v>
                </c:pt>
                <c:pt idx="416">
                  <c:v>1978</c:v>
                </c:pt>
                <c:pt idx="417">
                  <c:v>1950</c:v>
                </c:pt>
                <c:pt idx="418">
                  <c:v>1950</c:v>
                </c:pt>
                <c:pt idx="419">
                  <c:v>1968</c:v>
                </c:pt>
                <c:pt idx="420">
                  <c:v>1998</c:v>
                </c:pt>
                <c:pt idx="421">
                  <c:v>2000</c:v>
                </c:pt>
                <c:pt idx="422">
                  <c:v>1954</c:v>
                </c:pt>
                <c:pt idx="423">
                  <c:v>1998</c:v>
                </c:pt>
                <c:pt idx="424">
                  <c:v>1956</c:v>
                </c:pt>
                <c:pt idx="425">
                  <c:v>1992</c:v>
                </c:pt>
                <c:pt idx="426">
                  <c:v>1989</c:v>
                </c:pt>
                <c:pt idx="427">
                  <c:v>1957</c:v>
                </c:pt>
                <c:pt idx="428">
                  <c:v>2007</c:v>
                </c:pt>
                <c:pt idx="429">
                  <c:v>1988</c:v>
                </c:pt>
                <c:pt idx="430">
                  <c:v>1971</c:v>
                </c:pt>
                <c:pt idx="431">
                  <c:v>1998</c:v>
                </c:pt>
                <c:pt idx="432">
                  <c:v>1971</c:v>
                </c:pt>
                <c:pt idx="433">
                  <c:v>1998</c:v>
                </c:pt>
                <c:pt idx="434">
                  <c:v>1972</c:v>
                </c:pt>
                <c:pt idx="435">
                  <c:v>1996</c:v>
                </c:pt>
                <c:pt idx="436">
                  <c:v>1950</c:v>
                </c:pt>
                <c:pt idx="437">
                  <c:v>2004</c:v>
                </c:pt>
                <c:pt idx="438">
                  <c:v>2002</c:v>
                </c:pt>
                <c:pt idx="439">
                  <c:v>2000</c:v>
                </c:pt>
                <c:pt idx="440">
                  <c:v>2008</c:v>
                </c:pt>
                <c:pt idx="441">
                  <c:v>1955</c:v>
                </c:pt>
                <c:pt idx="442">
                  <c:v>1992</c:v>
                </c:pt>
                <c:pt idx="443">
                  <c:v>2007</c:v>
                </c:pt>
                <c:pt idx="444">
                  <c:v>1995</c:v>
                </c:pt>
                <c:pt idx="445">
                  <c:v>1956</c:v>
                </c:pt>
                <c:pt idx="446">
                  <c:v>2002</c:v>
                </c:pt>
                <c:pt idx="447">
                  <c:v>1999</c:v>
                </c:pt>
                <c:pt idx="448">
                  <c:v>1950</c:v>
                </c:pt>
                <c:pt idx="449">
                  <c:v>2002</c:v>
                </c:pt>
                <c:pt idx="450">
                  <c:v>2005</c:v>
                </c:pt>
                <c:pt idx="451">
                  <c:v>1975</c:v>
                </c:pt>
                <c:pt idx="452">
                  <c:v>1997</c:v>
                </c:pt>
                <c:pt idx="453">
                  <c:v>2008</c:v>
                </c:pt>
                <c:pt idx="454">
                  <c:v>1976</c:v>
                </c:pt>
                <c:pt idx="455">
                  <c:v>1973</c:v>
                </c:pt>
                <c:pt idx="456">
                  <c:v>1950</c:v>
                </c:pt>
                <c:pt idx="457">
                  <c:v>1994</c:v>
                </c:pt>
                <c:pt idx="458">
                  <c:v>1996</c:v>
                </c:pt>
                <c:pt idx="459">
                  <c:v>1950</c:v>
                </c:pt>
                <c:pt idx="460">
                  <c:v>2009</c:v>
                </c:pt>
                <c:pt idx="461">
                  <c:v>2007</c:v>
                </c:pt>
                <c:pt idx="462">
                  <c:v>1965</c:v>
                </c:pt>
                <c:pt idx="463">
                  <c:v>1995</c:v>
                </c:pt>
                <c:pt idx="464">
                  <c:v>1978</c:v>
                </c:pt>
                <c:pt idx="465">
                  <c:v>2004</c:v>
                </c:pt>
                <c:pt idx="466">
                  <c:v>1970</c:v>
                </c:pt>
                <c:pt idx="467">
                  <c:v>1995</c:v>
                </c:pt>
                <c:pt idx="468">
                  <c:v>2006</c:v>
                </c:pt>
                <c:pt idx="469">
                  <c:v>1993</c:v>
                </c:pt>
                <c:pt idx="470">
                  <c:v>1985</c:v>
                </c:pt>
                <c:pt idx="471">
                  <c:v>1977</c:v>
                </c:pt>
                <c:pt idx="472">
                  <c:v>2005</c:v>
                </c:pt>
                <c:pt idx="473">
                  <c:v>2007</c:v>
                </c:pt>
                <c:pt idx="474">
                  <c:v>2000</c:v>
                </c:pt>
                <c:pt idx="475">
                  <c:v>1963</c:v>
                </c:pt>
                <c:pt idx="476">
                  <c:v>1998</c:v>
                </c:pt>
                <c:pt idx="477">
                  <c:v>2006</c:v>
                </c:pt>
                <c:pt idx="478">
                  <c:v>2008</c:v>
                </c:pt>
                <c:pt idx="479">
                  <c:v>2000</c:v>
                </c:pt>
                <c:pt idx="480">
                  <c:v>2005</c:v>
                </c:pt>
                <c:pt idx="481">
                  <c:v>2004</c:v>
                </c:pt>
                <c:pt idx="482">
                  <c:v>2005</c:v>
                </c:pt>
                <c:pt idx="483">
                  <c:v>1998</c:v>
                </c:pt>
                <c:pt idx="484">
                  <c:v>2001</c:v>
                </c:pt>
                <c:pt idx="485">
                  <c:v>2007</c:v>
                </c:pt>
                <c:pt idx="486">
                  <c:v>1965</c:v>
                </c:pt>
                <c:pt idx="487">
                  <c:v>1971</c:v>
                </c:pt>
                <c:pt idx="488">
                  <c:v>1970</c:v>
                </c:pt>
                <c:pt idx="489">
                  <c:v>2002</c:v>
                </c:pt>
                <c:pt idx="490">
                  <c:v>1976</c:v>
                </c:pt>
                <c:pt idx="491">
                  <c:v>1950</c:v>
                </c:pt>
                <c:pt idx="492">
                  <c:v>2006</c:v>
                </c:pt>
                <c:pt idx="493">
                  <c:v>1960</c:v>
                </c:pt>
                <c:pt idx="494">
                  <c:v>1996</c:v>
                </c:pt>
                <c:pt idx="495">
                  <c:v>1950</c:v>
                </c:pt>
                <c:pt idx="496">
                  <c:v>1993</c:v>
                </c:pt>
                <c:pt idx="497">
                  <c:v>1950</c:v>
                </c:pt>
                <c:pt idx="498">
                  <c:v>2004</c:v>
                </c:pt>
                <c:pt idx="499">
                  <c:v>1985</c:v>
                </c:pt>
                <c:pt idx="500">
                  <c:v>1973</c:v>
                </c:pt>
                <c:pt idx="501">
                  <c:v>2005</c:v>
                </c:pt>
                <c:pt idx="502">
                  <c:v>1965</c:v>
                </c:pt>
                <c:pt idx="503">
                  <c:v>1997</c:v>
                </c:pt>
                <c:pt idx="504">
                  <c:v>1974</c:v>
                </c:pt>
                <c:pt idx="505">
                  <c:v>1952</c:v>
                </c:pt>
                <c:pt idx="506">
                  <c:v>1994</c:v>
                </c:pt>
                <c:pt idx="507">
                  <c:v>2009</c:v>
                </c:pt>
                <c:pt idx="508">
                  <c:v>2005</c:v>
                </c:pt>
                <c:pt idx="509">
                  <c:v>1959</c:v>
                </c:pt>
                <c:pt idx="510">
                  <c:v>2000</c:v>
                </c:pt>
                <c:pt idx="511">
                  <c:v>2006</c:v>
                </c:pt>
                <c:pt idx="512">
                  <c:v>1958</c:v>
                </c:pt>
                <c:pt idx="513">
                  <c:v>1983</c:v>
                </c:pt>
                <c:pt idx="514">
                  <c:v>1950</c:v>
                </c:pt>
                <c:pt idx="515">
                  <c:v>2009</c:v>
                </c:pt>
                <c:pt idx="516">
                  <c:v>1972</c:v>
                </c:pt>
                <c:pt idx="517">
                  <c:v>1997</c:v>
                </c:pt>
                <c:pt idx="518">
                  <c:v>1998</c:v>
                </c:pt>
                <c:pt idx="519">
                  <c:v>2004</c:v>
                </c:pt>
                <c:pt idx="520">
                  <c:v>2000</c:v>
                </c:pt>
                <c:pt idx="521">
                  <c:v>1957</c:v>
                </c:pt>
                <c:pt idx="522">
                  <c:v>1950</c:v>
                </c:pt>
                <c:pt idx="523">
                  <c:v>2008</c:v>
                </c:pt>
                <c:pt idx="524">
                  <c:v>1997</c:v>
                </c:pt>
                <c:pt idx="525">
                  <c:v>2005</c:v>
                </c:pt>
                <c:pt idx="526">
                  <c:v>2000</c:v>
                </c:pt>
                <c:pt idx="527">
                  <c:v>2008</c:v>
                </c:pt>
                <c:pt idx="528">
                  <c:v>2002</c:v>
                </c:pt>
                <c:pt idx="529">
                  <c:v>1975</c:v>
                </c:pt>
                <c:pt idx="530">
                  <c:v>1989</c:v>
                </c:pt>
                <c:pt idx="531">
                  <c:v>1999</c:v>
                </c:pt>
                <c:pt idx="532">
                  <c:v>2007</c:v>
                </c:pt>
                <c:pt idx="533">
                  <c:v>1950</c:v>
                </c:pt>
                <c:pt idx="534">
                  <c:v>2004</c:v>
                </c:pt>
                <c:pt idx="535">
                  <c:v>1991</c:v>
                </c:pt>
                <c:pt idx="536">
                  <c:v>1999</c:v>
                </c:pt>
                <c:pt idx="537">
                  <c:v>1972</c:v>
                </c:pt>
                <c:pt idx="538">
                  <c:v>1968</c:v>
                </c:pt>
                <c:pt idx="539">
                  <c:v>2002</c:v>
                </c:pt>
                <c:pt idx="540">
                  <c:v>2006</c:v>
                </c:pt>
                <c:pt idx="541">
                  <c:v>2000</c:v>
                </c:pt>
                <c:pt idx="542">
                  <c:v>1999</c:v>
                </c:pt>
                <c:pt idx="543">
                  <c:v>1998</c:v>
                </c:pt>
                <c:pt idx="544">
                  <c:v>2006</c:v>
                </c:pt>
                <c:pt idx="545">
                  <c:v>1988</c:v>
                </c:pt>
                <c:pt idx="546">
                  <c:v>1950</c:v>
                </c:pt>
                <c:pt idx="547">
                  <c:v>1970</c:v>
                </c:pt>
                <c:pt idx="548">
                  <c:v>1995</c:v>
                </c:pt>
                <c:pt idx="549">
                  <c:v>2004</c:v>
                </c:pt>
                <c:pt idx="550">
                  <c:v>1977</c:v>
                </c:pt>
                <c:pt idx="551">
                  <c:v>1957</c:v>
                </c:pt>
                <c:pt idx="552">
                  <c:v>2006</c:v>
                </c:pt>
                <c:pt idx="553">
                  <c:v>2003</c:v>
                </c:pt>
                <c:pt idx="554">
                  <c:v>2004</c:v>
                </c:pt>
                <c:pt idx="555">
                  <c:v>1950</c:v>
                </c:pt>
                <c:pt idx="556">
                  <c:v>1957</c:v>
                </c:pt>
                <c:pt idx="557">
                  <c:v>1950</c:v>
                </c:pt>
                <c:pt idx="558">
                  <c:v>1997</c:v>
                </c:pt>
                <c:pt idx="559">
                  <c:v>2004</c:v>
                </c:pt>
                <c:pt idx="560">
                  <c:v>1996</c:v>
                </c:pt>
                <c:pt idx="561">
                  <c:v>1975</c:v>
                </c:pt>
                <c:pt idx="562">
                  <c:v>1969</c:v>
                </c:pt>
                <c:pt idx="563">
                  <c:v>1950</c:v>
                </c:pt>
                <c:pt idx="564">
                  <c:v>2000</c:v>
                </c:pt>
                <c:pt idx="565">
                  <c:v>1950</c:v>
                </c:pt>
                <c:pt idx="566">
                  <c:v>2007</c:v>
                </c:pt>
                <c:pt idx="567">
                  <c:v>2004</c:v>
                </c:pt>
                <c:pt idx="568">
                  <c:v>2009</c:v>
                </c:pt>
                <c:pt idx="569">
                  <c:v>1979</c:v>
                </c:pt>
                <c:pt idx="570">
                  <c:v>1965</c:v>
                </c:pt>
                <c:pt idx="571">
                  <c:v>1959</c:v>
                </c:pt>
                <c:pt idx="572">
                  <c:v>2009</c:v>
                </c:pt>
                <c:pt idx="573">
                  <c:v>2000</c:v>
                </c:pt>
                <c:pt idx="574">
                  <c:v>2005</c:v>
                </c:pt>
                <c:pt idx="575">
                  <c:v>1950</c:v>
                </c:pt>
                <c:pt idx="576">
                  <c:v>1950</c:v>
                </c:pt>
                <c:pt idx="577">
                  <c:v>1966</c:v>
                </c:pt>
                <c:pt idx="578">
                  <c:v>2007</c:v>
                </c:pt>
                <c:pt idx="579">
                  <c:v>1954</c:v>
                </c:pt>
                <c:pt idx="580">
                  <c:v>1987</c:v>
                </c:pt>
                <c:pt idx="581">
                  <c:v>2009</c:v>
                </c:pt>
                <c:pt idx="582">
                  <c:v>1990</c:v>
                </c:pt>
                <c:pt idx="583">
                  <c:v>2000</c:v>
                </c:pt>
                <c:pt idx="584">
                  <c:v>1995</c:v>
                </c:pt>
                <c:pt idx="585">
                  <c:v>2006</c:v>
                </c:pt>
                <c:pt idx="586">
                  <c:v>2000</c:v>
                </c:pt>
                <c:pt idx="587">
                  <c:v>1982</c:v>
                </c:pt>
                <c:pt idx="588">
                  <c:v>2003</c:v>
                </c:pt>
                <c:pt idx="589">
                  <c:v>1960</c:v>
                </c:pt>
                <c:pt idx="590">
                  <c:v>2004</c:v>
                </c:pt>
                <c:pt idx="591">
                  <c:v>2008</c:v>
                </c:pt>
                <c:pt idx="592">
                  <c:v>2003</c:v>
                </c:pt>
                <c:pt idx="593">
                  <c:v>2003</c:v>
                </c:pt>
                <c:pt idx="594">
                  <c:v>1975</c:v>
                </c:pt>
                <c:pt idx="595">
                  <c:v>2006</c:v>
                </c:pt>
                <c:pt idx="596">
                  <c:v>1993</c:v>
                </c:pt>
                <c:pt idx="597">
                  <c:v>2007</c:v>
                </c:pt>
                <c:pt idx="598">
                  <c:v>1977</c:v>
                </c:pt>
                <c:pt idx="599">
                  <c:v>1980</c:v>
                </c:pt>
                <c:pt idx="600">
                  <c:v>2005</c:v>
                </c:pt>
                <c:pt idx="601">
                  <c:v>1950</c:v>
                </c:pt>
                <c:pt idx="602">
                  <c:v>1992</c:v>
                </c:pt>
                <c:pt idx="603">
                  <c:v>2005</c:v>
                </c:pt>
                <c:pt idx="604">
                  <c:v>2002</c:v>
                </c:pt>
                <c:pt idx="605">
                  <c:v>1990</c:v>
                </c:pt>
                <c:pt idx="606">
                  <c:v>1996</c:v>
                </c:pt>
                <c:pt idx="607">
                  <c:v>2002</c:v>
                </c:pt>
                <c:pt idx="608">
                  <c:v>1998</c:v>
                </c:pt>
                <c:pt idx="609">
                  <c:v>1961</c:v>
                </c:pt>
                <c:pt idx="610">
                  <c:v>2000</c:v>
                </c:pt>
                <c:pt idx="611">
                  <c:v>1978</c:v>
                </c:pt>
                <c:pt idx="612">
                  <c:v>2001</c:v>
                </c:pt>
                <c:pt idx="613">
                  <c:v>2007</c:v>
                </c:pt>
                <c:pt idx="614">
                  <c:v>1972</c:v>
                </c:pt>
                <c:pt idx="615">
                  <c:v>1963</c:v>
                </c:pt>
                <c:pt idx="616">
                  <c:v>2003</c:v>
                </c:pt>
                <c:pt idx="617">
                  <c:v>1954</c:v>
                </c:pt>
                <c:pt idx="618">
                  <c:v>2007</c:v>
                </c:pt>
                <c:pt idx="619">
                  <c:v>2003</c:v>
                </c:pt>
                <c:pt idx="620">
                  <c:v>1950</c:v>
                </c:pt>
                <c:pt idx="621">
                  <c:v>1997</c:v>
                </c:pt>
                <c:pt idx="622">
                  <c:v>1977</c:v>
                </c:pt>
                <c:pt idx="623">
                  <c:v>2000</c:v>
                </c:pt>
                <c:pt idx="624">
                  <c:v>1972</c:v>
                </c:pt>
                <c:pt idx="625">
                  <c:v>1962</c:v>
                </c:pt>
                <c:pt idx="626">
                  <c:v>1978</c:v>
                </c:pt>
                <c:pt idx="627">
                  <c:v>1972</c:v>
                </c:pt>
                <c:pt idx="628">
                  <c:v>1969</c:v>
                </c:pt>
                <c:pt idx="629">
                  <c:v>1964</c:v>
                </c:pt>
                <c:pt idx="630">
                  <c:v>1991</c:v>
                </c:pt>
                <c:pt idx="631">
                  <c:v>2006</c:v>
                </c:pt>
                <c:pt idx="632">
                  <c:v>1977</c:v>
                </c:pt>
                <c:pt idx="633">
                  <c:v>2005</c:v>
                </c:pt>
                <c:pt idx="634">
                  <c:v>1980</c:v>
                </c:pt>
                <c:pt idx="635">
                  <c:v>1995</c:v>
                </c:pt>
                <c:pt idx="636">
                  <c:v>1950</c:v>
                </c:pt>
                <c:pt idx="637">
                  <c:v>1954</c:v>
                </c:pt>
                <c:pt idx="638">
                  <c:v>1950</c:v>
                </c:pt>
                <c:pt idx="639">
                  <c:v>2006</c:v>
                </c:pt>
                <c:pt idx="640">
                  <c:v>2004</c:v>
                </c:pt>
                <c:pt idx="641">
                  <c:v>2001</c:v>
                </c:pt>
                <c:pt idx="642">
                  <c:v>1995</c:v>
                </c:pt>
                <c:pt idx="643">
                  <c:v>1969</c:v>
                </c:pt>
                <c:pt idx="644">
                  <c:v>2009</c:v>
                </c:pt>
                <c:pt idx="645">
                  <c:v>1971</c:v>
                </c:pt>
                <c:pt idx="646">
                  <c:v>1950</c:v>
                </c:pt>
                <c:pt idx="647">
                  <c:v>1953</c:v>
                </c:pt>
                <c:pt idx="648">
                  <c:v>1966</c:v>
                </c:pt>
                <c:pt idx="649">
                  <c:v>1970</c:v>
                </c:pt>
                <c:pt idx="650">
                  <c:v>2007</c:v>
                </c:pt>
                <c:pt idx="651">
                  <c:v>1950</c:v>
                </c:pt>
                <c:pt idx="652">
                  <c:v>1996</c:v>
                </c:pt>
                <c:pt idx="653">
                  <c:v>1995</c:v>
                </c:pt>
                <c:pt idx="654">
                  <c:v>1995</c:v>
                </c:pt>
                <c:pt idx="655">
                  <c:v>1971</c:v>
                </c:pt>
                <c:pt idx="656">
                  <c:v>2006</c:v>
                </c:pt>
                <c:pt idx="657">
                  <c:v>2000</c:v>
                </c:pt>
                <c:pt idx="658">
                  <c:v>1950</c:v>
                </c:pt>
                <c:pt idx="659">
                  <c:v>1999</c:v>
                </c:pt>
                <c:pt idx="660">
                  <c:v>1976</c:v>
                </c:pt>
                <c:pt idx="661">
                  <c:v>2005</c:v>
                </c:pt>
                <c:pt idx="662">
                  <c:v>1968</c:v>
                </c:pt>
                <c:pt idx="663">
                  <c:v>1972</c:v>
                </c:pt>
                <c:pt idx="664">
                  <c:v>2006</c:v>
                </c:pt>
                <c:pt idx="665">
                  <c:v>2000</c:v>
                </c:pt>
                <c:pt idx="666">
                  <c:v>1979</c:v>
                </c:pt>
                <c:pt idx="667">
                  <c:v>1998</c:v>
                </c:pt>
                <c:pt idx="668">
                  <c:v>1987</c:v>
                </c:pt>
                <c:pt idx="669">
                  <c:v>1950</c:v>
                </c:pt>
                <c:pt idx="670">
                  <c:v>2005</c:v>
                </c:pt>
                <c:pt idx="671">
                  <c:v>1950</c:v>
                </c:pt>
                <c:pt idx="672">
                  <c:v>1977</c:v>
                </c:pt>
                <c:pt idx="673">
                  <c:v>2004</c:v>
                </c:pt>
                <c:pt idx="674">
                  <c:v>1965</c:v>
                </c:pt>
                <c:pt idx="675">
                  <c:v>1978</c:v>
                </c:pt>
                <c:pt idx="676">
                  <c:v>1950</c:v>
                </c:pt>
                <c:pt idx="677">
                  <c:v>2006</c:v>
                </c:pt>
                <c:pt idx="678">
                  <c:v>2008</c:v>
                </c:pt>
                <c:pt idx="679">
                  <c:v>1961</c:v>
                </c:pt>
                <c:pt idx="680">
                  <c:v>1980</c:v>
                </c:pt>
                <c:pt idx="681">
                  <c:v>2000</c:v>
                </c:pt>
                <c:pt idx="682">
                  <c:v>1997</c:v>
                </c:pt>
                <c:pt idx="683">
                  <c:v>2002</c:v>
                </c:pt>
                <c:pt idx="684">
                  <c:v>1998</c:v>
                </c:pt>
                <c:pt idx="685">
                  <c:v>1984</c:v>
                </c:pt>
                <c:pt idx="686">
                  <c:v>2007</c:v>
                </c:pt>
                <c:pt idx="687">
                  <c:v>2004</c:v>
                </c:pt>
                <c:pt idx="688">
                  <c:v>2007</c:v>
                </c:pt>
                <c:pt idx="689">
                  <c:v>2006</c:v>
                </c:pt>
                <c:pt idx="690">
                  <c:v>2004</c:v>
                </c:pt>
                <c:pt idx="691">
                  <c:v>1995</c:v>
                </c:pt>
                <c:pt idx="692">
                  <c:v>1990</c:v>
                </c:pt>
                <c:pt idx="693">
                  <c:v>1968</c:v>
                </c:pt>
                <c:pt idx="694">
                  <c:v>1950</c:v>
                </c:pt>
                <c:pt idx="695">
                  <c:v>1987</c:v>
                </c:pt>
                <c:pt idx="696">
                  <c:v>1950</c:v>
                </c:pt>
                <c:pt idx="697">
                  <c:v>1952</c:v>
                </c:pt>
                <c:pt idx="698">
                  <c:v>2009</c:v>
                </c:pt>
                <c:pt idx="699">
                  <c:v>2004</c:v>
                </c:pt>
                <c:pt idx="700">
                  <c:v>2002</c:v>
                </c:pt>
                <c:pt idx="701">
                  <c:v>1969</c:v>
                </c:pt>
                <c:pt idx="702">
                  <c:v>2006</c:v>
                </c:pt>
                <c:pt idx="703">
                  <c:v>1996</c:v>
                </c:pt>
                <c:pt idx="704">
                  <c:v>2005</c:v>
                </c:pt>
                <c:pt idx="705">
                  <c:v>1950</c:v>
                </c:pt>
                <c:pt idx="706">
                  <c:v>2002</c:v>
                </c:pt>
                <c:pt idx="707">
                  <c:v>2006</c:v>
                </c:pt>
                <c:pt idx="708">
                  <c:v>2007</c:v>
                </c:pt>
                <c:pt idx="709">
                  <c:v>1966</c:v>
                </c:pt>
                <c:pt idx="710">
                  <c:v>2003</c:v>
                </c:pt>
                <c:pt idx="711">
                  <c:v>1950</c:v>
                </c:pt>
                <c:pt idx="712">
                  <c:v>1989</c:v>
                </c:pt>
                <c:pt idx="713">
                  <c:v>1970</c:v>
                </c:pt>
                <c:pt idx="714">
                  <c:v>2005</c:v>
                </c:pt>
                <c:pt idx="715">
                  <c:v>1974</c:v>
                </c:pt>
                <c:pt idx="716">
                  <c:v>1998</c:v>
                </c:pt>
                <c:pt idx="717">
                  <c:v>2000</c:v>
                </c:pt>
                <c:pt idx="718">
                  <c:v>1994</c:v>
                </c:pt>
                <c:pt idx="719">
                  <c:v>1969</c:v>
                </c:pt>
                <c:pt idx="720">
                  <c:v>1985</c:v>
                </c:pt>
                <c:pt idx="721">
                  <c:v>2004</c:v>
                </c:pt>
                <c:pt idx="722">
                  <c:v>1970</c:v>
                </c:pt>
                <c:pt idx="723">
                  <c:v>1972</c:v>
                </c:pt>
                <c:pt idx="724">
                  <c:v>2008</c:v>
                </c:pt>
                <c:pt idx="725">
                  <c:v>1970</c:v>
                </c:pt>
                <c:pt idx="726">
                  <c:v>2007</c:v>
                </c:pt>
                <c:pt idx="727">
                  <c:v>2007</c:v>
                </c:pt>
                <c:pt idx="728">
                  <c:v>1958</c:v>
                </c:pt>
                <c:pt idx="729">
                  <c:v>1950</c:v>
                </c:pt>
                <c:pt idx="730">
                  <c:v>1996</c:v>
                </c:pt>
                <c:pt idx="731">
                  <c:v>2003</c:v>
                </c:pt>
                <c:pt idx="732">
                  <c:v>1999</c:v>
                </c:pt>
                <c:pt idx="733">
                  <c:v>1983</c:v>
                </c:pt>
                <c:pt idx="734">
                  <c:v>1968</c:v>
                </c:pt>
                <c:pt idx="735">
                  <c:v>1970</c:v>
                </c:pt>
                <c:pt idx="736">
                  <c:v>1950</c:v>
                </c:pt>
                <c:pt idx="737">
                  <c:v>2005</c:v>
                </c:pt>
                <c:pt idx="738">
                  <c:v>1988</c:v>
                </c:pt>
                <c:pt idx="739">
                  <c:v>2004</c:v>
                </c:pt>
                <c:pt idx="740">
                  <c:v>2002</c:v>
                </c:pt>
                <c:pt idx="741">
                  <c:v>1996</c:v>
                </c:pt>
                <c:pt idx="742">
                  <c:v>2001</c:v>
                </c:pt>
                <c:pt idx="743">
                  <c:v>1999</c:v>
                </c:pt>
                <c:pt idx="744">
                  <c:v>1993</c:v>
                </c:pt>
                <c:pt idx="745">
                  <c:v>1996</c:v>
                </c:pt>
                <c:pt idx="746">
                  <c:v>2000</c:v>
                </c:pt>
                <c:pt idx="747">
                  <c:v>2003</c:v>
                </c:pt>
                <c:pt idx="748">
                  <c:v>1996</c:v>
                </c:pt>
                <c:pt idx="749">
                  <c:v>1950</c:v>
                </c:pt>
                <c:pt idx="750">
                  <c:v>2004</c:v>
                </c:pt>
                <c:pt idx="751">
                  <c:v>2003</c:v>
                </c:pt>
                <c:pt idx="752">
                  <c:v>1997</c:v>
                </c:pt>
                <c:pt idx="753">
                  <c:v>2005</c:v>
                </c:pt>
                <c:pt idx="754">
                  <c:v>2005</c:v>
                </c:pt>
                <c:pt idx="755">
                  <c:v>1999</c:v>
                </c:pt>
                <c:pt idx="756">
                  <c:v>2007</c:v>
                </c:pt>
                <c:pt idx="757">
                  <c:v>1978</c:v>
                </c:pt>
                <c:pt idx="758">
                  <c:v>1999</c:v>
                </c:pt>
                <c:pt idx="759">
                  <c:v>1995</c:v>
                </c:pt>
                <c:pt idx="760">
                  <c:v>1959</c:v>
                </c:pt>
                <c:pt idx="761">
                  <c:v>1950</c:v>
                </c:pt>
                <c:pt idx="762">
                  <c:v>2009</c:v>
                </c:pt>
                <c:pt idx="763">
                  <c:v>1999</c:v>
                </c:pt>
                <c:pt idx="764">
                  <c:v>1996</c:v>
                </c:pt>
                <c:pt idx="765">
                  <c:v>2008</c:v>
                </c:pt>
                <c:pt idx="766">
                  <c:v>1988</c:v>
                </c:pt>
                <c:pt idx="767">
                  <c:v>1985</c:v>
                </c:pt>
                <c:pt idx="768">
                  <c:v>2005</c:v>
                </c:pt>
                <c:pt idx="769">
                  <c:v>2003</c:v>
                </c:pt>
                <c:pt idx="770">
                  <c:v>1982</c:v>
                </c:pt>
                <c:pt idx="771">
                  <c:v>1951</c:v>
                </c:pt>
                <c:pt idx="772">
                  <c:v>1976</c:v>
                </c:pt>
                <c:pt idx="773">
                  <c:v>1958</c:v>
                </c:pt>
                <c:pt idx="774">
                  <c:v>2006</c:v>
                </c:pt>
                <c:pt idx="775">
                  <c:v>1998</c:v>
                </c:pt>
                <c:pt idx="776">
                  <c:v>2006</c:v>
                </c:pt>
                <c:pt idx="777">
                  <c:v>1974</c:v>
                </c:pt>
                <c:pt idx="778">
                  <c:v>1977</c:v>
                </c:pt>
                <c:pt idx="779">
                  <c:v>1977</c:v>
                </c:pt>
                <c:pt idx="780">
                  <c:v>1996</c:v>
                </c:pt>
                <c:pt idx="781">
                  <c:v>1992</c:v>
                </c:pt>
                <c:pt idx="782">
                  <c:v>2002</c:v>
                </c:pt>
                <c:pt idx="783">
                  <c:v>1978</c:v>
                </c:pt>
                <c:pt idx="784">
                  <c:v>2001</c:v>
                </c:pt>
                <c:pt idx="785">
                  <c:v>1967</c:v>
                </c:pt>
                <c:pt idx="786">
                  <c:v>1950</c:v>
                </c:pt>
                <c:pt idx="787">
                  <c:v>2004</c:v>
                </c:pt>
                <c:pt idx="788">
                  <c:v>2000</c:v>
                </c:pt>
                <c:pt idx="789">
                  <c:v>2007</c:v>
                </c:pt>
                <c:pt idx="790">
                  <c:v>2006</c:v>
                </c:pt>
                <c:pt idx="791">
                  <c:v>1976</c:v>
                </c:pt>
                <c:pt idx="792">
                  <c:v>1997</c:v>
                </c:pt>
                <c:pt idx="793">
                  <c:v>2007</c:v>
                </c:pt>
                <c:pt idx="794">
                  <c:v>1996</c:v>
                </c:pt>
                <c:pt idx="795">
                  <c:v>1981</c:v>
                </c:pt>
                <c:pt idx="796">
                  <c:v>1977</c:v>
                </c:pt>
                <c:pt idx="797">
                  <c:v>1953</c:v>
                </c:pt>
                <c:pt idx="798">
                  <c:v>2009</c:v>
                </c:pt>
                <c:pt idx="799">
                  <c:v>1950</c:v>
                </c:pt>
                <c:pt idx="800">
                  <c:v>1997</c:v>
                </c:pt>
                <c:pt idx="801">
                  <c:v>1990</c:v>
                </c:pt>
                <c:pt idx="802">
                  <c:v>2005</c:v>
                </c:pt>
                <c:pt idx="803">
                  <c:v>2009</c:v>
                </c:pt>
                <c:pt idx="804">
                  <c:v>1954</c:v>
                </c:pt>
                <c:pt idx="805">
                  <c:v>2008</c:v>
                </c:pt>
                <c:pt idx="806">
                  <c:v>1967</c:v>
                </c:pt>
                <c:pt idx="807">
                  <c:v>2004</c:v>
                </c:pt>
                <c:pt idx="808">
                  <c:v>1966</c:v>
                </c:pt>
                <c:pt idx="809">
                  <c:v>1965</c:v>
                </c:pt>
                <c:pt idx="810">
                  <c:v>1999</c:v>
                </c:pt>
                <c:pt idx="811">
                  <c:v>2004</c:v>
                </c:pt>
                <c:pt idx="812">
                  <c:v>1952</c:v>
                </c:pt>
                <c:pt idx="813">
                  <c:v>1958</c:v>
                </c:pt>
                <c:pt idx="814">
                  <c:v>1950</c:v>
                </c:pt>
                <c:pt idx="815">
                  <c:v>1998</c:v>
                </c:pt>
                <c:pt idx="816">
                  <c:v>1954</c:v>
                </c:pt>
                <c:pt idx="817">
                  <c:v>2002</c:v>
                </c:pt>
                <c:pt idx="818">
                  <c:v>1971</c:v>
                </c:pt>
                <c:pt idx="819">
                  <c:v>2010</c:v>
                </c:pt>
                <c:pt idx="820">
                  <c:v>2003</c:v>
                </c:pt>
                <c:pt idx="821">
                  <c:v>1953</c:v>
                </c:pt>
                <c:pt idx="822">
                  <c:v>2003</c:v>
                </c:pt>
                <c:pt idx="823">
                  <c:v>1950</c:v>
                </c:pt>
                <c:pt idx="824">
                  <c:v>2006</c:v>
                </c:pt>
                <c:pt idx="825">
                  <c:v>2008</c:v>
                </c:pt>
                <c:pt idx="826">
                  <c:v>1950</c:v>
                </c:pt>
                <c:pt idx="827">
                  <c:v>2001</c:v>
                </c:pt>
                <c:pt idx="828">
                  <c:v>1967</c:v>
                </c:pt>
                <c:pt idx="829">
                  <c:v>2005</c:v>
                </c:pt>
                <c:pt idx="830">
                  <c:v>1957</c:v>
                </c:pt>
                <c:pt idx="831">
                  <c:v>2005</c:v>
                </c:pt>
                <c:pt idx="832">
                  <c:v>2003</c:v>
                </c:pt>
                <c:pt idx="833">
                  <c:v>1964</c:v>
                </c:pt>
                <c:pt idx="834">
                  <c:v>1961</c:v>
                </c:pt>
                <c:pt idx="835">
                  <c:v>1995</c:v>
                </c:pt>
                <c:pt idx="836">
                  <c:v>1973</c:v>
                </c:pt>
                <c:pt idx="837">
                  <c:v>1973</c:v>
                </c:pt>
                <c:pt idx="838">
                  <c:v>2006</c:v>
                </c:pt>
                <c:pt idx="839">
                  <c:v>1995</c:v>
                </c:pt>
                <c:pt idx="840">
                  <c:v>1950</c:v>
                </c:pt>
                <c:pt idx="841">
                  <c:v>2002</c:v>
                </c:pt>
                <c:pt idx="842">
                  <c:v>1966</c:v>
                </c:pt>
                <c:pt idx="843">
                  <c:v>1961</c:v>
                </c:pt>
                <c:pt idx="844">
                  <c:v>1950</c:v>
                </c:pt>
                <c:pt idx="845">
                  <c:v>1981</c:v>
                </c:pt>
                <c:pt idx="846">
                  <c:v>1993</c:v>
                </c:pt>
                <c:pt idx="847">
                  <c:v>1972</c:v>
                </c:pt>
                <c:pt idx="848">
                  <c:v>1997</c:v>
                </c:pt>
                <c:pt idx="849">
                  <c:v>1994</c:v>
                </c:pt>
                <c:pt idx="850">
                  <c:v>2003</c:v>
                </c:pt>
                <c:pt idx="851">
                  <c:v>2003</c:v>
                </c:pt>
                <c:pt idx="852">
                  <c:v>1950</c:v>
                </c:pt>
                <c:pt idx="853">
                  <c:v>1964</c:v>
                </c:pt>
                <c:pt idx="854">
                  <c:v>1974</c:v>
                </c:pt>
                <c:pt idx="855">
                  <c:v>2010</c:v>
                </c:pt>
                <c:pt idx="856">
                  <c:v>1978</c:v>
                </c:pt>
                <c:pt idx="857">
                  <c:v>1995</c:v>
                </c:pt>
                <c:pt idx="858">
                  <c:v>1976</c:v>
                </c:pt>
                <c:pt idx="859">
                  <c:v>1984</c:v>
                </c:pt>
                <c:pt idx="860">
                  <c:v>1998</c:v>
                </c:pt>
                <c:pt idx="861">
                  <c:v>1965</c:v>
                </c:pt>
                <c:pt idx="862">
                  <c:v>1985</c:v>
                </c:pt>
                <c:pt idx="863">
                  <c:v>1959</c:v>
                </c:pt>
                <c:pt idx="864">
                  <c:v>2008</c:v>
                </c:pt>
                <c:pt idx="865">
                  <c:v>1970</c:v>
                </c:pt>
                <c:pt idx="866">
                  <c:v>2007</c:v>
                </c:pt>
                <c:pt idx="867">
                  <c:v>1961</c:v>
                </c:pt>
                <c:pt idx="868">
                  <c:v>1950</c:v>
                </c:pt>
                <c:pt idx="869">
                  <c:v>1994</c:v>
                </c:pt>
                <c:pt idx="870">
                  <c:v>1962</c:v>
                </c:pt>
                <c:pt idx="871">
                  <c:v>1998</c:v>
                </c:pt>
                <c:pt idx="872">
                  <c:v>1996</c:v>
                </c:pt>
                <c:pt idx="873">
                  <c:v>1950</c:v>
                </c:pt>
                <c:pt idx="874">
                  <c:v>1950</c:v>
                </c:pt>
                <c:pt idx="875">
                  <c:v>2007</c:v>
                </c:pt>
                <c:pt idx="876">
                  <c:v>1963</c:v>
                </c:pt>
                <c:pt idx="877">
                  <c:v>2005</c:v>
                </c:pt>
                <c:pt idx="878">
                  <c:v>1995</c:v>
                </c:pt>
                <c:pt idx="879">
                  <c:v>2005</c:v>
                </c:pt>
                <c:pt idx="880">
                  <c:v>2006</c:v>
                </c:pt>
                <c:pt idx="881">
                  <c:v>1991</c:v>
                </c:pt>
                <c:pt idx="882">
                  <c:v>1993</c:v>
                </c:pt>
                <c:pt idx="883">
                  <c:v>1950</c:v>
                </c:pt>
                <c:pt idx="884">
                  <c:v>1967</c:v>
                </c:pt>
                <c:pt idx="885">
                  <c:v>2000</c:v>
                </c:pt>
                <c:pt idx="886">
                  <c:v>2005</c:v>
                </c:pt>
                <c:pt idx="887">
                  <c:v>1955</c:v>
                </c:pt>
                <c:pt idx="888">
                  <c:v>1970</c:v>
                </c:pt>
                <c:pt idx="889">
                  <c:v>1953</c:v>
                </c:pt>
                <c:pt idx="890">
                  <c:v>2006</c:v>
                </c:pt>
                <c:pt idx="891">
                  <c:v>1978</c:v>
                </c:pt>
                <c:pt idx="892">
                  <c:v>2003</c:v>
                </c:pt>
                <c:pt idx="893">
                  <c:v>1954</c:v>
                </c:pt>
                <c:pt idx="894">
                  <c:v>1979</c:v>
                </c:pt>
                <c:pt idx="895">
                  <c:v>1963</c:v>
                </c:pt>
                <c:pt idx="896">
                  <c:v>1950</c:v>
                </c:pt>
                <c:pt idx="897">
                  <c:v>1979</c:v>
                </c:pt>
                <c:pt idx="898">
                  <c:v>2010</c:v>
                </c:pt>
                <c:pt idx="899">
                  <c:v>1994</c:v>
                </c:pt>
                <c:pt idx="900">
                  <c:v>1971</c:v>
                </c:pt>
                <c:pt idx="901">
                  <c:v>2000</c:v>
                </c:pt>
                <c:pt idx="902">
                  <c:v>2003</c:v>
                </c:pt>
                <c:pt idx="903">
                  <c:v>2006</c:v>
                </c:pt>
                <c:pt idx="904">
                  <c:v>1967</c:v>
                </c:pt>
                <c:pt idx="905">
                  <c:v>1954</c:v>
                </c:pt>
                <c:pt idx="906">
                  <c:v>2006</c:v>
                </c:pt>
                <c:pt idx="907">
                  <c:v>1987</c:v>
                </c:pt>
                <c:pt idx="908">
                  <c:v>1983</c:v>
                </c:pt>
                <c:pt idx="909">
                  <c:v>2005</c:v>
                </c:pt>
                <c:pt idx="910">
                  <c:v>1960</c:v>
                </c:pt>
                <c:pt idx="911">
                  <c:v>1989</c:v>
                </c:pt>
                <c:pt idx="912">
                  <c:v>1950</c:v>
                </c:pt>
                <c:pt idx="913">
                  <c:v>1950</c:v>
                </c:pt>
                <c:pt idx="914">
                  <c:v>2009</c:v>
                </c:pt>
                <c:pt idx="915">
                  <c:v>1970</c:v>
                </c:pt>
                <c:pt idx="916">
                  <c:v>1950</c:v>
                </c:pt>
                <c:pt idx="917">
                  <c:v>1956</c:v>
                </c:pt>
                <c:pt idx="918">
                  <c:v>1991</c:v>
                </c:pt>
                <c:pt idx="919">
                  <c:v>2002</c:v>
                </c:pt>
                <c:pt idx="920">
                  <c:v>1994</c:v>
                </c:pt>
                <c:pt idx="921">
                  <c:v>2003</c:v>
                </c:pt>
                <c:pt idx="922">
                  <c:v>2006</c:v>
                </c:pt>
                <c:pt idx="923">
                  <c:v>1994</c:v>
                </c:pt>
                <c:pt idx="924">
                  <c:v>1980</c:v>
                </c:pt>
                <c:pt idx="925">
                  <c:v>1977</c:v>
                </c:pt>
                <c:pt idx="926">
                  <c:v>2004</c:v>
                </c:pt>
                <c:pt idx="927">
                  <c:v>1968</c:v>
                </c:pt>
                <c:pt idx="928">
                  <c:v>2001</c:v>
                </c:pt>
                <c:pt idx="929">
                  <c:v>1997</c:v>
                </c:pt>
                <c:pt idx="930">
                  <c:v>2007</c:v>
                </c:pt>
                <c:pt idx="931">
                  <c:v>1965</c:v>
                </c:pt>
                <c:pt idx="932">
                  <c:v>2006</c:v>
                </c:pt>
                <c:pt idx="933">
                  <c:v>2004</c:v>
                </c:pt>
                <c:pt idx="934">
                  <c:v>2007</c:v>
                </c:pt>
                <c:pt idx="935">
                  <c:v>1953</c:v>
                </c:pt>
                <c:pt idx="936">
                  <c:v>2003</c:v>
                </c:pt>
                <c:pt idx="937">
                  <c:v>2005</c:v>
                </c:pt>
                <c:pt idx="938">
                  <c:v>2006</c:v>
                </c:pt>
                <c:pt idx="939">
                  <c:v>1950</c:v>
                </c:pt>
                <c:pt idx="940">
                  <c:v>1976</c:v>
                </c:pt>
                <c:pt idx="941">
                  <c:v>1999</c:v>
                </c:pt>
                <c:pt idx="942">
                  <c:v>1977</c:v>
                </c:pt>
                <c:pt idx="943">
                  <c:v>1967</c:v>
                </c:pt>
                <c:pt idx="944">
                  <c:v>1958</c:v>
                </c:pt>
                <c:pt idx="945">
                  <c:v>1996</c:v>
                </c:pt>
                <c:pt idx="946">
                  <c:v>1959</c:v>
                </c:pt>
                <c:pt idx="947">
                  <c:v>2003</c:v>
                </c:pt>
                <c:pt idx="948">
                  <c:v>2002</c:v>
                </c:pt>
                <c:pt idx="949">
                  <c:v>2006</c:v>
                </c:pt>
                <c:pt idx="950">
                  <c:v>2002</c:v>
                </c:pt>
                <c:pt idx="951">
                  <c:v>1965</c:v>
                </c:pt>
                <c:pt idx="952">
                  <c:v>2003</c:v>
                </c:pt>
                <c:pt idx="953">
                  <c:v>1969</c:v>
                </c:pt>
                <c:pt idx="954">
                  <c:v>1975</c:v>
                </c:pt>
                <c:pt idx="955">
                  <c:v>1950</c:v>
                </c:pt>
                <c:pt idx="956">
                  <c:v>1980</c:v>
                </c:pt>
                <c:pt idx="957">
                  <c:v>1962</c:v>
                </c:pt>
                <c:pt idx="958">
                  <c:v>2003</c:v>
                </c:pt>
                <c:pt idx="959">
                  <c:v>1999</c:v>
                </c:pt>
                <c:pt idx="960">
                  <c:v>2008</c:v>
                </c:pt>
                <c:pt idx="961">
                  <c:v>1995</c:v>
                </c:pt>
                <c:pt idx="962">
                  <c:v>1976</c:v>
                </c:pt>
                <c:pt idx="963">
                  <c:v>2007</c:v>
                </c:pt>
                <c:pt idx="964">
                  <c:v>2003</c:v>
                </c:pt>
                <c:pt idx="965">
                  <c:v>2007</c:v>
                </c:pt>
                <c:pt idx="966">
                  <c:v>1950</c:v>
                </c:pt>
                <c:pt idx="967">
                  <c:v>1955</c:v>
                </c:pt>
                <c:pt idx="968">
                  <c:v>1950</c:v>
                </c:pt>
                <c:pt idx="969">
                  <c:v>1958</c:v>
                </c:pt>
                <c:pt idx="970">
                  <c:v>1950</c:v>
                </c:pt>
                <c:pt idx="971">
                  <c:v>2004</c:v>
                </c:pt>
                <c:pt idx="972">
                  <c:v>1979</c:v>
                </c:pt>
                <c:pt idx="973">
                  <c:v>2008</c:v>
                </c:pt>
                <c:pt idx="974">
                  <c:v>1993</c:v>
                </c:pt>
                <c:pt idx="975">
                  <c:v>2000</c:v>
                </c:pt>
                <c:pt idx="976">
                  <c:v>1958</c:v>
                </c:pt>
                <c:pt idx="977">
                  <c:v>2007</c:v>
                </c:pt>
                <c:pt idx="978">
                  <c:v>1954</c:v>
                </c:pt>
                <c:pt idx="979">
                  <c:v>1963</c:v>
                </c:pt>
                <c:pt idx="980">
                  <c:v>2007</c:v>
                </c:pt>
                <c:pt idx="981">
                  <c:v>1999</c:v>
                </c:pt>
                <c:pt idx="982">
                  <c:v>2007</c:v>
                </c:pt>
                <c:pt idx="983">
                  <c:v>2002</c:v>
                </c:pt>
                <c:pt idx="984">
                  <c:v>1977</c:v>
                </c:pt>
                <c:pt idx="985">
                  <c:v>1950</c:v>
                </c:pt>
                <c:pt idx="986">
                  <c:v>2003</c:v>
                </c:pt>
                <c:pt idx="987">
                  <c:v>2010</c:v>
                </c:pt>
                <c:pt idx="988">
                  <c:v>1976</c:v>
                </c:pt>
                <c:pt idx="989">
                  <c:v>2006</c:v>
                </c:pt>
                <c:pt idx="990">
                  <c:v>1998</c:v>
                </c:pt>
                <c:pt idx="991">
                  <c:v>1986</c:v>
                </c:pt>
                <c:pt idx="992">
                  <c:v>1993</c:v>
                </c:pt>
                <c:pt idx="993">
                  <c:v>2006</c:v>
                </c:pt>
                <c:pt idx="994">
                  <c:v>2007</c:v>
                </c:pt>
                <c:pt idx="995">
                  <c:v>1950</c:v>
                </c:pt>
                <c:pt idx="996">
                  <c:v>1961</c:v>
                </c:pt>
                <c:pt idx="997">
                  <c:v>1970</c:v>
                </c:pt>
                <c:pt idx="998">
                  <c:v>1950</c:v>
                </c:pt>
                <c:pt idx="999">
                  <c:v>2006</c:v>
                </c:pt>
                <c:pt idx="1000">
                  <c:v>1952</c:v>
                </c:pt>
                <c:pt idx="1001">
                  <c:v>1950</c:v>
                </c:pt>
                <c:pt idx="1002">
                  <c:v>2006</c:v>
                </c:pt>
                <c:pt idx="1003">
                  <c:v>1976</c:v>
                </c:pt>
                <c:pt idx="1004">
                  <c:v>2006</c:v>
                </c:pt>
                <c:pt idx="1005">
                  <c:v>1977</c:v>
                </c:pt>
                <c:pt idx="1006">
                  <c:v>1970</c:v>
                </c:pt>
                <c:pt idx="1007">
                  <c:v>1970</c:v>
                </c:pt>
                <c:pt idx="1008">
                  <c:v>2005</c:v>
                </c:pt>
                <c:pt idx="1009">
                  <c:v>1950</c:v>
                </c:pt>
                <c:pt idx="1010">
                  <c:v>1950</c:v>
                </c:pt>
                <c:pt idx="1011">
                  <c:v>1965</c:v>
                </c:pt>
                <c:pt idx="1012">
                  <c:v>1996</c:v>
                </c:pt>
                <c:pt idx="1013">
                  <c:v>2006</c:v>
                </c:pt>
                <c:pt idx="1014">
                  <c:v>1950</c:v>
                </c:pt>
                <c:pt idx="1015">
                  <c:v>2001</c:v>
                </c:pt>
                <c:pt idx="1016">
                  <c:v>1996</c:v>
                </c:pt>
                <c:pt idx="1017">
                  <c:v>1984</c:v>
                </c:pt>
                <c:pt idx="1018">
                  <c:v>1992</c:v>
                </c:pt>
                <c:pt idx="1019">
                  <c:v>2005</c:v>
                </c:pt>
                <c:pt idx="1020">
                  <c:v>2005</c:v>
                </c:pt>
                <c:pt idx="1021">
                  <c:v>2006</c:v>
                </c:pt>
                <c:pt idx="1022">
                  <c:v>1950</c:v>
                </c:pt>
                <c:pt idx="1023">
                  <c:v>2006</c:v>
                </c:pt>
                <c:pt idx="1024">
                  <c:v>1976</c:v>
                </c:pt>
                <c:pt idx="1025">
                  <c:v>1972</c:v>
                </c:pt>
                <c:pt idx="1026">
                  <c:v>1960</c:v>
                </c:pt>
                <c:pt idx="1027">
                  <c:v>2008</c:v>
                </c:pt>
                <c:pt idx="1028">
                  <c:v>1950</c:v>
                </c:pt>
                <c:pt idx="1029">
                  <c:v>1972</c:v>
                </c:pt>
                <c:pt idx="1030">
                  <c:v>1995</c:v>
                </c:pt>
                <c:pt idx="1031">
                  <c:v>1970</c:v>
                </c:pt>
                <c:pt idx="1032">
                  <c:v>1993</c:v>
                </c:pt>
                <c:pt idx="1033">
                  <c:v>2002</c:v>
                </c:pt>
                <c:pt idx="1034">
                  <c:v>1950</c:v>
                </c:pt>
                <c:pt idx="1035">
                  <c:v>1957</c:v>
                </c:pt>
                <c:pt idx="1036">
                  <c:v>2008</c:v>
                </c:pt>
                <c:pt idx="1037">
                  <c:v>2002</c:v>
                </c:pt>
                <c:pt idx="1038">
                  <c:v>2008</c:v>
                </c:pt>
                <c:pt idx="1039">
                  <c:v>1970</c:v>
                </c:pt>
                <c:pt idx="1040">
                  <c:v>2000</c:v>
                </c:pt>
                <c:pt idx="1041">
                  <c:v>2000</c:v>
                </c:pt>
                <c:pt idx="1042">
                  <c:v>2005</c:v>
                </c:pt>
                <c:pt idx="1043">
                  <c:v>1990</c:v>
                </c:pt>
                <c:pt idx="1044">
                  <c:v>1981</c:v>
                </c:pt>
                <c:pt idx="1045">
                  <c:v>1955</c:v>
                </c:pt>
                <c:pt idx="1046">
                  <c:v>2006</c:v>
                </c:pt>
                <c:pt idx="1047">
                  <c:v>1995</c:v>
                </c:pt>
                <c:pt idx="1048">
                  <c:v>2006</c:v>
                </c:pt>
                <c:pt idx="1049">
                  <c:v>2006</c:v>
                </c:pt>
                <c:pt idx="1050">
                  <c:v>2007</c:v>
                </c:pt>
                <c:pt idx="1051">
                  <c:v>2007</c:v>
                </c:pt>
                <c:pt idx="1052">
                  <c:v>1978</c:v>
                </c:pt>
                <c:pt idx="1053">
                  <c:v>2002</c:v>
                </c:pt>
                <c:pt idx="1054">
                  <c:v>2002</c:v>
                </c:pt>
                <c:pt idx="1055">
                  <c:v>1976</c:v>
                </c:pt>
                <c:pt idx="1056">
                  <c:v>2005</c:v>
                </c:pt>
                <c:pt idx="1057">
                  <c:v>1994</c:v>
                </c:pt>
                <c:pt idx="1058">
                  <c:v>2008</c:v>
                </c:pt>
                <c:pt idx="1059">
                  <c:v>1950</c:v>
                </c:pt>
                <c:pt idx="1060">
                  <c:v>2001</c:v>
                </c:pt>
                <c:pt idx="1061">
                  <c:v>1950</c:v>
                </c:pt>
                <c:pt idx="1062">
                  <c:v>1950</c:v>
                </c:pt>
                <c:pt idx="1063">
                  <c:v>1980</c:v>
                </c:pt>
                <c:pt idx="1064">
                  <c:v>1966</c:v>
                </c:pt>
                <c:pt idx="1065">
                  <c:v>1997</c:v>
                </c:pt>
                <c:pt idx="1066">
                  <c:v>1994</c:v>
                </c:pt>
                <c:pt idx="1067">
                  <c:v>1964</c:v>
                </c:pt>
                <c:pt idx="1068">
                  <c:v>1973</c:v>
                </c:pt>
                <c:pt idx="1069">
                  <c:v>2003</c:v>
                </c:pt>
                <c:pt idx="1070">
                  <c:v>1956</c:v>
                </c:pt>
                <c:pt idx="1071">
                  <c:v>1968</c:v>
                </c:pt>
                <c:pt idx="1072">
                  <c:v>1950</c:v>
                </c:pt>
                <c:pt idx="1073">
                  <c:v>1977</c:v>
                </c:pt>
                <c:pt idx="1074">
                  <c:v>2006</c:v>
                </c:pt>
                <c:pt idx="1075">
                  <c:v>1984</c:v>
                </c:pt>
                <c:pt idx="1076">
                  <c:v>1989</c:v>
                </c:pt>
                <c:pt idx="1077">
                  <c:v>1969</c:v>
                </c:pt>
                <c:pt idx="1078">
                  <c:v>2004</c:v>
                </c:pt>
                <c:pt idx="1079">
                  <c:v>1994</c:v>
                </c:pt>
                <c:pt idx="1080">
                  <c:v>2004</c:v>
                </c:pt>
                <c:pt idx="1081">
                  <c:v>1963</c:v>
                </c:pt>
                <c:pt idx="1082">
                  <c:v>2002</c:v>
                </c:pt>
                <c:pt idx="1083">
                  <c:v>1964</c:v>
                </c:pt>
                <c:pt idx="1084">
                  <c:v>1996</c:v>
                </c:pt>
                <c:pt idx="1085">
                  <c:v>1992</c:v>
                </c:pt>
                <c:pt idx="1086">
                  <c:v>1973</c:v>
                </c:pt>
                <c:pt idx="1087">
                  <c:v>2006</c:v>
                </c:pt>
                <c:pt idx="1088">
                  <c:v>2004</c:v>
                </c:pt>
                <c:pt idx="1089">
                  <c:v>2005</c:v>
                </c:pt>
                <c:pt idx="1090">
                  <c:v>1950</c:v>
                </c:pt>
                <c:pt idx="1091">
                  <c:v>2000</c:v>
                </c:pt>
                <c:pt idx="1092">
                  <c:v>1950</c:v>
                </c:pt>
                <c:pt idx="1093">
                  <c:v>1998</c:v>
                </c:pt>
                <c:pt idx="1094">
                  <c:v>2000</c:v>
                </c:pt>
                <c:pt idx="1095">
                  <c:v>2006</c:v>
                </c:pt>
                <c:pt idx="1096">
                  <c:v>2006</c:v>
                </c:pt>
                <c:pt idx="1097">
                  <c:v>1986</c:v>
                </c:pt>
                <c:pt idx="1098">
                  <c:v>1950</c:v>
                </c:pt>
                <c:pt idx="1099">
                  <c:v>1978</c:v>
                </c:pt>
                <c:pt idx="1100">
                  <c:v>1950</c:v>
                </c:pt>
                <c:pt idx="1101">
                  <c:v>1971</c:v>
                </c:pt>
                <c:pt idx="1102">
                  <c:v>2002</c:v>
                </c:pt>
                <c:pt idx="1103">
                  <c:v>1959</c:v>
                </c:pt>
                <c:pt idx="1104">
                  <c:v>1970</c:v>
                </c:pt>
                <c:pt idx="1105">
                  <c:v>1995</c:v>
                </c:pt>
                <c:pt idx="1106">
                  <c:v>1991</c:v>
                </c:pt>
                <c:pt idx="1107">
                  <c:v>2006</c:v>
                </c:pt>
                <c:pt idx="1108">
                  <c:v>2000</c:v>
                </c:pt>
                <c:pt idx="1109">
                  <c:v>2005</c:v>
                </c:pt>
                <c:pt idx="1110">
                  <c:v>1996</c:v>
                </c:pt>
                <c:pt idx="1111">
                  <c:v>1976</c:v>
                </c:pt>
                <c:pt idx="1112">
                  <c:v>1957</c:v>
                </c:pt>
                <c:pt idx="1113">
                  <c:v>2006</c:v>
                </c:pt>
                <c:pt idx="1114">
                  <c:v>2000</c:v>
                </c:pt>
                <c:pt idx="1115">
                  <c:v>2007</c:v>
                </c:pt>
                <c:pt idx="1116">
                  <c:v>2002</c:v>
                </c:pt>
                <c:pt idx="1117">
                  <c:v>2003</c:v>
                </c:pt>
                <c:pt idx="1118">
                  <c:v>1987</c:v>
                </c:pt>
                <c:pt idx="1119">
                  <c:v>1959</c:v>
                </c:pt>
                <c:pt idx="1120">
                  <c:v>1950</c:v>
                </c:pt>
                <c:pt idx="1121">
                  <c:v>2006</c:v>
                </c:pt>
                <c:pt idx="1122">
                  <c:v>1956</c:v>
                </c:pt>
                <c:pt idx="1123">
                  <c:v>2008</c:v>
                </c:pt>
                <c:pt idx="1124">
                  <c:v>1992</c:v>
                </c:pt>
                <c:pt idx="1125">
                  <c:v>1955</c:v>
                </c:pt>
                <c:pt idx="1126">
                  <c:v>2007</c:v>
                </c:pt>
                <c:pt idx="1127">
                  <c:v>2004</c:v>
                </c:pt>
                <c:pt idx="1128">
                  <c:v>2005</c:v>
                </c:pt>
                <c:pt idx="1129">
                  <c:v>1980</c:v>
                </c:pt>
                <c:pt idx="1130">
                  <c:v>1950</c:v>
                </c:pt>
                <c:pt idx="1131">
                  <c:v>1992</c:v>
                </c:pt>
                <c:pt idx="1132">
                  <c:v>1950</c:v>
                </c:pt>
                <c:pt idx="1133">
                  <c:v>1995</c:v>
                </c:pt>
                <c:pt idx="1134">
                  <c:v>1997</c:v>
                </c:pt>
                <c:pt idx="1135">
                  <c:v>1950</c:v>
                </c:pt>
                <c:pt idx="1136">
                  <c:v>1950</c:v>
                </c:pt>
                <c:pt idx="1137">
                  <c:v>1996</c:v>
                </c:pt>
                <c:pt idx="1138">
                  <c:v>1977</c:v>
                </c:pt>
                <c:pt idx="1139">
                  <c:v>1950</c:v>
                </c:pt>
                <c:pt idx="1140">
                  <c:v>1951</c:v>
                </c:pt>
                <c:pt idx="1141">
                  <c:v>1976</c:v>
                </c:pt>
                <c:pt idx="1142">
                  <c:v>2007</c:v>
                </c:pt>
                <c:pt idx="1143">
                  <c:v>1959</c:v>
                </c:pt>
                <c:pt idx="1144">
                  <c:v>1950</c:v>
                </c:pt>
                <c:pt idx="1145">
                  <c:v>1950</c:v>
                </c:pt>
                <c:pt idx="1146">
                  <c:v>1985</c:v>
                </c:pt>
                <c:pt idx="1147">
                  <c:v>1950</c:v>
                </c:pt>
                <c:pt idx="1148">
                  <c:v>1950</c:v>
                </c:pt>
                <c:pt idx="1149">
                  <c:v>1988</c:v>
                </c:pt>
                <c:pt idx="1150">
                  <c:v>1950</c:v>
                </c:pt>
                <c:pt idx="1151">
                  <c:v>1959</c:v>
                </c:pt>
                <c:pt idx="1152">
                  <c:v>2004</c:v>
                </c:pt>
                <c:pt idx="1153">
                  <c:v>2007</c:v>
                </c:pt>
                <c:pt idx="1154">
                  <c:v>1988</c:v>
                </c:pt>
                <c:pt idx="1155">
                  <c:v>2004</c:v>
                </c:pt>
                <c:pt idx="1156">
                  <c:v>1999</c:v>
                </c:pt>
                <c:pt idx="1157">
                  <c:v>2008</c:v>
                </c:pt>
                <c:pt idx="1158">
                  <c:v>2008</c:v>
                </c:pt>
                <c:pt idx="1159">
                  <c:v>1974</c:v>
                </c:pt>
                <c:pt idx="1160">
                  <c:v>1978</c:v>
                </c:pt>
                <c:pt idx="1161">
                  <c:v>2006</c:v>
                </c:pt>
                <c:pt idx="1162">
                  <c:v>1968</c:v>
                </c:pt>
                <c:pt idx="1163">
                  <c:v>1969</c:v>
                </c:pt>
                <c:pt idx="1164">
                  <c:v>1978</c:v>
                </c:pt>
                <c:pt idx="1165">
                  <c:v>2009</c:v>
                </c:pt>
                <c:pt idx="1166">
                  <c:v>2008</c:v>
                </c:pt>
                <c:pt idx="1167">
                  <c:v>2000</c:v>
                </c:pt>
                <c:pt idx="1168">
                  <c:v>1986</c:v>
                </c:pt>
                <c:pt idx="1169">
                  <c:v>1996</c:v>
                </c:pt>
                <c:pt idx="1170">
                  <c:v>1977</c:v>
                </c:pt>
                <c:pt idx="1171">
                  <c:v>1958</c:v>
                </c:pt>
                <c:pt idx="1172">
                  <c:v>2007</c:v>
                </c:pt>
                <c:pt idx="1173">
                  <c:v>1994</c:v>
                </c:pt>
                <c:pt idx="1174">
                  <c:v>1950</c:v>
                </c:pt>
                <c:pt idx="1175">
                  <c:v>2000</c:v>
                </c:pt>
                <c:pt idx="1176">
                  <c:v>1985</c:v>
                </c:pt>
                <c:pt idx="1177">
                  <c:v>2004</c:v>
                </c:pt>
                <c:pt idx="1178">
                  <c:v>1950</c:v>
                </c:pt>
                <c:pt idx="1179">
                  <c:v>1954</c:v>
                </c:pt>
                <c:pt idx="1180">
                  <c:v>1991</c:v>
                </c:pt>
                <c:pt idx="1181">
                  <c:v>2008</c:v>
                </c:pt>
                <c:pt idx="1182">
                  <c:v>1996</c:v>
                </c:pt>
                <c:pt idx="1183">
                  <c:v>1950</c:v>
                </c:pt>
                <c:pt idx="1184">
                  <c:v>1963</c:v>
                </c:pt>
                <c:pt idx="1185">
                  <c:v>1950</c:v>
                </c:pt>
                <c:pt idx="1186">
                  <c:v>1970</c:v>
                </c:pt>
                <c:pt idx="1187">
                  <c:v>1995</c:v>
                </c:pt>
                <c:pt idx="1188">
                  <c:v>2002</c:v>
                </c:pt>
                <c:pt idx="1189">
                  <c:v>1999</c:v>
                </c:pt>
                <c:pt idx="1190">
                  <c:v>1975</c:v>
                </c:pt>
                <c:pt idx="1191">
                  <c:v>2000</c:v>
                </c:pt>
                <c:pt idx="1192">
                  <c:v>1994</c:v>
                </c:pt>
                <c:pt idx="1193">
                  <c:v>1999</c:v>
                </c:pt>
                <c:pt idx="1194">
                  <c:v>1969</c:v>
                </c:pt>
                <c:pt idx="1195">
                  <c:v>2005</c:v>
                </c:pt>
                <c:pt idx="1196">
                  <c:v>2006</c:v>
                </c:pt>
                <c:pt idx="1197">
                  <c:v>1950</c:v>
                </c:pt>
                <c:pt idx="1198">
                  <c:v>2001</c:v>
                </c:pt>
                <c:pt idx="1199">
                  <c:v>1979</c:v>
                </c:pt>
                <c:pt idx="1200">
                  <c:v>1970</c:v>
                </c:pt>
                <c:pt idx="1201">
                  <c:v>1998</c:v>
                </c:pt>
                <c:pt idx="1202">
                  <c:v>1997</c:v>
                </c:pt>
                <c:pt idx="1203">
                  <c:v>2001</c:v>
                </c:pt>
                <c:pt idx="1204">
                  <c:v>1975</c:v>
                </c:pt>
                <c:pt idx="1205">
                  <c:v>1991</c:v>
                </c:pt>
                <c:pt idx="1206">
                  <c:v>1966</c:v>
                </c:pt>
                <c:pt idx="1207">
                  <c:v>2003</c:v>
                </c:pt>
                <c:pt idx="1208">
                  <c:v>1980</c:v>
                </c:pt>
                <c:pt idx="1209">
                  <c:v>2006</c:v>
                </c:pt>
                <c:pt idx="1210">
                  <c:v>1992</c:v>
                </c:pt>
                <c:pt idx="1211">
                  <c:v>2005</c:v>
                </c:pt>
                <c:pt idx="1212">
                  <c:v>1950</c:v>
                </c:pt>
                <c:pt idx="1213">
                  <c:v>2001</c:v>
                </c:pt>
                <c:pt idx="1214">
                  <c:v>1962</c:v>
                </c:pt>
                <c:pt idx="1215">
                  <c:v>1966</c:v>
                </c:pt>
                <c:pt idx="1216">
                  <c:v>1978</c:v>
                </c:pt>
                <c:pt idx="1217">
                  <c:v>2009</c:v>
                </c:pt>
                <c:pt idx="1218">
                  <c:v>1950</c:v>
                </c:pt>
                <c:pt idx="1219">
                  <c:v>1971</c:v>
                </c:pt>
                <c:pt idx="1220">
                  <c:v>1964</c:v>
                </c:pt>
                <c:pt idx="1221">
                  <c:v>1968</c:v>
                </c:pt>
                <c:pt idx="1222">
                  <c:v>1950</c:v>
                </c:pt>
                <c:pt idx="1223">
                  <c:v>1951</c:v>
                </c:pt>
                <c:pt idx="1224">
                  <c:v>2005</c:v>
                </c:pt>
                <c:pt idx="1225">
                  <c:v>1958</c:v>
                </c:pt>
                <c:pt idx="1226">
                  <c:v>2007</c:v>
                </c:pt>
                <c:pt idx="1227">
                  <c:v>2008</c:v>
                </c:pt>
                <c:pt idx="1228">
                  <c:v>2008</c:v>
                </c:pt>
                <c:pt idx="1229">
                  <c:v>1960</c:v>
                </c:pt>
                <c:pt idx="1230">
                  <c:v>1977</c:v>
                </c:pt>
                <c:pt idx="1231">
                  <c:v>1962</c:v>
                </c:pt>
                <c:pt idx="1232">
                  <c:v>1962</c:v>
                </c:pt>
                <c:pt idx="1233">
                  <c:v>1959</c:v>
                </c:pt>
                <c:pt idx="1234">
                  <c:v>1950</c:v>
                </c:pt>
                <c:pt idx="1235">
                  <c:v>1950</c:v>
                </c:pt>
                <c:pt idx="1236">
                  <c:v>2003</c:v>
                </c:pt>
                <c:pt idx="1237">
                  <c:v>2005</c:v>
                </c:pt>
                <c:pt idx="1238">
                  <c:v>2005</c:v>
                </c:pt>
                <c:pt idx="1239">
                  <c:v>2006</c:v>
                </c:pt>
                <c:pt idx="1240">
                  <c:v>2003</c:v>
                </c:pt>
                <c:pt idx="1241">
                  <c:v>2007</c:v>
                </c:pt>
                <c:pt idx="1242">
                  <c:v>1974</c:v>
                </c:pt>
                <c:pt idx="1243">
                  <c:v>2006</c:v>
                </c:pt>
                <c:pt idx="1244">
                  <c:v>1950</c:v>
                </c:pt>
                <c:pt idx="1245">
                  <c:v>2003</c:v>
                </c:pt>
                <c:pt idx="1246">
                  <c:v>2006</c:v>
                </c:pt>
                <c:pt idx="1247">
                  <c:v>1976</c:v>
                </c:pt>
                <c:pt idx="1248">
                  <c:v>1950</c:v>
                </c:pt>
                <c:pt idx="1249">
                  <c:v>1950</c:v>
                </c:pt>
                <c:pt idx="1250">
                  <c:v>1968</c:v>
                </c:pt>
                <c:pt idx="1251">
                  <c:v>2003</c:v>
                </c:pt>
                <c:pt idx="1252">
                  <c:v>1968</c:v>
                </c:pt>
                <c:pt idx="1253">
                  <c:v>2003</c:v>
                </c:pt>
                <c:pt idx="1254">
                  <c:v>2004</c:v>
                </c:pt>
                <c:pt idx="1255">
                  <c:v>1950</c:v>
                </c:pt>
                <c:pt idx="1256">
                  <c:v>1994</c:v>
                </c:pt>
                <c:pt idx="1257">
                  <c:v>1950</c:v>
                </c:pt>
                <c:pt idx="1258">
                  <c:v>2005</c:v>
                </c:pt>
                <c:pt idx="1259">
                  <c:v>1969</c:v>
                </c:pt>
                <c:pt idx="1260">
                  <c:v>1999</c:v>
                </c:pt>
                <c:pt idx="1261">
                  <c:v>1956</c:v>
                </c:pt>
                <c:pt idx="1262">
                  <c:v>1989</c:v>
                </c:pt>
                <c:pt idx="1263">
                  <c:v>1950</c:v>
                </c:pt>
                <c:pt idx="1264">
                  <c:v>1999</c:v>
                </c:pt>
                <c:pt idx="1265">
                  <c:v>1999</c:v>
                </c:pt>
                <c:pt idx="1266">
                  <c:v>1950</c:v>
                </c:pt>
                <c:pt idx="1267">
                  <c:v>2009</c:v>
                </c:pt>
                <c:pt idx="1268">
                  <c:v>1997</c:v>
                </c:pt>
                <c:pt idx="1269">
                  <c:v>1958</c:v>
                </c:pt>
                <c:pt idx="1270">
                  <c:v>1979</c:v>
                </c:pt>
                <c:pt idx="1271">
                  <c:v>1968</c:v>
                </c:pt>
                <c:pt idx="1272">
                  <c:v>1965</c:v>
                </c:pt>
                <c:pt idx="1273">
                  <c:v>2006</c:v>
                </c:pt>
                <c:pt idx="1274">
                  <c:v>2003</c:v>
                </c:pt>
                <c:pt idx="1275">
                  <c:v>1950</c:v>
                </c:pt>
                <c:pt idx="1276">
                  <c:v>1972</c:v>
                </c:pt>
                <c:pt idx="1277">
                  <c:v>1976</c:v>
                </c:pt>
                <c:pt idx="1278">
                  <c:v>2002</c:v>
                </c:pt>
                <c:pt idx="1279">
                  <c:v>1950</c:v>
                </c:pt>
                <c:pt idx="1280">
                  <c:v>2002</c:v>
                </c:pt>
                <c:pt idx="1281">
                  <c:v>1990</c:v>
                </c:pt>
                <c:pt idx="1282">
                  <c:v>2008</c:v>
                </c:pt>
                <c:pt idx="1283">
                  <c:v>1971</c:v>
                </c:pt>
                <c:pt idx="1284">
                  <c:v>1990</c:v>
                </c:pt>
                <c:pt idx="1285">
                  <c:v>1950</c:v>
                </c:pt>
                <c:pt idx="1286">
                  <c:v>1963</c:v>
                </c:pt>
                <c:pt idx="1287">
                  <c:v>1964</c:v>
                </c:pt>
                <c:pt idx="1288">
                  <c:v>2000</c:v>
                </c:pt>
                <c:pt idx="1289">
                  <c:v>2006</c:v>
                </c:pt>
                <c:pt idx="1290">
                  <c:v>1964</c:v>
                </c:pt>
                <c:pt idx="1291">
                  <c:v>1972</c:v>
                </c:pt>
                <c:pt idx="1292">
                  <c:v>1965</c:v>
                </c:pt>
                <c:pt idx="1293">
                  <c:v>1976</c:v>
                </c:pt>
                <c:pt idx="1294">
                  <c:v>1990</c:v>
                </c:pt>
                <c:pt idx="1295">
                  <c:v>1968</c:v>
                </c:pt>
                <c:pt idx="1296">
                  <c:v>1963</c:v>
                </c:pt>
                <c:pt idx="1297">
                  <c:v>2006</c:v>
                </c:pt>
                <c:pt idx="1298">
                  <c:v>2008</c:v>
                </c:pt>
                <c:pt idx="1299">
                  <c:v>1994</c:v>
                </c:pt>
                <c:pt idx="1300">
                  <c:v>1999</c:v>
                </c:pt>
                <c:pt idx="1301">
                  <c:v>1950</c:v>
                </c:pt>
                <c:pt idx="1302">
                  <c:v>1994</c:v>
                </c:pt>
                <c:pt idx="1303">
                  <c:v>2005</c:v>
                </c:pt>
                <c:pt idx="1304">
                  <c:v>2004</c:v>
                </c:pt>
                <c:pt idx="1305">
                  <c:v>2007</c:v>
                </c:pt>
                <c:pt idx="1306">
                  <c:v>2006</c:v>
                </c:pt>
                <c:pt idx="1307">
                  <c:v>1995</c:v>
                </c:pt>
                <c:pt idx="1308">
                  <c:v>2005</c:v>
                </c:pt>
                <c:pt idx="1309">
                  <c:v>1991</c:v>
                </c:pt>
                <c:pt idx="1310">
                  <c:v>2002</c:v>
                </c:pt>
                <c:pt idx="1311">
                  <c:v>2007</c:v>
                </c:pt>
                <c:pt idx="1312">
                  <c:v>1990</c:v>
                </c:pt>
                <c:pt idx="1313">
                  <c:v>1999</c:v>
                </c:pt>
                <c:pt idx="1314">
                  <c:v>1954</c:v>
                </c:pt>
                <c:pt idx="1315">
                  <c:v>1969</c:v>
                </c:pt>
                <c:pt idx="1316">
                  <c:v>2008</c:v>
                </c:pt>
                <c:pt idx="1317">
                  <c:v>2007</c:v>
                </c:pt>
                <c:pt idx="1318">
                  <c:v>2002</c:v>
                </c:pt>
                <c:pt idx="1319">
                  <c:v>1954</c:v>
                </c:pt>
                <c:pt idx="1320">
                  <c:v>1957</c:v>
                </c:pt>
                <c:pt idx="1321">
                  <c:v>1950</c:v>
                </c:pt>
                <c:pt idx="1322">
                  <c:v>1992</c:v>
                </c:pt>
                <c:pt idx="1323">
                  <c:v>1950</c:v>
                </c:pt>
                <c:pt idx="1324">
                  <c:v>2007</c:v>
                </c:pt>
                <c:pt idx="1325">
                  <c:v>1950</c:v>
                </c:pt>
                <c:pt idx="1326">
                  <c:v>2006</c:v>
                </c:pt>
                <c:pt idx="1327">
                  <c:v>2008</c:v>
                </c:pt>
                <c:pt idx="1328">
                  <c:v>1950</c:v>
                </c:pt>
                <c:pt idx="1329">
                  <c:v>1998</c:v>
                </c:pt>
                <c:pt idx="1330">
                  <c:v>2006</c:v>
                </c:pt>
                <c:pt idx="1331">
                  <c:v>1976</c:v>
                </c:pt>
                <c:pt idx="1332">
                  <c:v>1958</c:v>
                </c:pt>
                <c:pt idx="1333">
                  <c:v>1995</c:v>
                </c:pt>
                <c:pt idx="1334">
                  <c:v>1970</c:v>
                </c:pt>
                <c:pt idx="1335">
                  <c:v>1977</c:v>
                </c:pt>
                <c:pt idx="1336">
                  <c:v>1973</c:v>
                </c:pt>
                <c:pt idx="1337">
                  <c:v>1950</c:v>
                </c:pt>
                <c:pt idx="1338">
                  <c:v>2002</c:v>
                </c:pt>
                <c:pt idx="1339">
                  <c:v>1972</c:v>
                </c:pt>
                <c:pt idx="1340">
                  <c:v>1971</c:v>
                </c:pt>
                <c:pt idx="1341">
                  <c:v>2004</c:v>
                </c:pt>
                <c:pt idx="1342">
                  <c:v>2002</c:v>
                </c:pt>
                <c:pt idx="1343">
                  <c:v>1950</c:v>
                </c:pt>
                <c:pt idx="1344">
                  <c:v>2006</c:v>
                </c:pt>
                <c:pt idx="1345">
                  <c:v>1950</c:v>
                </c:pt>
                <c:pt idx="1346">
                  <c:v>2003</c:v>
                </c:pt>
                <c:pt idx="1347">
                  <c:v>2007</c:v>
                </c:pt>
                <c:pt idx="1348">
                  <c:v>1998</c:v>
                </c:pt>
                <c:pt idx="1349">
                  <c:v>1987</c:v>
                </c:pt>
                <c:pt idx="1350">
                  <c:v>1969</c:v>
                </c:pt>
                <c:pt idx="1351">
                  <c:v>1962</c:v>
                </c:pt>
                <c:pt idx="1352">
                  <c:v>2000</c:v>
                </c:pt>
                <c:pt idx="1353">
                  <c:v>1996</c:v>
                </c:pt>
                <c:pt idx="1354">
                  <c:v>2000</c:v>
                </c:pt>
                <c:pt idx="1355">
                  <c:v>1992</c:v>
                </c:pt>
                <c:pt idx="1356">
                  <c:v>1966</c:v>
                </c:pt>
                <c:pt idx="1357">
                  <c:v>2008</c:v>
                </c:pt>
                <c:pt idx="1358">
                  <c:v>2000</c:v>
                </c:pt>
                <c:pt idx="1359">
                  <c:v>2005</c:v>
                </c:pt>
                <c:pt idx="1360">
                  <c:v>1998</c:v>
                </c:pt>
                <c:pt idx="1361">
                  <c:v>2005</c:v>
                </c:pt>
                <c:pt idx="1362">
                  <c:v>2007</c:v>
                </c:pt>
                <c:pt idx="1363">
                  <c:v>2007</c:v>
                </c:pt>
                <c:pt idx="1364">
                  <c:v>2005</c:v>
                </c:pt>
                <c:pt idx="1365">
                  <c:v>2000</c:v>
                </c:pt>
                <c:pt idx="1366">
                  <c:v>1999</c:v>
                </c:pt>
                <c:pt idx="1367">
                  <c:v>1977</c:v>
                </c:pt>
                <c:pt idx="1368">
                  <c:v>2004</c:v>
                </c:pt>
                <c:pt idx="1369">
                  <c:v>2003</c:v>
                </c:pt>
                <c:pt idx="1370">
                  <c:v>1950</c:v>
                </c:pt>
                <c:pt idx="1371">
                  <c:v>1996</c:v>
                </c:pt>
                <c:pt idx="1372">
                  <c:v>1998</c:v>
                </c:pt>
                <c:pt idx="1373">
                  <c:v>2002</c:v>
                </c:pt>
                <c:pt idx="1374">
                  <c:v>2005</c:v>
                </c:pt>
                <c:pt idx="1375">
                  <c:v>2007</c:v>
                </c:pt>
                <c:pt idx="1376">
                  <c:v>1950</c:v>
                </c:pt>
                <c:pt idx="1377">
                  <c:v>1960</c:v>
                </c:pt>
                <c:pt idx="1378">
                  <c:v>1973</c:v>
                </c:pt>
                <c:pt idx="1379">
                  <c:v>2007</c:v>
                </c:pt>
                <c:pt idx="1380">
                  <c:v>1950</c:v>
                </c:pt>
                <c:pt idx="1381">
                  <c:v>1970</c:v>
                </c:pt>
                <c:pt idx="1382">
                  <c:v>1950</c:v>
                </c:pt>
                <c:pt idx="1383">
                  <c:v>2007</c:v>
                </c:pt>
                <c:pt idx="1384">
                  <c:v>1950</c:v>
                </c:pt>
                <c:pt idx="1385">
                  <c:v>2007</c:v>
                </c:pt>
                <c:pt idx="1386">
                  <c:v>1978</c:v>
                </c:pt>
                <c:pt idx="1387">
                  <c:v>1950</c:v>
                </c:pt>
                <c:pt idx="1388">
                  <c:v>2007</c:v>
                </c:pt>
                <c:pt idx="1389">
                  <c:v>1950</c:v>
                </c:pt>
                <c:pt idx="1390">
                  <c:v>2000</c:v>
                </c:pt>
                <c:pt idx="1391">
                  <c:v>1967</c:v>
                </c:pt>
                <c:pt idx="1392">
                  <c:v>1967</c:v>
                </c:pt>
                <c:pt idx="1393">
                  <c:v>2000</c:v>
                </c:pt>
                <c:pt idx="1394">
                  <c:v>2006</c:v>
                </c:pt>
                <c:pt idx="1395">
                  <c:v>2006</c:v>
                </c:pt>
                <c:pt idx="1396">
                  <c:v>1950</c:v>
                </c:pt>
                <c:pt idx="1397">
                  <c:v>2004</c:v>
                </c:pt>
                <c:pt idx="1398">
                  <c:v>1982</c:v>
                </c:pt>
                <c:pt idx="1399">
                  <c:v>1990</c:v>
                </c:pt>
                <c:pt idx="1400">
                  <c:v>1950</c:v>
                </c:pt>
                <c:pt idx="1401">
                  <c:v>2004</c:v>
                </c:pt>
                <c:pt idx="1402">
                  <c:v>2006</c:v>
                </c:pt>
                <c:pt idx="1403">
                  <c:v>2007</c:v>
                </c:pt>
                <c:pt idx="1404">
                  <c:v>1950</c:v>
                </c:pt>
                <c:pt idx="1405">
                  <c:v>2005</c:v>
                </c:pt>
                <c:pt idx="1406">
                  <c:v>2007</c:v>
                </c:pt>
                <c:pt idx="1407">
                  <c:v>1985</c:v>
                </c:pt>
                <c:pt idx="1408">
                  <c:v>1950</c:v>
                </c:pt>
                <c:pt idx="1409">
                  <c:v>1991</c:v>
                </c:pt>
                <c:pt idx="1410">
                  <c:v>2001</c:v>
                </c:pt>
                <c:pt idx="1411">
                  <c:v>2005</c:v>
                </c:pt>
                <c:pt idx="1412">
                  <c:v>1950</c:v>
                </c:pt>
                <c:pt idx="1413">
                  <c:v>2006</c:v>
                </c:pt>
                <c:pt idx="1414">
                  <c:v>2000</c:v>
                </c:pt>
                <c:pt idx="1415">
                  <c:v>2007</c:v>
                </c:pt>
                <c:pt idx="1416">
                  <c:v>1950</c:v>
                </c:pt>
                <c:pt idx="1417">
                  <c:v>1998</c:v>
                </c:pt>
                <c:pt idx="1418">
                  <c:v>1963</c:v>
                </c:pt>
                <c:pt idx="1419">
                  <c:v>1969</c:v>
                </c:pt>
                <c:pt idx="1420">
                  <c:v>1968</c:v>
                </c:pt>
                <c:pt idx="1421">
                  <c:v>1977</c:v>
                </c:pt>
                <c:pt idx="1422">
                  <c:v>2003</c:v>
                </c:pt>
                <c:pt idx="1423">
                  <c:v>1966</c:v>
                </c:pt>
                <c:pt idx="1424">
                  <c:v>1983</c:v>
                </c:pt>
                <c:pt idx="1425">
                  <c:v>1959</c:v>
                </c:pt>
                <c:pt idx="1426">
                  <c:v>1994</c:v>
                </c:pt>
                <c:pt idx="1427">
                  <c:v>1950</c:v>
                </c:pt>
                <c:pt idx="1428">
                  <c:v>1992</c:v>
                </c:pt>
                <c:pt idx="1429">
                  <c:v>1981</c:v>
                </c:pt>
                <c:pt idx="1430">
                  <c:v>2005</c:v>
                </c:pt>
                <c:pt idx="1431">
                  <c:v>1976</c:v>
                </c:pt>
                <c:pt idx="1432">
                  <c:v>2007</c:v>
                </c:pt>
                <c:pt idx="1433">
                  <c:v>2000</c:v>
                </c:pt>
                <c:pt idx="1434">
                  <c:v>1977</c:v>
                </c:pt>
                <c:pt idx="1435">
                  <c:v>2005</c:v>
                </c:pt>
                <c:pt idx="1436">
                  <c:v>1971</c:v>
                </c:pt>
                <c:pt idx="1437">
                  <c:v>2008</c:v>
                </c:pt>
                <c:pt idx="1438">
                  <c:v>1996</c:v>
                </c:pt>
                <c:pt idx="1439">
                  <c:v>1979</c:v>
                </c:pt>
                <c:pt idx="1440">
                  <c:v>1994</c:v>
                </c:pt>
                <c:pt idx="1441">
                  <c:v>2004</c:v>
                </c:pt>
                <c:pt idx="1442">
                  <c:v>2008</c:v>
                </c:pt>
                <c:pt idx="1443">
                  <c:v>1950</c:v>
                </c:pt>
                <c:pt idx="1444">
                  <c:v>2004</c:v>
                </c:pt>
                <c:pt idx="1445">
                  <c:v>1966</c:v>
                </c:pt>
                <c:pt idx="1446">
                  <c:v>1962</c:v>
                </c:pt>
                <c:pt idx="1447">
                  <c:v>1996</c:v>
                </c:pt>
                <c:pt idx="1448">
                  <c:v>2000</c:v>
                </c:pt>
                <c:pt idx="1449">
                  <c:v>1970</c:v>
                </c:pt>
                <c:pt idx="1450">
                  <c:v>1974</c:v>
                </c:pt>
                <c:pt idx="1451">
                  <c:v>2009</c:v>
                </c:pt>
                <c:pt idx="1452">
                  <c:v>2005</c:v>
                </c:pt>
                <c:pt idx="1453">
                  <c:v>2006</c:v>
                </c:pt>
                <c:pt idx="1454">
                  <c:v>2005</c:v>
                </c:pt>
                <c:pt idx="1455">
                  <c:v>2000</c:v>
                </c:pt>
                <c:pt idx="1456">
                  <c:v>1988</c:v>
                </c:pt>
                <c:pt idx="1457">
                  <c:v>2006</c:v>
                </c:pt>
                <c:pt idx="1458">
                  <c:v>1996</c:v>
                </c:pt>
                <c:pt idx="1459">
                  <c:v>1965</c:v>
                </c:pt>
              </c:numCache>
            </c:numRef>
          </c:xVal>
          <c:yVal>
            <c:numRef>
              <c:f>Analysis5!$C$2:$C$1461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8-4609-AC9D-0865B8243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18704"/>
        <c:axId val="1043358800"/>
      </c:scatterChart>
      <c:valAx>
        <c:axId val="16892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58800"/>
        <c:crosses val="autoZero"/>
        <c:crossBetween val="midCat"/>
      </c:valAx>
      <c:valAx>
        <c:axId val="10433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Analysis6!$B$1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Analysis6!$A$2:$A$6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Analysis6!$B$2:$B$6</c:f>
              <c:numCache>
                <c:formatCode>General</c:formatCode>
                <c:ptCount val="5"/>
                <c:pt idx="0">
                  <c:v>81</c:v>
                </c:pt>
                <c:pt idx="1">
                  <c:v>369</c:v>
                </c:pt>
                <c:pt idx="2">
                  <c:v>824</c:v>
                </c:pt>
                <c:pt idx="3">
                  <c:v>181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77F-90C3-524F8BD381F1}"/>
            </c:ext>
          </c:extLst>
        </c:ser>
        <c:ser>
          <c:idx val="1"/>
          <c:order val="1"/>
          <c:tx>
            <c:strRef>
              <c:f>Analysis6!$C$1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Analysis6!$A$2:$A$6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Analysis6!$C$2:$C$6</c:f>
              <c:numCache>
                <c:formatCode>General</c:formatCode>
                <c:ptCount val="5"/>
                <c:pt idx="0">
                  <c:v>103317.28395061729</c:v>
                </c:pt>
                <c:pt idx="1">
                  <c:v>128116.68834688347</c:v>
                </c:pt>
                <c:pt idx="2">
                  <c:v>183851.66383495147</c:v>
                </c:pt>
                <c:pt idx="3">
                  <c:v>309636.12154696131</c:v>
                </c:pt>
                <c:pt idx="4">
                  <c:v>192655.8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2-477F-90C3-524F8BD38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233088"/>
        <c:axId val="1728795056"/>
      </c:barChart>
      <c:catAx>
        <c:axId val="15742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95056"/>
        <c:crosses val="autoZero"/>
        <c:auto val="1"/>
        <c:lblAlgn val="ctr"/>
        <c:lblOffset val="100"/>
        <c:noMultiLvlLbl val="0"/>
      </c:catAx>
      <c:valAx>
        <c:axId val="17287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Analysis7!$A$3:$A$8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Analysis7!$B$3:$B$8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50</c:v>
                </c:pt>
                <c:pt idx="3">
                  <c:v>358</c:v>
                </c:pt>
                <c:pt idx="4">
                  <c:v>804</c:v>
                </c:pt>
                <c:pt idx="5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0-40AF-A996-82885B981DFE}"/>
            </c:ext>
          </c:extLst>
        </c:ser>
        <c:ser>
          <c:idx val="1"/>
          <c:order val="1"/>
          <c:tx>
            <c:strRef>
              <c:f>Analysis7!$C$2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Analysis7!$A$3:$A$8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Analysis7!$C$3:$C$8</c:f>
              <c:numCache>
                <c:formatCode>General</c:formatCode>
                <c:ptCount val="6"/>
                <c:pt idx="0">
                  <c:v>221493.16666666666</c:v>
                </c:pt>
                <c:pt idx="1">
                  <c:v>173162.42</c:v>
                </c:pt>
                <c:pt idx="2">
                  <c:v>158197.65921787708</c:v>
                </c:pt>
                <c:pt idx="3">
                  <c:v>181056.87064676618</c:v>
                </c:pt>
                <c:pt idx="4">
                  <c:v>220421.25352112675</c:v>
                </c:pt>
                <c:pt idx="5">
                  <c:v>180819.04761904763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0-40AF-A996-82885B98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106432"/>
        <c:axId val="1728823856"/>
      </c:barChart>
      <c:catAx>
        <c:axId val="16441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23856"/>
        <c:crosses val="autoZero"/>
        <c:auto val="1"/>
        <c:lblAlgn val="ctr"/>
        <c:lblOffset val="100"/>
        <c:noMultiLvlLbl val="0"/>
      </c:catAx>
      <c:valAx>
        <c:axId val="17288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Analysis7!$A$19:$A$24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Analysis7!$B$19:$B$24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650</c:v>
                </c:pt>
                <c:pt idx="3">
                  <c:v>768</c:v>
                </c:pt>
                <c:pt idx="4">
                  <c:v>33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AD4-9808-17608B12ED4F}"/>
            </c:ext>
          </c:extLst>
        </c:ser>
        <c:ser>
          <c:idx val="1"/>
          <c:order val="1"/>
          <c:tx>
            <c:strRef>
              <c:f>Analysis7!$C$18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Analysis7!$A$19:$A$24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Analysis7!$C$19:$C$24</c:f>
              <c:numCache>
                <c:formatCode>General</c:formatCode>
                <c:ptCount val="6"/>
                <c:pt idx="0">
                  <c:v>165200.88888888888</c:v>
                </c:pt>
                <c:pt idx="1">
                  <c:v>165200.88888888888</c:v>
                </c:pt>
                <c:pt idx="2">
                  <c:v>134751.44</c:v>
                </c:pt>
                <c:pt idx="3">
                  <c:v>213009.82552083334</c:v>
                </c:pt>
                <c:pt idx="4">
                  <c:v>347822.90909090912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3-4AD4-9808-17608B12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090656"/>
        <c:axId val="1728736976"/>
      </c:barChart>
      <c:catAx>
        <c:axId val="16440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36976"/>
        <c:crosses val="autoZero"/>
        <c:auto val="1"/>
        <c:lblAlgn val="ctr"/>
        <c:lblOffset val="100"/>
        <c:noMultiLvlLbl val="0"/>
      </c:catAx>
      <c:valAx>
        <c:axId val="17287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9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Analysis7!$A$31:$A$36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Analysis7!$B$31:$B$36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690</c:v>
                </c:pt>
                <c:pt idx="3">
                  <c:v>690</c:v>
                </c:pt>
                <c:pt idx="4">
                  <c:v>690</c:v>
                </c:pt>
                <c:pt idx="5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6-471C-B8A2-B6793B043DB7}"/>
            </c:ext>
          </c:extLst>
        </c:ser>
        <c:ser>
          <c:idx val="1"/>
          <c:order val="1"/>
          <c:tx>
            <c:strRef>
              <c:f>Analysis7!$C$30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Analysis7!$A$31:$A$36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Analysis7!$C$31:$C$36</c:f>
              <c:numCache>
                <c:formatCode>General</c:formatCode>
                <c:ptCount val="6"/>
                <c:pt idx="0">
                  <c:v>240588.53913043477</c:v>
                </c:pt>
                <c:pt idx="1">
                  <c:v>252000</c:v>
                </c:pt>
                <c:pt idx="2">
                  <c:v>0</c:v>
                </c:pt>
                <c:pt idx="3">
                  <c:v>0</c:v>
                </c:pt>
                <c:pt idx="4">
                  <c:v>141331.48260869566</c:v>
                </c:pt>
                <c:pt idx="5">
                  <c:v>141331.48260869566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6-471C-B8A2-B6793B04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872560"/>
        <c:axId val="1728796976"/>
      </c:barChart>
      <c:catAx>
        <c:axId val="18128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96976"/>
        <c:crosses val="autoZero"/>
        <c:auto val="1"/>
        <c:lblAlgn val="ctr"/>
        <c:lblOffset val="100"/>
        <c:noMultiLvlLbl val="0"/>
      </c:catAx>
      <c:valAx>
        <c:axId val="17287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BldgType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Analysis8!$E$1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Analysis8!$D$2:$D$6</c:f>
              <c:strCache>
                <c:ptCount val="5"/>
                <c:pt idx="0">
                  <c:v>1Fam</c:v>
                </c:pt>
                <c:pt idx="1">
                  <c:v>2fmCon</c:v>
                </c:pt>
                <c:pt idx="2">
                  <c:v>Duplex</c:v>
                </c:pt>
                <c:pt idx="3">
                  <c:v>TwnhsE</c:v>
                </c:pt>
                <c:pt idx="4">
                  <c:v>Twnhs</c:v>
                </c:pt>
              </c:strCache>
            </c:strRef>
          </c:cat>
          <c:val>
            <c:numRef>
              <c:f>Analysis8!$E$2:$E$6</c:f>
              <c:numCache>
                <c:formatCode>General</c:formatCode>
                <c:ptCount val="5"/>
                <c:pt idx="0">
                  <c:v>1220</c:v>
                </c:pt>
                <c:pt idx="1">
                  <c:v>31</c:v>
                </c:pt>
                <c:pt idx="2">
                  <c:v>52</c:v>
                </c:pt>
                <c:pt idx="3">
                  <c:v>114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CFF-AC6D-F74C359CF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2817344"/>
        <c:axId val="1728778256"/>
      </c:barChart>
      <c:catAx>
        <c:axId val="181281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78256"/>
        <c:crosses val="autoZero"/>
        <c:auto val="1"/>
        <c:lblAlgn val="ctr"/>
        <c:lblOffset val="100"/>
        <c:noMultiLvlLbl val="0"/>
      </c:catAx>
      <c:valAx>
        <c:axId val="172877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1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Analysis10!$B$1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Analysis10!$A$2:$A$6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Analysis10!$B$2:$B$6</c:f>
              <c:numCache>
                <c:formatCode>General</c:formatCode>
                <c:ptCount val="5"/>
                <c:pt idx="0">
                  <c:v>314</c:v>
                </c:pt>
                <c:pt idx="1">
                  <c:v>329</c:v>
                </c:pt>
                <c:pt idx="2">
                  <c:v>304</c:v>
                </c:pt>
                <c:pt idx="3">
                  <c:v>338</c:v>
                </c:pt>
                <c:pt idx="4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E-41E5-9169-D52AB93A5606}"/>
            </c:ext>
          </c:extLst>
        </c:ser>
        <c:ser>
          <c:idx val="1"/>
          <c:order val="1"/>
          <c:tx>
            <c:strRef>
              <c:f>Analysis10!$C$1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Analysis10!$A$2:$A$6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Analysis10!$C$2:$C$6</c:f>
              <c:numCache>
                <c:formatCode>General</c:formatCode>
                <c:ptCount val="5"/>
                <c:pt idx="0">
                  <c:v>182549.45859872611</c:v>
                </c:pt>
                <c:pt idx="1">
                  <c:v>186063.1519756839</c:v>
                </c:pt>
                <c:pt idx="2">
                  <c:v>177360.83881578947</c:v>
                </c:pt>
                <c:pt idx="3">
                  <c:v>179432.10355029587</c:v>
                </c:pt>
                <c:pt idx="4">
                  <c:v>177393.67428571428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E-41E5-9169-D52AB93A56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722688"/>
        <c:axId val="1728829136"/>
      </c:lineChart>
      <c:catAx>
        <c:axId val="18127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29136"/>
        <c:crosses val="autoZero"/>
        <c:auto val="1"/>
        <c:lblAlgn val="ctr"/>
        <c:lblOffset val="100"/>
        <c:noMultiLvlLbl val="0"/>
      </c:catAx>
      <c:valAx>
        <c:axId val="17288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22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Analysis11!$A$2:$A$82</c:f>
              <c:strCache>
                <c:ptCount val="81"/>
                <c:pt idx="0">
                  <c:v>PoolQC</c:v>
                </c:pt>
                <c:pt idx="1">
                  <c:v>MiscFeature</c:v>
                </c:pt>
                <c:pt idx="2">
                  <c:v>Alley</c:v>
                </c:pt>
                <c:pt idx="3">
                  <c:v>Fence</c:v>
                </c:pt>
                <c:pt idx="4">
                  <c:v>FireplaceQu</c:v>
                </c:pt>
                <c:pt idx="5">
                  <c:v>LotFrontage</c:v>
                </c:pt>
                <c:pt idx="6">
                  <c:v>GarageType</c:v>
                </c:pt>
                <c:pt idx="7">
                  <c:v>GarageYrBlt</c:v>
                </c:pt>
                <c:pt idx="8">
                  <c:v>GarageFinish</c:v>
                </c:pt>
                <c:pt idx="9">
                  <c:v>GarageQual</c:v>
                </c:pt>
                <c:pt idx="10">
                  <c:v>GarageCond</c:v>
                </c:pt>
                <c:pt idx="11">
                  <c:v>BsmtExposure</c:v>
                </c:pt>
                <c:pt idx="12">
                  <c:v>BsmtFinType2</c:v>
                </c:pt>
                <c:pt idx="13">
                  <c:v>BsmtQual</c:v>
                </c:pt>
                <c:pt idx="14">
                  <c:v>BsmtCond</c:v>
                </c:pt>
                <c:pt idx="15">
                  <c:v>BsmtFinType1</c:v>
                </c:pt>
                <c:pt idx="16">
                  <c:v>MasVnrType</c:v>
                </c:pt>
                <c:pt idx="17">
                  <c:v>MasVnrArea</c:v>
                </c:pt>
                <c:pt idx="18">
                  <c:v>TotalBsmtSF</c:v>
                </c:pt>
                <c:pt idx="19">
                  <c:v>Electrical</c:v>
                </c:pt>
                <c:pt idx="20">
                  <c:v>Id</c:v>
                </c:pt>
                <c:pt idx="21">
                  <c:v>MSSubClass</c:v>
                </c:pt>
                <c:pt idx="22">
                  <c:v>MSZoning</c:v>
                </c:pt>
                <c:pt idx="23">
                  <c:v>LotArea</c:v>
                </c:pt>
                <c:pt idx="24">
                  <c:v>Street</c:v>
                </c:pt>
                <c:pt idx="25">
                  <c:v>LotShape</c:v>
                </c:pt>
                <c:pt idx="26">
                  <c:v>LandContour</c:v>
                </c:pt>
                <c:pt idx="27">
                  <c:v>Utilities</c:v>
                </c:pt>
                <c:pt idx="28">
                  <c:v>LotConfig</c:v>
                </c:pt>
                <c:pt idx="29">
                  <c:v>LandSlope</c:v>
                </c:pt>
                <c:pt idx="30">
                  <c:v>Neighborhood</c:v>
                </c:pt>
                <c:pt idx="31">
                  <c:v>Condition1</c:v>
                </c:pt>
                <c:pt idx="32">
                  <c:v>Condition2</c:v>
                </c:pt>
                <c:pt idx="33">
                  <c:v>BldgType</c:v>
                </c:pt>
                <c:pt idx="34">
                  <c:v>HouseStyle</c:v>
                </c:pt>
                <c:pt idx="35">
                  <c:v>OverallQual</c:v>
                </c:pt>
                <c:pt idx="36">
                  <c:v>OverallCond</c:v>
                </c:pt>
                <c:pt idx="37">
                  <c:v>YearBuilt</c:v>
                </c:pt>
                <c:pt idx="38">
                  <c:v>YearRemodAdd</c:v>
                </c:pt>
                <c:pt idx="39">
                  <c:v>RoofStyle</c:v>
                </c:pt>
                <c:pt idx="40">
                  <c:v>RoofMatl</c:v>
                </c:pt>
                <c:pt idx="41">
                  <c:v>Exterior1st</c:v>
                </c:pt>
                <c:pt idx="42">
                  <c:v>Exterior2nd</c:v>
                </c:pt>
                <c:pt idx="43">
                  <c:v>ExterQual</c:v>
                </c:pt>
                <c:pt idx="44">
                  <c:v>ExterCond</c:v>
                </c:pt>
                <c:pt idx="45">
                  <c:v>Foundation</c:v>
                </c:pt>
                <c:pt idx="46">
                  <c:v>BsmtFinSF1</c:v>
                </c:pt>
                <c:pt idx="47">
                  <c:v>BsmtFinSF2</c:v>
                </c:pt>
                <c:pt idx="48">
                  <c:v>BsmtUnfSF</c:v>
                </c:pt>
                <c:pt idx="49">
                  <c:v>Heating</c:v>
                </c:pt>
                <c:pt idx="50">
                  <c:v>HeatingQC</c:v>
                </c:pt>
                <c:pt idx="51">
                  <c:v>CentralAir</c:v>
                </c:pt>
                <c:pt idx="52">
                  <c:v>1stFlrSF</c:v>
                </c:pt>
                <c:pt idx="53">
                  <c:v>2ndFlrSF</c:v>
                </c:pt>
                <c:pt idx="54">
                  <c:v>LowQualFinSF</c:v>
                </c:pt>
                <c:pt idx="55">
                  <c:v>GrLivArea</c:v>
                </c:pt>
                <c:pt idx="56">
                  <c:v>BsmtFullBath</c:v>
                </c:pt>
                <c:pt idx="57">
                  <c:v>BsmtHalfBath</c:v>
                </c:pt>
                <c:pt idx="58">
                  <c:v>FullBath</c:v>
                </c:pt>
                <c:pt idx="59">
                  <c:v>HalfBath</c:v>
                </c:pt>
                <c:pt idx="60">
                  <c:v>BedroomAbvGr</c:v>
                </c:pt>
                <c:pt idx="61">
                  <c:v>KitchenAbvGr</c:v>
                </c:pt>
                <c:pt idx="62">
                  <c:v>KitchenQual</c:v>
                </c:pt>
                <c:pt idx="63">
                  <c:v>TotRmsAbvGrd</c:v>
                </c:pt>
                <c:pt idx="64">
                  <c:v>Functional</c:v>
                </c:pt>
                <c:pt idx="65">
                  <c:v>Fireplaces</c:v>
                </c:pt>
                <c:pt idx="66">
                  <c:v>GarageCars</c:v>
                </c:pt>
                <c:pt idx="67">
                  <c:v>GarageArea</c:v>
                </c:pt>
                <c:pt idx="68">
                  <c:v>PavedDrive</c:v>
                </c:pt>
                <c:pt idx="69">
                  <c:v>WoodDeckSF</c:v>
                </c:pt>
                <c:pt idx="70">
                  <c:v>OpenPorchSF</c:v>
                </c:pt>
                <c:pt idx="71">
                  <c:v>EnclosedPorch</c:v>
                </c:pt>
                <c:pt idx="72">
                  <c:v>3SsnPorch</c:v>
                </c:pt>
                <c:pt idx="73">
                  <c:v>ScreenPorch</c:v>
                </c:pt>
                <c:pt idx="74">
                  <c:v>PoolArea</c:v>
                </c:pt>
                <c:pt idx="75">
                  <c:v>MiscVal</c:v>
                </c:pt>
                <c:pt idx="76">
                  <c:v>MoSold</c:v>
                </c:pt>
                <c:pt idx="77">
                  <c:v>YrSold</c:v>
                </c:pt>
                <c:pt idx="78">
                  <c:v>SaleType</c:v>
                </c:pt>
                <c:pt idx="79">
                  <c:v>SaleCondition</c:v>
                </c:pt>
                <c:pt idx="80">
                  <c:v>SalePrice</c:v>
                </c:pt>
              </c:strCache>
            </c:strRef>
          </c:cat>
          <c:val>
            <c:numRef>
              <c:f>Analysis11!$B$2:$B$82</c:f>
              <c:numCache>
                <c:formatCode>General</c:formatCode>
                <c:ptCount val="81"/>
                <c:pt idx="0">
                  <c:v>1453</c:v>
                </c:pt>
                <c:pt idx="1">
                  <c:v>1406</c:v>
                </c:pt>
                <c:pt idx="2">
                  <c:v>1369</c:v>
                </c:pt>
                <c:pt idx="3">
                  <c:v>1179</c:v>
                </c:pt>
                <c:pt idx="4">
                  <c:v>690</c:v>
                </c:pt>
                <c:pt idx="5">
                  <c:v>259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38</c:v>
                </c:pt>
                <c:pt idx="12">
                  <c:v>38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5-4CA2-8FA0-337B1221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339439"/>
        <c:axId val="79079467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Analysis11!$A$2:$A$82</c:f>
              <c:strCache>
                <c:ptCount val="81"/>
                <c:pt idx="0">
                  <c:v>PoolQC</c:v>
                </c:pt>
                <c:pt idx="1">
                  <c:v>MiscFeature</c:v>
                </c:pt>
                <c:pt idx="2">
                  <c:v>Alley</c:v>
                </c:pt>
                <c:pt idx="3">
                  <c:v>Fence</c:v>
                </c:pt>
                <c:pt idx="4">
                  <c:v>FireplaceQu</c:v>
                </c:pt>
                <c:pt idx="5">
                  <c:v>LotFrontage</c:v>
                </c:pt>
                <c:pt idx="6">
                  <c:v>GarageType</c:v>
                </c:pt>
                <c:pt idx="7">
                  <c:v>GarageYrBlt</c:v>
                </c:pt>
                <c:pt idx="8">
                  <c:v>GarageFinish</c:v>
                </c:pt>
                <c:pt idx="9">
                  <c:v>GarageQual</c:v>
                </c:pt>
                <c:pt idx="10">
                  <c:v>GarageCond</c:v>
                </c:pt>
                <c:pt idx="11">
                  <c:v>BsmtExposure</c:v>
                </c:pt>
                <c:pt idx="12">
                  <c:v>BsmtFinType2</c:v>
                </c:pt>
                <c:pt idx="13">
                  <c:v>BsmtQual</c:v>
                </c:pt>
                <c:pt idx="14">
                  <c:v>BsmtCond</c:v>
                </c:pt>
                <c:pt idx="15">
                  <c:v>BsmtFinType1</c:v>
                </c:pt>
                <c:pt idx="16">
                  <c:v>MasVnrType</c:v>
                </c:pt>
                <c:pt idx="17">
                  <c:v>MasVnrArea</c:v>
                </c:pt>
                <c:pt idx="18">
                  <c:v>TotalBsmtSF</c:v>
                </c:pt>
                <c:pt idx="19">
                  <c:v>Electrical</c:v>
                </c:pt>
                <c:pt idx="20">
                  <c:v>Id</c:v>
                </c:pt>
                <c:pt idx="21">
                  <c:v>MSSubClass</c:v>
                </c:pt>
                <c:pt idx="22">
                  <c:v>MSZoning</c:v>
                </c:pt>
                <c:pt idx="23">
                  <c:v>LotArea</c:v>
                </c:pt>
                <c:pt idx="24">
                  <c:v>Street</c:v>
                </c:pt>
                <c:pt idx="25">
                  <c:v>LotShape</c:v>
                </c:pt>
                <c:pt idx="26">
                  <c:v>LandContour</c:v>
                </c:pt>
                <c:pt idx="27">
                  <c:v>Utilities</c:v>
                </c:pt>
                <c:pt idx="28">
                  <c:v>LotConfig</c:v>
                </c:pt>
                <c:pt idx="29">
                  <c:v>LandSlope</c:v>
                </c:pt>
                <c:pt idx="30">
                  <c:v>Neighborhood</c:v>
                </c:pt>
                <c:pt idx="31">
                  <c:v>Condition1</c:v>
                </c:pt>
                <c:pt idx="32">
                  <c:v>Condition2</c:v>
                </c:pt>
                <c:pt idx="33">
                  <c:v>BldgType</c:v>
                </c:pt>
                <c:pt idx="34">
                  <c:v>HouseStyle</c:v>
                </c:pt>
                <c:pt idx="35">
                  <c:v>OverallQual</c:v>
                </c:pt>
                <c:pt idx="36">
                  <c:v>OverallCond</c:v>
                </c:pt>
                <c:pt idx="37">
                  <c:v>YearBuilt</c:v>
                </c:pt>
                <c:pt idx="38">
                  <c:v>YearRemodAdd</c:v>
                </c:pt>
                <c:pt idx="39">
                  <c:v>RoofStyle</c:v>
                </c:pt>
                <c:pt idx="40">
                  <c:v>RoofMatl</c:v>
                </c:pt>
                <c:pt idx="41">
                  <c:v>Exterior1st</c:v>
                </c:pt>
                <c:pt idx="42">
                  <c:v>Exterior2nd</c:v>
                </c:pt>
                <c:pt idx="43">
                  <c:v>ExterQual</c:v>
                </c:pt>
                <c:pt idx="44">
                  <c:v>ExterCond</c:v>
                </c:pt>
                <c:pt idx="45">
                  <c:v>Foundation</c:v>
                </c:pt>
                <c:pt idx="46">
                  <c:v>BsmtFinSF1</c:v>
                </c:pt>
                <c:pt idx="47">
                  <c:v>BsmtFinSF2</c:v>
                </c:pt>
                <c:pt idx="48">
                  <c:v>BsmtUnfSF</c:v>
                </c:pt>
                <c:pt idx="49">
                  <c:v>Heating</c:v>
                </c:pt>
                <c:pt idx="50">
                  <c:v>HeatingQC</c:v>
                </c:pt>
                <c:pt idx="51">
                  <c:v>CentralAir</c:v>
                </c:pt>
                <c:pt idx="52">
                  <c:v>1stFlrSF</c:v>
                </c:pt>
                <c:pt idx="53">
                  <c:v>2ndFlrSF</c:v>
                </c:pt>
                <c:pt idx="54">
                  <c:v>LowQualFinSF</c:v>
                </c:pt>
                <c:pt idx="55">
                  <c:v>GrLivArea</c:v>
                </c:pt>
                <c:pt idx="56">
                  <c:v>BsmtFullBath</c:v>
                </c:pt>
                <c:pt idx="57">
                  <c:v>BsmtHalfBath</c:v>
                </c:pt>
                <c:pt idx="58">
                  <c:v>FullBath</c:v>
                </c:pt>
                <c:pt idx="59">
                  <c:v>HalfBath</c:v>
                </c:pt>
                <c:pt idx="60">
                  <c:v>BedroomAbvGr</c:v>
                </c:pt>
                <c:pt idx="61">
                  <c:v>KitchenAbvGr</c:v>
                </c:pt>
                <c:pt idx="62">
                  <c:v>KitchenQual</c:v>
                </c:pt>
                <c:pt idx="63">
                  <c:v>TotRmsAbvGrd</c:v>
                </c:pt>
                <c:pt idx="64">
                  <c:v>Functional</c:v>
                </c:pt>
                <c:pt idx="65">
                  <c:v>Fireplaces</c:v>
                </c:pt>
                <c:pt idx="66">
                  <c:v>GarageCars</c:v>
                </c:pt>
                <c:pt idx="67">
                  <c:v>GarageArea</c:v>
                </c:pt>
                <c:pt idx="68">
                  <c:v>PavedDrive</c:v>
                </c:pt>
                <c:pt idx="69">
                  <c:v>WoodDeckSF</c:v>
                </c:pt>
                <c:pt idx="70">
                  <c:v>OpenPorchSF</c:v>
                </c:pt>
                <c:pt idx="71">
                  <c:v>EnclosedPorch</c:v>
                </c:pt>
                <c:pt idx="72">
                  <c:v>3SsnPorch</c:v>
                </c:pt>
                <c:pt idx="73">
                  <c:v>ScreenPorch</c:v>
                </c:pt>
                <c:pt idx="74">
                  <c:v>PoolArea</c:v>
                </c:pt>
                <c:pt idx="75">
                  <c:v>MiscVal</c:v>
                </c:pt>
                <c:pt idx="76">
                  <c:v>MoSold</c:v>
                </c:pt>
                <c:pt idx="77">
                  <c:v>YrSold</c:v>
                </c:pt>
                <c:pt idx="78">
                  <c:v>SaleType</c:v>
                </c:pt>
                <c:pt idx="79">
                  <c:v>SaleCondition</c:v>
                </c:pt>
                <c:pt idx="80">
                  <c:v>SalePrice</c:v>
                </c:pt>
              </c:strCache>
            </c:strRef>
          </c:cat>
          <c:val>
            <c:numRef>
              <c:f>Analysis11!$C$2:$C$82</c:f>
              <c:numCache>
                <c:formatCode>0.00%</c:formatCode>
                <c:ptCount val="81"/>
                <c:pt idx="0">
                  <c:v>0.99520547945205484</c:v>
                </c:pt>
                <c:pt idx="1">
                  <c:v>0.96301369863013697</c:v>
                </c:pt>
                <c:pt idx="2">
                  <c:v>0.93767123287671228</c:v>
                </c:pt>
                <c:pt idx="3">
                  <c:v>0.80753424657534245</c:v>
                </c:pt>
                <c:pt idx="4">
                  <c:v>0.4726027397260274</c:v>
                </c:pt>
                <c:pt idx="5">
                  <c:v>0.1773972602739726</c:v>
                </c:pt>
                <c:pt idx="6">
                  <c:v>5.5479452054794522E-2</c:v>
                </c:pt>
                <c:pt idx="7">
                  <c:v>5.5479452054794522E-2</c:v>
                </c:pt>
                <c:pt idx="8">
                  <c:v>5.5479452054794522E-2</c:v>
                </c:pt>
                <c:pt idx="9">
                  <c:v>5.5479452054794522E-2</c:v>
                </c:pt>
                <c:pt idx="10">
                  <c:v>5.5479452054794522E-2</c:v>
                </c:pt>
                <c:pt idx="11">
                  <c:v>2.6027397260273973E-2</c:v>
                </c:pt>
                <c:pt idx="12">
                  <c:v>2.6027397260273973E-2</c:v>
                </c:pt>
                <c:pt idx="13">
                  <c:v>2.5342465753424658E-2</c:v>
                </c:pt>
                <c:pt idx="14">
                  <c:v>2.5342465753424658E-2</c:v>
                </c:pt>
                <c:pt idx="15">
                  <c:v>2.5342465753424658E-2</c:v>
                </c:pt>
                <c:pt idx="16">
                  <c:v>5.4794520547945206E-3</c:v>
                </c:pt>
                <c:pt idx="17">
                  <c:v>5.4794520547945206E-3</c:v>
                </c:pt>
                <c:pt idx="18">
                  <c:v>4.10958904109589E-3</c:v>
                </c:pt>
                <c:pt idx="19">
                  <c:v>6.8493150684931507E-4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5-4CA2-8FA0-337B1221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345935"/>
        <c:axId val="790800431"/>
      </c:lineChart>
      <c:catAx>
        <c:axId val="8653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94671"/>
        <c:crosses val="autoZero"/>
        <c:auto val="1"/>
        <c:lblAlgn val="ctr"/>
        <c:lblOffset val="100"/>
        <c:noMultiLvlLbl val="0"/>
      </c:catAx>
      <c:valAx>
        <c:axId val="7907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39439"/>
        <c:crosses val="autoZero"/>
        <c:crossBetween val="between"/>
      </c:valAx>
      <c:valAx>
        <c:axId val="7908004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45935"/>
        <c:crosses val="max"/>
        <c:crossBetween val="between"/>
      </c:valAx>
      <c:catAx>
        <c:axId val="865345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0800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Analysis1!$B$1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D4-4F61-9374-B8BB7E1F8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4-4F61-9374-B8BB7E1F8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D4-4F61-9374-B8BB7E1F8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D4-4F61-9374-B8BB7E1F82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D4-4F61-9374-B8BB7E1F82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D4-4F61-9374-B8BB7E1F82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Analysis1!$A$2:$A$7</c:f>
              <c:strCache>
                <c:ptCount val="6"/>
                <c:pt idx="0">
                  <c:v>OverallQual</c:v>
                </c:pt>
                <c:pt idx="1">
                  <c:v>GrLivArea</c:v>
                </c:pt>
                <c:pt idx="2">
                  <c:v>TotalBsmtSF</c:v>
                </c:pt>
                <c:pt idx="3">
                  <c:v>GarageCars</c:v>
                </c:pt>
                <c:pt idx="4">
                  <c:v>GarageArea</c:v>
                </c:pt>
                <c:pt idx="5">
                  <c:v>YearBuilt</c:v>
                </c:pt>
              </c:strCache>
            </c:strRef>
          </c:cat>
          <c:val>
            <c:numRef>
              <c:f>Analysis1!$B$2:$B$7</c:f>
              <c:numCache>
                <c:formatCode>General</c:formatCode>
                <c:ptCount val="6"/>
                <c:pt idx="0">
                  <c:v>0.79098160058380473</c:v>
                </c:pt>
                <c:pt idx="1">
                  <c:v>0.70862447761265124</c:v>
                </c:pt>
                <c:pt idx="2">
                  <c:v>0.61358055155919444</c:v>
                </c:pt>
                <c:pt idx="3">
                  <c:v>0.64040919725834911</c:v>
                </c:pt>
                <c:pt idx="4">
                  <c:v>0.62343143891835995</c:v>
                </c:pt>
                <c:pt idx="5">
                  <c:v>0.5228973328794968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D4-4F61-9374-B8BB7E1F82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HouseStyle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HouseStyle</a:t>
          </a:r>
        </a:p>
      </cx:txPr>
    </cx:title>
    <cx:plotArea>
      <cx:plotAreaRegion>
        <cx:series layoutId="clusteredColumn" uniqueId="{9DD3DD2D-78C9-4F2C-B3DF-26C2A780C9A8}">
          <cx:tx>
            <cx:txData>
              <cx:f>_xlchart.v1.10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FBE9F32-6E6B-4BD7-88DB-583558AD1C7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Foundation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Foundation</a:t>
          </a:r>
        </a:p>
      </cx:txPr>
    </cx:title>
    <cx:plotArea>
      <cx:plotAreaRegion>
        <cx:series layoutId="clusteredColumn" uniqueId="{DF6B9629-2AD5-4440-9F2D-8C6B5A822FD0}">
          <cx:tx>
            <cx:txData>
              <cx:f>_xlchart.v1.4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BC3F5C5-F509-4F06-AF76-E35077305D9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RoofStyle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RoofStyle</a:t>
          </a:r>
        </a:p>
      </cx:txPr>
    </cx:title>
    <cx:plotArea>
      <cx:plotAreaRegion>
        <cx:series layoutId="clusteredColumn" uniqueId="{B200F64B-8495-431E-A54B-7D0EB58B2C3A}">
          <cx:tx>
            <cx:txData>
              <cx:f>_xlchart.v1.7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ED403DE-9340-472C-A0B6-DDCC66A28E9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Heating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Heating</a:t>
          </a:r>
        </a:p>
      </cx:txPr>
    </cx:title>
    <cx:plotArea>
      <cx:plotAreaRegion>
        <cx:series layoutId="clusteredColumn" uniqueId="{1EE2E6E6-66F0-46A0-9903-A4910C8B9A2D}">
          <cx:tx>
            <cx:txData>
              <cx:f>_xlchart.v1.1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659F78F-90C6-45AB-8526-8EA026F8632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/>
    <cx:plotArea>
      <cx:plotAreaRegion>
        <cx:series layoutId="boxWhisker" uniqueId="{00000000-1134-4199-9B8F-168CCD5797D2}">
          <cx:tx>
            <cx:txData>
              <cx:f>_xlchart.v1.12</cx:f>
              <cx:v>Highest 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134-4199-9B8F-168CCD5797D2}">
          <cx:tx>
            <cx:txData>
              <cx:f>_xlchart.v1.14</cx:f>
              <cx:v>Lowest Price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10</xdr:col>
      <xdr:colOff>327660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8509F-D6EC-A433-59CE-8E7EC132B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0</xdr:row>
      <xdr:rowOff>140970</xdr:rowOff>
    </xdr:from>
    <xdr:to>
      <xdr:col>10</xdr:col>
      <xdr:colOff>510540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49279-E58F-40DE-FC13-C5BB3132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1</xdr:row>
      <xdr:rowOff>3810</xdr:rowOff>
    </xdr:from>
    <xdr:to>
      <xdr:col>10</xdr:col>
      <xdr:colOff>441960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3952A-02C9-0743-296E-51C4BAB47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19050</xdr:rowOff>
    </xdr:from>
    <xdr:to>
      <xdr:col>9</xdr:col>
      <xdr:colOff>464820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0785C-E820-0829-E2C7-2CCC4AAA4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483870</xdr:colOff>
      <xdr:row>1</xdr:row>
      <xdr:rowOff>167640</xdr:rowOff>
    </xdr:from>
    <xdr:to>
      <xdr:col>19</xdr:col>
      <xdr:colOff>179070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4CE13-3E0A-CA8F-92AE-619DB2B5E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4EF24-0B3C-8A64-9428-B8C9E9788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11</xdr:col>
      <xdr:colOff>556260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CD80-FDED-F87C-C4E3-08C403AB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14</xdr:row>
      <xdr:rowOff>156210</xdr:rowOff>
    </xdr:from>
    <xdr:to>
      <xdr:col>12</xdr:col>
      <xdr:colOff>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1EECF-768D-73F9-DAC7-8D7C1771D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27</xdr:row>
      <xdr:rowOff>121920</xdr:rowOff>
    </xdr:from>
    <xdr:to>
      <xdr:col>11</xdr:col>
      <xdr:colOff>594360</xdr:colOff>
      <xdr:row>40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E87C3-F64F-0B2B-9EB1-5ECD50B2C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</xdr:row>
      <xdr:rowOff>53340</xdr:rowOff>
    </xdr:from>
    <xdr:to>
      <xdr:col>5</xdr:col>
      <xdr:colOff>548640</xdr:colOff>
      <xdr:row>20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D5058C-D858-BA1C-F4A5-540DFA0AE1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882140"/>
              <a:ext cx="3863340" cy="1878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30480</xdr:colOff>
      <xdr:row>10</xdr:row>
      <xdr:rowOff>15240</xdr:rowOff>
    </xdr:from>
    <xdr:to>
      <xdr:col>17</xdr:col>
      <xdr:colOff>571500</xdr:colOff>
      <xdr:row>19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E392960-D41F-2C13-9C38-DDCE8E420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6720" y="1844040"/>
              <a:ext cx="3619500" cy="1729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60960</xdr:colOff>
      <xdr:row>10</xdr:row>
      <xdr:rowOff>76200</xdr:rowOff>
    </xdr:from>
    <xdr:to>
      <xdr:col>11</xdr:col>
      <xdr:colOff>274320</xdr:colOff>
      <xdr:row>20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4536A0-F074-23BB-CEA7-9C0D16EC9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259080</xdr:colOff>
      <xdr:row>21</xdr:row>
      <xdr:rowOff>38100</xdr:rowOff>
    </xdr:from>
    <xdr:to>
      <xdr:col>5</xdr:col>
      <xdr:colOff>502920</xdr:colOff>
      <xdr:row>31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3F37D0B-BC70-7673-BCB8-D91F01927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" y="3878580"/>
              <a:ext cx="3634740" cy="1840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76200</xdr:colOff>
      <xdr:row>21</xdr:row>
      <xdr:rowOff>60960</xdr:rowOff>
    </xdr:from>
    <xdr:to>
      <xdr:col>11</xdr:col>
      <xdr:colOff>304800</xdr:colOff>
      <xdr:row>30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966A864-59C3-7C74-A42B-D7E08E070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700" y="3901440"/>
              <a:ext cx="363474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0</xdr:row>
      <xdr:rowOff>72390</xdr:rowOff>
    </xdr:from>
    <xdr:to>
      <xdr:col>16</xdr:col>
      <xdr:colOff>281940</xdr:colOff>
      <xdr:row>23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0B0133-D093-0DAA-B1CB-A30E12378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4860" y="72390"/>
              <a:ext cx="5440680" cy="4187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0</xdr:row>
      <xdr:rowOff>0</xdr:rowOff>
    </xdr:from>
    <xdr:to>
      <xdr:col>12</xdr:col>
      <xdr:colOff>38100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5F350-02D1-BDA2-92CF-F93159933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118110</xdr:rowOff>
    </xdr:from>
    <xdr:to>
      <xdr:col>11</xdr:col>
      <xdr:colOff>297180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E2624-476A-4666-30E3-589258524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9</xdr:col>
      <xdr:colOff>304800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02561-8953-4D1D-B523-C70F930FD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B29E23-43DE-478A-A078-B1BCC607CD0D}" name="Table7" displayName="Table7" ref="A1:B7" totalsRowShown="0">
  <autoFilter ref="A1:B7" xr:uid="{31B29E23-43DE-478A-A078-B1BCC607CD0D}"/>
  <tableColumns count="2">
    <tableColumn id="1" xr3:uid="{93CFC04C-A4CF-4F0A-99FB-1E10AE2CD843}" name="Column1"/>
    <tableColumn id="2" xr3:uid="{79D80169-C89B-4DAE-8F0C-58D899B1B027}" name="Column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FCBE6-0B9E-4E89-A6EC-9F3C458BA8DE}" name="Table1" displayName="Table1" ref="A1:C26" totalsRowShown="0">
  <autoFilter ref="A1:C26" xr:uid="{DADFCBE6-0B9E-4E89-A6EC-9F3C458BA8DE}"/>
  <sortState xmlns:xlrd2="http://schemas.microsoft.com/office/spreadsheetml/2017/richdata2" ref="A2:C26">
    <sortCondition descending="1" ref="B1:B26"/>
  </sortState>
  <tableColumns count="3">
    <tableColumn id="1" xr3:uid="{69ED079E-4CFC-42C3-AAFF-68C4E698AAC0}" name="Neighborhood"/>
    <tableColumn id="2" xr3:uid="{C4F87702-3F5F-4014-8373-A6FB454E73D6}" name="Average">
      <calculatedColumnFormula>AVERAGEIF(Data!$M$2:$M$1461, A2, Data!$CC$2:$CC$1461)</calculatedColumnFormula>
    </tableColumn>
    <tableColumn id="3" xr3:uid="{AFB4201F-74B0-4FAB-B316-D0135005CBD6}" name="Count">
      <calculatedColumnFormula>COUNTIF(Data!$M$2:$M$1461, 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1BA7D-3C38-413D-80D9-27AFE56B94D0}" name="Table2" displayName="Table2" ref="A1:B9" totalsRowShown="0">
  <autoFilter ref="A1:B9" xr:uid="{2701BA7D-3C38-413D-80D9-27AFE56B94D0}"/>
  <tableColumns count="2">
    <tableColumn id="1" xr3:uid="{9F17B86E-1E5C-4363-A2B9-7C82DA6376DC}" name="HouseStyle"/>
    <tableColumn id="2" xr3:uid="{13FF5AD3-8D67-4200-86FD-0724CD2E507B}" name="Count">
      <calculatedColumnFormula>COUNTIF(Data!$Q$2:$Q$1461, A2)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CE565-6B0E-4AF8-9F52-41D39525C390}" name="Table3" displayName="Table3" ref="D1:E6" totalsRowShown="0">
  <autoFilter ref="D1:E6" xr:uid="{0A5CE565-6B0E-4AF8-9F52-41D39525C390}"/>
  <tableColumns count="2">
    <tableColumn id="1" xr3:uid="{CBF71180-1B56-4AA7-BAA2-24D4A11DD2F3}" name="BldgType"/>
    <tableColumn id="2" xr3:uid="{8BE75EC7-BC07-4A98-ABF8-4E8B37EF37A6}" name="Count">
      <calculatedColumnFormula>COUNTIF(Data!$P$2:$P$1461, D2)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8A7F16-A5C8-4B81-BD30-31A7811E692B}" name="Table4" displayName="Table4" ref="G1:H7" totalsRowShown="0">
  <autoFilter ref="G1:H7" xr:uid="{418A7F16-A5C8-4B81-BD30-31A7811E692B}"/>
  <tableColumns count="2">
    <tableColumn id="1" xr3:uid="{90D05FC1-B20B-4A5D-A04B-A43715EEB9EB}" name="Foundation"/>
    <tableColumn id="2" xr3:uid="{0E9C6DA9-29D2-40AA-89F5-371498478BFE}" name="Count">
      <calculatedColumnFormula>COUNTIF(Data!$AD$2:$AD$1461, G2)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6F9D09-9398-4FD8-95A9-6AECF608495F}" name="Table5" displayName="Table5" ref="J1:K7" totalsRowShown="0">
  <autoFilter ref="J1:K7" xr:uid="{456F9D09-9398-4FD8-95A9-6AECF608495F}"/>
  <tableColumns count="2">
    <tableColumn id="1" xr3:uid="{7C35A810-3965-421C-BB8E-232A3E318384}" name="RoofStyle"/>
    <tableColumn id="2" xr3:uid="{8F7968AA-96C7-4BFD-9B96-5E185748A165}" name="Count">
      <calculatedColumnFormula>COUNTIF(Data!$V$2:$V$1461, J2)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EB309A-C7B8-4CC2-BC5C-940C24349859}" name="Table6" displayName="Table6" ref="M1:N7" totalsRowShown="0">
  <autoFilter ref="M1:N7" xr:uid="{B7EB309A-C7B8-4CC2-BC5C-940C24349859}"/>
  <tableColumns count="2">
    <tableColumn id="1" xr3:uid="{A0968B0E-6B31-4A90-AC6A-555983BE90BC}" name="Heating"/>
    <tableColumn id="2" xr3:uid="{321CE184-8A16-458F-933B-B7C6EBA53374}" name="Count">
      <calculatedColumnFormula>COUNTIF(Data!$AN$2:$AN$1461, M2)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8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57CA-3B99-40C8-87D2-88B37896E9F6}">
  <dimension ref="A1:CC1461"/>
  <sheetViews>
    <sheetView topLeftCell="BV1" workbookViewId="0">
      <selection activeCell="CC1" sqref="CC1:CC1048576"/>
    </sheetView>
  </sheetViews>
  <sheetFormatPr defaultRowHeight="14.4" x14ac:dyDescent="0.3"/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268</v>
      </c>
      <c r="BB1" t="s">
        <v>53</v>
      </c>
      <c r="BC1" t="s">
        <v>54</v>
      </c>
      <c r="BD1" t="s">
        <v>269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89</v>
      </c>
      <c r="P2" t="s">
        <v>90</v>
      </c>
      <c r="Q2" t="s">
        <v>91</v>
      </c>
      <c r="R2">
        <v>7</v>
      </c>
      <c r="S2">
        <v>5</v>
      </c>
      <c r="T2">
        <v>2003</v>
      </c>
      <c r="U2">
        <v>2003</v>
      </c>
      <c r="V2" t="s">
        <v>92</v>
      </c>
      <c r="W2" t="s">
        <v>93</v>
      </c>
      <c r="X2" t="s">
        <v>94</v>
      </c>
      <c r="Y2" t="s">
        <v>94</v>
      </c>
      <c r="Z2" t="s">
        <v>95</v>
      </c>
      <c r="AA2">
        <v>196</v>
      </c>
      <c r="AB2" t="s">
        <v>96</v>
      </c>
      <c r="AC2" t="s">
        <v>97</v>
      </c>
      <c r="AD2" t="s">
        <v>98</v>
      </c>
      <c r="AE2" t="s">
        <v>96</v>
      </c>
      <c r="AF2" t="s">
        <v>97</v>
      </c>
      <c r="AG2" t="s">
        <v>99</v>
      </c>
      <c r="AH2" t="s">
        <v>100</v>
      </c>
      <c r="AI2">
        <v>706</v>
      </c>
      <c r="AJ2" t="s">
        <v>101</v>
      </c>
      <c r="AK2">
        <v>0</v>
      </c>
      <c r="AL2">
        <v>150</v>
      </c>
      <c r="AM2">
        <v>856</v>
      </c>
      <c r="AN2" t="s">
        <v>102</v>
      </c>
      <c r="AO2" t="s">
        <v>103</v>
      </c>
      <c r="AP2" t="s">
        <v>104</v>
      </c>
      <c r="AQ2" t="s">
        <v>105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96</v>
      </c>
      <c r="BC2">
        <v>8</v>
      </c>
      <c r="BD2" t="s">
        <v>106</v>
      </c>
      <c r="BE2">
        <v>0</v>
      </c>
      <c r="BG2" t="s">
        <v>107</v>
      </c>
      <c r="BH2">
        <v>2003</v>
      </c>
      <c r="BI2" t="s">
        <v>108</v>
      </c>
      <c r="BJ2">
        <v>2</v>
      </c>
      <c r="BK2">
        <v>548</v>
      </c>
      <c r="BL2" t="s">
        <v>97</v>
      </c>
      <c r="BM2" t="s">
        <v>97</v>
      </c>
      <c r="BN2" t="s">
        <v>104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X2">
        <v>0</v>
      </c>
      <c r="BY2">
        <v>2</v>
      </c>
      <c r="BZ2">
        <v>2008</v>
      </c>
      <c r="CA2" t="s">
        <v>109</v>
      </c>
      <c r="CB2" t="s">
        <v>110</v>
      </c>
      <c r="CC2">
        <v>208500</v>
      </c>
    </row>
    <row r="3" spans="1:81" x14ac:dyDescent="0.3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H3" t="s">
        <v>83</v>
      </c>
      <c r="I3" t="s">
        <v>84</v>
      </c>
      <c r="J3" t="s">
        <v>85</v>
      </c>
      <c r="K3" t="s">
        <v>111</v>
      </c>
      <c r="L3" t="s">
        <v>87</v>
      </c>
      <c r="M3" t="s">
        <v>112</v>
      </c>
      <c r="N3" t="s">
        <v>113</v>
      </c>
      <c r="O3" t="s">
        <v>89</v>
      </c>
      <c r="P3" t="s">
        <v>90</v>
      </c>
      <c r="Q3" t="s">
        <v>114</v>
      </c>
      <c r="R3">
        <v>6</v>
      </c>
      <c r="S3">
        <v>8</v>
      </c>
      <c r="T3">
        <v>1976</v>
      </c>
      <c r="U3">
        <v>1976</v>
      </c>
      <c r="V3" t="s">
        <v>92</v>
      </c>
      <c r="W3" t="s">
        <v>93</v>
      </c>
      <c r="X3" t="s">
        <v>115</v>
      </c>
      <c r="Y3" t="s">
        <v>115</v>
      </c>
      <c r="Z3" t="s">
        <v>116</v>
      </c>
      <c r="AA3">
        <v>0</v>
      </c>
      <c r="AB3" t="s">
        <v>97</v>
      </c>
      <c r="AC3" t="s">
        <v>97</v>
      </c>
      <c r="AD3" t="s">
        <v>117</v>
      </c>
      <c r="AE3" t="s">
        <v>96</v>
      </c>
      <c r="AF3" t="s">
        <v>97</v>
      </c>
      <c r="AG3" t="s">
        <v>96</v>
      </c>
      <c r="AH3" t="s">
        <v>118</v>
      </c>
      <c r="AI3">
        <v>978</v>
      </c>
      <c r="AJ3" t="s">
        <v>101</v>
      </c>
      <c r="AK3">
        <v>0</v>
      </c>
      <c r="AL3">
        <v>284</v>
      </c>
      <c r="AM3">
        <v>1262</v>
      </c>
      <c r="AN3" t="s">
        <v>102</v>
      </c>
      <c r="AO3" t="s">
        <v>103</v>
      </c>
      <c r="AP3" t="s">
        <v>104</v>
      </c>
      <c r="AQ3" t="s">
        <v>105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97</v>
      </c>
      <c r="BC3">
        <v>6</v>
      </c>
      <c r="BD3" t="s">
        <v>106</v>
      </c>
      <c r="BE3">
        <v>1</v>
      </c>
      <c r="BF3" t="s">
        <v>97</v>
      </c>
      <c r="BG3" t="s">
        <v>107</v>
      </c>
      <c r="BH3">
        <v>1976</v>
      </c>
      <c r="BI3" t="s">
        <v>108</v>
      </c>
      <c r="BJ3">
        <v>2</v>
      </c>
      <c r="BK3">
        <v>460</v>
      </c>
      <c r="BL3" t="s">
        <v>97</v>
      </c>
      <c r="BM3" t="s">
        <v>97</v>
      </c>
      <c r="BN3" t="s">
        <v>104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X3">
        <v>0</v>
      </c>
      <c r="BY3">
        <v>5</v>
      </c>
      <c r="BZ3">
        <v>2007</v>
      </c>
      <c r="CA3" t="s">
        <v>109</v>
      </c>
      <c r="CB3" t="s">
        <v>110</v>
      </c>
      <c r="CC3">
        <v>181500</v>
      </c>
    </row>
    <row r="4" spans="1:81" x14ac:dyDescent="0.3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H4" t="s">
        <v>119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89</v>
      </c>
      <c r="P4" t="s">
        <v>90</v>
      </c>
      <c r="Q4" t="s">
        <v>91</v>
      </c>
      <c r="R4">
        <v>7</v>
      </c>
      <c r="S4">
        <v>5</v>
      </c>
      <c r="T4">
        <v>2001</v>
      </c>
      <c r="U4">
        <v>2002</v>
      </c>
      <c r="V4" t="s">
        <v>92</v>
      </c>
      <c r="W4" t="s">
        <v>93</v>
      </c>
      <c r="X4" t="s">
        <v>94</v>
      </c>
      <c r="Y4" t="s">
        <v>94</v>
      </c>
      <c r="Z4" t="s">
        <v>95</v>
      </c>
      <c r="AA4">
        <v>162</v>
      </c>
      <c r="AB4" t="s">
        <v>96</v>
      </c>
      <c r="AC4" t="s">
        <v>97</v>
      </c>
      <c r="AD4" t="s">
        <v>98</v>
      </c>
      <c r="AE4" t="s">
        <v>96</v>
      </c>
      <c r="AF4" t="s">
        <v>97</v>
      </c>
      <c r="AG4" t="s">
        <v>120</v>
      </c>
      <c r="AH4" t="s">
        <v>100</v>
      </c>
      <c r="AI4">
        <v>486</v>
      </c>
      <c r="AJ4" t="s">
        <v>101</v>
      </c>
      <c r="AK4">
        <v>0</v>
      </c>
      <c r="AL4">
        <v>434</v>
      </c>
      <c r="AM4">
        <v>920</v>
      </c>
      <c r="AN4" t="s">
        <v>102</v>
      </c>
      <c r="AO4" t="s">
        <v>103</v>
      </c>
      <c r="AP4" t="s">
        <v>104</v>
      </c>
      <c r="AQ4" t="s">
        <v>105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96</v>
      </c>
      <c r="BC4">
        <v>6</v>
      </c>
      <c r="BD4" t="s">
        <v>106</v>
      </c>
      <c r="BE4">
        <v>1</v>
      </c>
      <c r="BF4" t="s">
        <v>97</v>
      </c>
      <c r="BG4" t="s">
        <v>107</v>
      </c>
      <c r="BH4">
        <v>2001</v>
      </c>
      <c r="BI4" t="s">
        <v>108</v>
      </c>
      <c r="BJ4">
        <v>2</v>
      </c>
      <c r="BK4">
        <v>608</v>
      </c>
      <c r="BL4" t="s">
        <v>97</v>
      </c>
      <c r="BM4" t="s">
        <v>97</v>
      </c>
      <c r="BN4" t="s">
        <v>104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X4">
        <v>0</v>
      </c>
      <c r="BY4">
        <v>9</v>
      </c>
      <c r="BZ4">
        <v>2008</v>
      </c>
      <c r="CA4" t="s">
        <v>109</v>
      </c>
      <c r="CB4" t="s">
        <v>110</v>
      </c>
      <c r="CC4">
        <v>223500</v>
      </c>
    </row>
    <row r="5" spans="1:81" x14ac:dyDescent="0.3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H5" t="s">
        <v>119</v>
      </c>
      <c r="I5" t="s">
        <v>84</v>
      </c>
      <c r="J5" t="s">
        <v>85</v>
      </c>
      <c r="K5" t="s">
        <v>121</v>
      </c>
      <c r="L5" t="s">
        <v>87</v>
      </c>
      <c r="M5" t="s">
        <v>122</v>
      </c>
      <c r="N5" t="s">
        <v>89</v>
      </c>
      <c r="O5" t="s">
        <v>89</v>
      </c>
      <c r="P5" t="s">
        <v>90</v>
      </c>
      <c r="Q5" t="s">
        <v>91</v>
      </c>
      <c r="R5">
        <v>7</v>
      </c>
      <c r="S5">
        <v>5</v>
      </c>
      <c r="T5">
        <v>1915</v>
      </c>
      <c r="U5">
        <v>1970</v>
      </c>
      <c r="V5" t="s">
        <v>92</v>
      </c>
      <c r="W5" t="s">
        <v>93</v>
      </c>
      <c r="X5" t="s">
        <v>123</v>
      </c>
      <c r="Y5" t="s">
        <v>124</v>
      </c>
      <c r="Z5" t="s">
        <v>116</v>
      </c>
      <c r="AA5">
        <v>0</v>
      </c>
      <c r="AB5" t="s">
        <v>97</v>
      </c>
      <c r="AC5" t="s">
        <v>97</v>
      </c>
      <c r="AD5" t="s">
        <v>125</v>
      </c>
      <c r="AE5" t="s">
        <v>97</v>
      </c>
      <c r="AF5" t="s">
        <v>96</v>
      </c>
      <c r="AG5" t="s">
        <v>99</v>
      </c>
      <c r="AH5" t="s">
        <v>118</v>
      </c>
      <c r="AI5">
        <v>216</v>
      </c>
      <c r="AJ5" t="s">
        <v>101</v>
      </c>
      <c r="AK5">
        <v>0</v>
      </c>
      <c r="AL5">
        <v>540</v>
      </c>
      <c r="AM5">
        <v>756</v>
      </c>
      <c r="AN5" t="s">
        <v>102</v>
      </c>
      <c r="AO5" t="s">
        <v>96</v>
      </c>
      <c r="AP5" t="s">
        <v>104</v>
      </c>
      <c r="AQ5" t="s">
        <v>105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96</v>
      </c>
      <c r="BC5">
        <v>7</v>
      </c>
      <c r="BD5" t="s">
        <v>106</v>
      </c>
      <c r="BE5">
        <v>1</v>
      </c>
      <c r="BF5" t="s">
        <v>96</v>
      </c>
      <c r="BG5" t="s">
        <v>126</v>
      </c>
      <c r="BH5">
        <v>1998</v>
      </c>
      <c r="BI5" t="s">
        <v>101</v>
      </c>
      <c r="BJ5">
        <v>3</v>
      </c>
      <c r="BK5">
        <v>642</v>
      </c>
      <c r="BL5" t="s">
        <v>97</v>
      </c>
      <c r="BM5" t="s">
        <v>97</v>
      </c>
      <c r="BN5" t="s">
        <v>104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X5">
        <v>0</v>
      </c>
      <c r="BY5">
        <v>2</v>
      </c>
      <c r="BZ5">
        <v>2006</v>
      </c>
      <c r="CA5" t="s">
        <v>109</v>
      </c>
      <c r="CB5" t="s">
        <v>127</v>
      </c>
      <c r="CC5">
        <v>140000</v>
      </c>
    </row>
    <row r="6" spans="1:81" x14ac:dyDescent="0.3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H6" t="s">
        <v>119</v>
      </c>
      <c r="I6" t="s">
        <v>84</v>
      </c>
      <c r="J6" t="s">
        <v>85</v>
      </c>
      <c r="K6" t="s">
        <v>111</v>
      </c>
      <c r="L6" t="s">
        <v>87</v>
      </c>
      <c r="M6" t="s">
        <v>128</v>
      </c>
      <c r="N6" t="s">
        <v>89</v>
      </c>
      <c r="O6" t="s">
        <v>89</v>
      </c>
      <c r="P6" t="s">
        <v>90</v>
      </c>
      <c r="Q6" t="s">
        <v>91</v>
      </c>
      <c r="R6">
        <v>8</v>
      </c>
      <c r="S6">
        <v>5</v>
      </c>
      <c r="T6">
        <v>2000</v>
      </c>
      <c r="U6">
        <v>2000</v>
      </c>
      <c r="V6" t="s">
        <v>92</v>
      </c>
      <c r="W6" t="s">
        <v>93</v>
      </c>
      <c r="X6" t="s">
        <v>94</v>
      </c>
      <c r="Y6" t="s">
        <v>94</v>
      </c>
      <c r="Z6" t="s">
        <v>95</v>
      </c>
      <c r="AA6">
        <v>350</v>
      </c>
      <c r="AB6" t="s">
        <v>96</v>
      </c>
      <c r="AC6" t="s">
        <v>97</v>
      </c>
      <c r="AD6" t="s">
        <v>98</v>
      </c>
      <c r="AE6" t="s">
        <v>96</v>
      </c>
      <c r="AF6" t="s">
        <v>97</v>
      </c>
      <c r="AG6" t="s">
        <v>129</v>
      </c>
      <c r="AH6" t="s">
        <v>100</v>
      </c>
      <c r="AI6">
        <v>655</v>
      </c>
      <c r="AJ6" t="s">
        <v>101</v>
      </c>
      <c r="AK6">
        <v>0</v>
      </c>
      <c r="AL6">
        <v>490</v>
      </c>
      <c r="AM6">
        <v>1145</v>
      </c>
      <c r="AN6" t="s">
        <v>102</v>
      </c>
      <c r="AO6" t="s">
        <v>103</v>
      </c>
      <c r="AP6" t="s">
        <v>104</v>
      </c>
      <c r="AQ6" t="s">
        <v>105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96</v>
      </c>
      <c r="BC6">
        <v>9</v>
      </c>
      <c r="BD6" t="s">
        <v>106</v>
      </c>
      <c r="BE6">
        <v>1</v>
      </c>
      <c r="BF6" t="s">
        <v>97</v>
      </c>
      <c r="BG6" t="s">
        <v>107</v>
      </c>
      <c r="BH6">
        <v>2000</v>
      </c>
      <c r="BI6" t="s">
        <v>108</v>
      </c>
      <c r="BJ6">
        <v>3</v>
      </c>
      <c r="BK6">
        <v>836</v>
      </c>
      <c r="BL6" t="s">
        <v>97</v>
      </c>
      <c r="BM6" t="s">
        <v>97</v>
      </c>
      <c r="BN6" t="s">
        <v>104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X6">
        <v>0</v>
      </c>
      <c r="BY6">
        <v>12</v>
      </c>
      <c r="BZ6">
        <v>2008</v>
      </c>
      <c r="CA6" t="s">
        <v>109</v>
      </c>
      <c r="CB6" t="s">
        <v>110</v>
      </c>
      <c r="CC6">
        <v>250000</v>
      </c>
    </row>
    <row r="7" spans="1:81" x14ac:dyDescent="0.3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H7" t="s">
        <v>119</v>
      </c>
      <c r="I7" t="s">
        <v>84</v>
      </c>
      <c r="J7" t="s">
        <v>85</v>
      </c>
      <c r="K7" t="s">
        <v>86</v>
      </c>
      <c r="L7" t="s">
        <v>87</v>
      </c>
      <c r="M7" t="s">
        <v>130</v>
      </c>
      <c r="N7" t="s">
        <v>89</v>
      </c>
      <c r="O7" t="s">
        <v>89</v>
      </c>
      <c r="P7" t="s">
        <v>90</v>
      </c>
      <c r="Q7" t="s">
        <v>131</v>
      </c>
      <c r="R7">
        <v>5</v>
      </c>
      <c r="S7">
        <v>5</v>
      </c>
      <c r="T7">
        <v>1993</v>
      </c>
      <c r="U7">
        <v>1995</v>
      </c>
      <c r="V7" t="s">
        <v>92</v>
      </c>
      <c r="W7" t="s">
        <v>93</v>
      </c>
      <c r="X7" t="s">
        <v>94</v>
      </c>
      <c r="Y7" t="s">
        <v>94</v>
      </c>
      <c r="Z7" t="s">
        <v>116</v>
      </c>
      <c r="AA7">
        <v>0</v>
      </c>
      <c r="AB7" t="s">
        <v>97</v>
      </c>
      <c r="AC7" t="s">
        <v>97</v>
      </c>
      <c r="AD7" t="s">
        <v>132</v>
      </c>
      <c r="AE7" t="s">
        <v>96</v>
      </c>
      <c r="AF7" t="s">
        <v>97</v>
      </c>
      <c r="AG7" t="s">
        <v>99</v>
      </c>
      <c r="AH7" t="s">
        <v>100</v>
      </c>
      <c r="AI7">
        <v>732</v>
      </c>
      <c r="AJ7" t="s">
        <v>101</v>
      </c>
      <c r="AK7">
        <v>0</v>
      </c>
      <c r="AL7">
        <v>64</v>
      </c>
      <c r="AM7">
        <v>796</v>
      </c>
      <c r="AN7" t="s">
        <v>102</v>
      </c>
      <c r="AO7" t="s">
        <v>103</v>
      </c>
      <c r="AP7" t="s">
        <v>104</v>
      </c>
      <c r="AQ7" t="s">
        <v>105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97</v>
      </c>
      <c r="BC7">
        <v>5</v>
      </c>
      <c r="BD7" t="s">
        <v>106</v>
      </c>
      <c r="BE7">
        <v>0</v>
      </c>
      <c r="BG7" t="s">
        <v>107</v>
      </c>
      <c r="BH7">
        <v>1993</v>
      </c>
      <c r="BI7" t="s">
        <v>101</v>
      </c>
      <c r="BJ7">
        <v>2</v>
      </c>
      <c r="BK7">
        <v>480</v>
      </c>
      <c r="BL7" t="s">
        <v>97</v>
      </c>
      <c r="BM7" t="s">
        <v>97</v>
      </c>
      <c r="BN7" t="s">
        <v>104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V7" t="s">
        <v>133</v>
      </c>
      <c r="BW7" t="s">
        <v>134</v>
      </c>
      <c r="BX7">
        <v>700</v>
      </c>
      <c r="BY7">
        <v>10</v>
      </c>
      <c r="BZ7">
        <v>2009</v>
      </c>
      <c r="CA7" t="s">
        <v>109</v>
      </c>
      <c r="CB7" t="s">
        <v>110</v>
      </c>
      <c r="CC7">
        <v>143000</v>
      </c>
    </row>
    <row r="8" spans="1:81" x14ac:dyDescent="0.3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135</v>
      </c>
      <c r="N8" t="s">
        <v>89</v>
      </c>
      <c r="O8" t="s">
        <v>89</v>
      </c>
      <c r="P8" t="s">
        <v>90</v>
      </c>
      <c r="Q8" t="s">
        <v>114</v>
      </c>
      <c r="R8">
        <v>8</v>
      </c>
      <c r="S8">
        <v>5</v>
      </c>
      <c r="T8">
        <v>2004</v>
      </c>
      <c r="U8">
        <v>2005</v>
      </c>
      <c r="V8" t="s">
        <v>92</v>
      </c>
      <c r="W8" t="s">
        <v>93</v>
      </c>
      <c r="X8" t="s">
        <v>94</v>
      </c>
      <c r="Y8" t="s">
        <v>94</v>
      </c>
      <c r="Z8" t="s">
        <v>136</v>
      </c>
      <c r="AA8">
        <v>186</v>
      </c>
      <c r="AB8" t="s">
        <v>96</v>
      </c>
      <c r="AC8" t="s">
        <v>97</v>
      </c>
      <c r="AD8" t="s">
        <v>98</v>
      </c>
      <c r="AE8" t="s">
        <v>103</v>
      </c>
      <c r="AF8" t="s">
        <v>97</v>
      </c>
      <c r="AG8" t="s">
        <v>129</v>
      </c>
      <c r="AH8" t="s">
        <v>100</v>
      </c>
      <c r="AI8">
        <v>1369</v>
      </c>
      <c r="AJ8" t="s">
        <v>101</v>
      </c>
      <c r="AK8">
        <v>0</v>
      </c>
      <c r="AL8">
        <v>317</v>
      </c>
      <c r="AM8">
        <v>1686</v>
      </c>
      <c r="AN8" t="s">
        <v>102</v>
      </c>
      <c r="AO8" t="s">
        <v>103</v>
      </c>
      <c r="AP8" t="s">
        <v>104</v>
      </c>
      <c r="AQ8" t="s">
        <v>105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96</v>
      </c>
      <c r="BC8">
        <v>7</v>
      </c>
      <c r="BD8" t="s">
        <v>106</v>
      </c>
      <c r="BE8">
        <v>1</v>
      </c>
      <c r="BF8" t="s">
        <v>96</v>
      </c>
      <c r="BG8" t="s">
        <v>107</v>
      </c>
      <c r="BH8">
        <v>2004</v>
      </c>
      <c r="BI8" t="s">
        <v>108</v>
      </c>
      <c r="BJ8">
        <v>2</v>
      </c>
      <c r="BK8">
        <v>636</v>
      </c>
      <c r="BL8" t="s">
        <v>97</v>
      </c>
      <c r="BM8" t="s">
        <v>97</v>
      </c>
      <c r="BN8" t="s">
        <v>104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X8">
        <v>0</v>
      </c>
      <c r="BY8">
        <v>8</v>
      </c>
      <c r="BZ8">
        <v>2007</v>
      </c>
      <c r="CA8" t="s">
        <v>109</v>
      </c>
      <c r="CB8" t="s">
        <v>110</v>
      </c>
      <c r="CC8">
        <v>307000</v>
      </c>
    </row>
    <row r="9" spans="1:81" x14ac:dyDescent="0.3">
      <c r="A9">
        <v>8</v>
      </c>
      <c r="B9">
        <v>60</v>
      </c>
      <c r="C9" t="s">
        <v>81</v>
      </c>
      <c r="E9">
        <v>10382</v>
      </c>
      <c r="F9" t="s">
        <v>82</v>
      </c>
      <c r="H9" t="s">
        <v>119</v>
      </c>
      <c r="I9" t="s">
        <v>84</v>
      </c>
      <c r="J9" t="s">
        <v>85</v>
      </c>
      <c r="K9" t="s">
        <v>121</v>
      </c>
      <c r="L9" t="s">
        <v>87</v>
      </c>
      <c r="M9" t="s">
        <v>137</v>
      </c>
      <c r="N9" t="s">
        <v>138</v>
      </c>
      <c r="O9" t="s">
        <v>89</v>
      </c>
      <c r="P9" t="s">
        <v>90</v>
      </c>
      <c r="Q9" t="s">
        <v>91</v>
      </c>
      <c r="R9">
        <v>7</v>
      </c>
      <c r="S9">
        <v>6</v>
      </c>
      <c r="T9">
        <v>1973</v>
      </c>
      <c r="U9">
        <v>1973</v>
      </c>
      <c r="V9" t="s">
        <v>92</v>
      </c>
      <c r="W9" t="s">
        <v>93</v>
      </c>
      <c r="X9" t="s">
        <v>139</v>
      </c>
      <c r="Y9" t="s">
        <v>139</v>
      </c>
      <c r="Z9" t="s">
        <v>136</v>
      </c>
      <c r="AA9">
        <v>240</v>
      </c>
      <c r="AB9" t="s">
        <v>97</v>
      </c>
      <c r="AC9" t="s">
        <v>97</v>
      </c>
      <c r="AD9" t="s">
        <v>117</v>
      </c>
      <c r="AE9" t="s">
        <v>96</v>
      </c>
      <c r="AF9" t="s">
        <v>97</v>
      </c>
      <c r="AG9" t="s">
        <v>120</v>
      </c>
      <c r="AH9" t="s">
        <v>118</v>
      </c>
      <c r="AI9">
        <v>859</v>
      </c>
      <c r="AJ9" t="s">
        <v>140</v>
      </c>
      <c r="AK9">
        <v>32</v>
      </c>
      <c r="AL9">
        <v>216</v>
      </c>
      <c r="AM9">
        <v>1107</v>
      </c>
      <c r="AN9" t="s">
        <v>102</v>
      </c>
      <c r="AO9" t="s">
        <v>103</v>
      </c>
      <c r="AP9" t="s">
        <v>104</v>
      </c>
      <c r="AQ9" t="s">
        <v>105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97</v>
      </c>
      <c r="BC9">
        <v>7</v>
      </c>
      <c r="BD9" t="s">
        <v>106</v>
      </c>
      <c r="BE9">
        <v>2</v>
      </c>
      <c r="BF9" t="s">
        <v>97</v>
      </c>
      <c r="BG9" t="s">
        <v>107</v>
      </c>
      <c r="BH9">
        <v>1973</v>
      </c>
      <c r="BI9" t="s">
        <v>108</v>
      </c>
      <c r="BJ9">
        <v>2</v>
      </c>
      <c r="BK9">
        <v>484</v>
      </c>
      <c r="BL9" t="s">
        <v>97</v>
      </c>
      <c r="BM9" t="s">
        <v>97</v>
      </c>
      <c r="BN9" t="s">
        <v>104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W9" t="s">
        <v>134</v>
      </c>
      <c r="BX9">
        <v>350</v>
      </c>
      <c r="BY9">
        <v>11</v>
      </c>
      <c r="BZ9">
        <v>2009</v>
      </c>
      <c r="CA9" t="s">
        <v>109</v>
      </c>
      <c r="CB9" t="s">
        <v>110</v>
      </c>
      <c r="CC9">
        <v>200000</v>
      </c>
    </row>
    <row r="10" spans="1:81" x14ac:dyDescent="0.3">
      <c r="A10">
        <v>9</v>
      </c>
      <c r="B10">
        <v>50</v>
      </c>
      <c r="C10" t="s">
        <v>141</v>
      </c>
      <c r="D10">
        <v>51</v>
      </c>
      <c r="E10">
        <v>6120</v>
      </c>
      <c r="F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142</v>
      </c>
      <c r="N10" t="s">
        <v>143</v>
      </c>
      <c r="O10" t="s">
        <v>89</v>
      </c>
      <c r="P10" t="s">
        <v>90</v>
      </c>
      <c r="Q10" t="s">
        <v>131</v>
      </c>
      <c r="R10">
        <v>7</v>
      </c>
      <c r="S10">
        <v>5</v>
      </c>
      <c r="T10">
        <v>1931</v>
      </c>
      <c r="U10">
        <v>1950</v>
      </c>
      <c r="V10" t="s">
        <v>92</v>
      </c>
      <c r="W10" t="s">
        <v>93</v>
      </c>
      <c r="X10" t="s">
        <v>95</v>
      </c>
      <c r="Y10" t="s">
        <v>124</v>
      </c>
      <c r="Z10" t="s">
        <v>116</v>
      </c>
      <c r="AA10">
        <v>0</v>
      </c>
      <c r="AB10" t="s">
        <v>97</v>
      </c>
      <c r="AC10" t="s">
        <v>97</v>
      </c>
      <c r="AD10" t="s">
        <v>125</v>
      </c>
      <c r="AE10" t="s">
        <v>97</v>
      </c>
      <c r="AF10" t="s">
        <v>97</v>
      </c>
      <c r="AG10" t="s">
        <v>99</v>
      </c>
      <c r="AH10" t="s">
        <v>101</v>
      </c>
      <c r="AI10">
        <v>0</v>
      </c>
      <c r="AJ10" t="s">
        <v>101</v>
      </c>
      <c r="AK10">
        <v>0</v>
      </c>
      <c r="AL10">
        <v>952</v>
      </c>
      <c r="AM10">
        <v>952</v>
      </c>
      <c r="AN10" t="s">
        <v>102</v>
      </c>
      <c r="AO10" t="s">
        <v>96</v>
      </c>
      <c r="AP10" t="s">
        <v>104</v>
      </c>
      <c r="AQ10" t="s">
        <v>144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97</v>
      </c>
      <c r="BC10">
        <v>8</v>
      </c>
      <c r="BD10" t="s">
        <v>145</v>
      </c>
      <c r="BE10">
        <v>2</v>
      </c>
      <c r="BF10" t="s">
        <v>97</v>
      </c>
      <c r="BG10" t="s">
        <v>126</v>
      </c>
      <c r="BH10">
        <v>1931</v>
      </c>
      <c r="BI10" t="s">
        <v>101</v>
      </c>
      <c r="BJ10">
        <v>2</v>
      </c>
      <c r="BK10">
        <v>468</v>
      </c>
      <c r="BL10" t="s">
        <v>146</v>
      </c>
      <c r="BM10" t="s">
        <v>97</v>
      </c>
      <c r="BN10" t="s">
        <v>104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X10">
        <v>0</v>
      </c>
      <c r="BY10">
        <v>4</v>
      </c>
      <c r="BZ10">
        <v>2008</v>
      </c>
      <c r="CA10" t="s">
        <v>109</v>
      </c>
      <c r="CB10" t="s">
        <v>127</v>
      </c>
      <c r="CC10">
        <v>129900</v>
      </c>
    </row>
    <row r="11" spans="1:81" x14ac:dyDescent="0.3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H11" t="s">
        <v>83</v>
      </c>
      <c r="I11" t="s">
        <v>84</v>
      </c>
      <c r="J11" t="s">
        <v>85</v>
      </c>
      <c r="K11" t="s">
        <v>121</v>
      </c>
      <c r="L11" t="s">
        <v>87</v>
      </c>
      <c r="M11" t="s">
        <v>147</v>
      </c>
      <c r="N11" t="s">
        <v>143</v>
      </c>
      <c r="O11" t="s">
        <v>143</v>
      </c>
      <c r="P11" t="s">
        <v>148</v>
      </c>
      <c r="Q11" t="s">
        <v>149</v>
      </c>
      <c r="R11">
        <v>5</v>
      </c>
      <c r="S11">
        <v>6</v>
      </c>
      <c r="T11">
        <v>1939</v>
      </c>
      <c r="U11">
        <v>1950</v>
      </c>
      <c r="V11" t="s">
        <v>92</v>
      </c>
      <c r="W11" t="s">
        <v>93</v>
      </c>
      <c r="X11" t="s">
        <v>115</v>
      </c>
      <c r="Y11" t="s">
        <v>115</v>
      </c>
      <c r="Z11" t="s">
        <v>116</v>
      </c>
      <c r="AA11">
        <v>0</v>
      </c>
      <c r="AB11" t="s">
        <v>97</v>
      </c>
      <c r="AC11" t="s">
        <v>97</v>
      </c>
      <c r="AD11" t="s">
        <v>125</v>
      </c>
      <c r="AE11" t="s">
        <v>97</v>
      </c>
      <c r="AF11" t="s">
        <v>97</v>
      </c>
      <c r="AG11" t="s">
        <v>99</v>
      </c>
      <c r="AH11" t="s">
        <v>100</v>
      </c>
      <c r="AI11">
        <v>851</v>
      </c>
      <c r="AJ11" t="s">
        <v>101</v>
      </c>
      <c r="AK11">
        <v>0</v>
      </c>
      <c r="AL11">
        <v>140</v>
      </c>
      <c r="AM11">
        <v>991</v>
      </c>
      <c r="AN11" t="s">
        <v>102</v>
      </c>
      <c r="AO11" t="s">
        <v>103</v>
      </c>
      <c r="AP11" t="s">
        <v>104</v>
      </c>
      <c r="AQ11" t="s">
        <v>105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97</v>
      </c>
      <c r="BC11">
        <v>5</v>
      </c>
      <c r="BD11" t="s">
        <v>106</v>
      </c>
      <c r="BE11">
        <v>2</v>
      </c>
      <c r="BF11" t="s">
        <v>97</v>
      </c>
      <c r="BG11" t="s">
        <v>107</v>
      </c>
      <c r="BH11">
        <v>1939</v>
      </c>
      <c r="BI11" t="s">
        <v>108</v>
      </c>
      <c r="BJ11">
        <v>1</v>
      </c>
      <c r="BK11">
        <v>205</v>
      </c>
      <c r="BL11" t="s">
        <v>96</v>
      </c>
      <c r="BM11" t="s">
        <v>97</v>
      </c>
      <c r="BN11" t="s">
        <v>104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X11">
        <v>0</v>
      </c>
      <c r="BY11">
        <v>1</v>
      </c>
      <c r="BZ11">
        <v>2008</v>
      </c>
      <c r="CA11" t="s">
        <v>109</v>
      </c>
      <c r="CB11" t="s">
        <v>110</v>
      </c>
      <c r="CC11">
        <v>118000</v>
      </c>
    </row>
    <row r="12" spans="1:81" x14ac:dyDescent="0.3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150</v>
      </c>
      <c r="N12" t="s">
        <v>89</v>
      </c>
      <c r="O12" t="s">
        <v>89</v>
      </c>
      <c r="P12" t="s">
        <v>90</v>
      </c>
      <c r="Q12" t="s">
        <v>114</v>
      </c>
      <c r="R12">
        <v>5</v>
      </c>
      <c r="S12">
        <v>5</v>
      </c>
      <c r="T12">
        <v>1965</v>
      </c>
      <c r="U12">
        <v>1965</v>
      </c>
      <c r="V12" t="s">
        <v>151</v>
      </c>
      <c r="W12" t="s">
        <v>93</v>
      </c>
      <c r="X12" t="s">
        <v>139</v>
      </c>
      <c r="Y12" t="s">
        <v>139</v>
      </c>
      <c r="Z12" t="s">
        <v>116</v>
      </c>
      <c r="AA12">
        <v>0</v>
      </c>
      <c r="AB12" t="s">
        <v>97</v>
      </c>
      <c r="AC12" t="s">
        <v>97</v>
      </c>
      <c r="AD12" t="s">
        <v>117</v>
      </c>
      <c r="AE12" t="s">
        <v>97</v>
      </c>
      <c r="AF12" t="s">
        <v>97</v>
      </c>
      <c r="AG12" t="s">
        <v>99</v>
      </c>
      <c r="AH12" t="s">
        <v>152</v>
      </c>
      <c r="AI12">
        <v>906</v>
      </c>
      <c r="AJ12" t="s">
        <v>101</v>
      </c>
      <c r="AK12">
        <v>0</v>
      </c>
      <c r="AL12">
        <v>134</v>
      </c>
      <c r="AM12">
        <v>1040</v>
      </c>
      <c r="AN12" t="s">
        <v>102</v>
      </c>
      <c r="AO12" t="s">
        <v>103</v>
      </c>
      <c r="AP12" t="s">
        <v>104</v>
      </c>
      <c r="AQ12" t="s">
        <v>105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97</v>
      </c>
      <c r="BC12">
        <v>5</v>
      </c>
      <c r="BD12" t="s">
        <v>106</v>
      </c>
      <c r="BE12">
        <v>0</v>
      </c>
      <c r="BG12" t="s">
        <v>126</v>
      </c>
      <c r="BH12">
        <v>1965</v>
      </c>
      <c r="BI12" t="s">
        <v>101</v>
      </c>
      <c r="BJ12">
        <v>1</v>
      </c>
      <c r="BK12">
        <v>384</v>
      </c>
      <c r="BL12" t="s">
        <v>97</v>
      </c>
      <c r="BM12" t="s">
        <v>97</v>
      </c>
      <c r="BN12" t="s">
        <v>104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2</v>
      </c>
      <c r="BZ12">
        <v>2008</v>
      </c>
      <c r="CA12" t="s">
        <v>109</v>
      </c>
      <c r="CB12" t="s">
        <v>110</v>
      </c>
      <c r="CC12">
        <v>129500</v>
      </c>
    </row>
    <row r="13" spans="1:81" x14ac:dyDescent="0.3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H13" t="s">
        <v>119</v>
      </c>
      <c r="I13" t="s">
        <v>84</v>
      </c>
      <c r="J13" t="s">
        <v>85</v>
      </c>
      <c r="K13" t="s">
        <v>86</v>
      </c>
      <c r="L13" t="s">
        <v>87</v>
      </c>
      <c r="M13" t="s">
        <v>153</v>
      </c>
      <c r="N13" t="s">
        <v>89</v>
      </c>
      <c r="O13" t="s">
        <v>89</v>
      </c>
      <c r="P13" t="s">
        <v>90</v>
      </c>
      <c r="Q13" t="s">
        <v>91</v>
      </c>
      <c r="R13">
        <v>9</v>
      </c>
      <c r="S13">
        <v>5</v>
      </c>
      <c r="T13">
        <v>2005</v>
      </c>
      <c r="U13">
        <v>2006</v>
      </c>
      <c r="V13" t="s">
        <v>151</v>
      </c>
      <c r="W13" t="s">
        <v>93</v>
      </c>
      <c r="X13" t="s">
        <v>154</v>
      </c>
      <c r="Y13" t="s">
        <v>124</v>
      </c>
      <c r="Z13" t="s">
        <v>136</v>
      </c>
      <c r="AA13">
        <v>286</v>
      </c>
      <c r="AB13" t="s">
        <v>103</v>
      </c>
      <c r="AC13" t="s">
        <v>97</v>
      </c>
      <c r="AD13" t="s">
        <v>98</v>
      </c>
      <c r="AE13" t="s">
        <v>103</v>
      </c>
      <c r="AF13" t="s">
        <v>97</v>
      </c>
      <c r="AG13" t="s">
        <v>99</v>
      </c>
      <c r="AH13" t="s">
        <v>100</v>
      </c>
      <c r="AI13">
        <v>998</v>
      </c>
      <c r="AJ13" t="s">
        <v>101</v>
      </c>
      <c r="AK13">
        <v>0</v>
      </c>
      <c r="AL13">
        <v>177</v>
      </c>
      <c r="AM13">
        <v>1175</v>
      </c>
      <c r="AN13" t="s">
        <v>102</v>
      </c>
      <c r="AO13" t="s">
        <v>103</v>
      </c>
      <c r="AP13" t="s">
        <v>104</v>
      </c>
      <c r="AQ13" t="s">
        <v>105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103</v>
      </c>
      <c r="BC13">
        <v>11</v>
      </c>
      <c r="BD13" t="s">
        <v>106</v>
      </c>
      <c r="BE13">
        <v>2</v>
      </c>
      <c r="BF13" t="s">
        <v>96</v>
      </c>
      <c r="BG13" t="s">
        <v>155</v>
      </c>
      <c r="BH13">
        <v>2005</v>
      </c>
      <c r="BI13" t="s">
        <v>156</v>
      </c>
      <c r="BJ13">
        <v>3</v>
      </c>
      <c r="BK13">
        <v>736</v>
      </c>
      <c r="BL13" t="s">
        <v>97</v>
      </c>
      <c r="BM13" t="s">
        <v>97</v>
      </c>
      <c r="BN13" t="s">
        <v>104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7</v>
      </c>
      <c r="BZ13">
        <v>2006</v>
      </c>
      <c r="CA13" t="s">
        <v>157</v>
      </c>
      <c r="CB13" t="s">
        <v>158</v>
      </c>
      <c r="CC13">
        <v>345000</v>
      </c>
    </row>
    <row r="14" spans="1:81" x14ac:dyDescent="0.3">
      <c r="A14">
        <v>13</v>
      </c>
      <c r="B14">
        <v>20</v>
      </c>
      <c r="C14" t="s">
        <v>81</v>
      </c>
      <c r="E14">
        <v>12968</v>
      </c>
      <c r="F14" t="s">
        <v>82</v>
      </c>
      <c r="H14" t="s">
        <v>159</v>
      </c>
      <c r="I14" t="s">
        <v>84</v>
      </c>
      <c r="J14" t="s">
        <v>85</v>
      </c>
      <c r="K14" t="s">
        <v>86</v>
      </c>
      <c r="L14" t="s">
        <v>87</v>
      </c>
      <c r="M14" t="s">
        <v>150</v>
      </c>
      <c r="N14" t="s">
        <v>89</v>
      </c>
      <c r="O14" t="s">
        <v>89</v>
      </c>
      <c r="P14" t="s">
        <v>90</v>
      </c>
      <c r="Q14" t="s">
        <v>114</v>
      </c>
      <c r="R14">
        <v>5</v>
      </c>
      <c r="S14">
        <v>6</v>
      </c>
      <c r="T14">
        <v>1962</v>
      </c>
      <c r="U14">
        <v>1962</v>
      </c>
      <c r="V14" t="s">
        <v>151</v>
      </c>
      <c r="W14" t="s">
        <v>93</v>
      </c>
      <c r="X14" t="s">
        <v>139</v>
      </c>
      <c r="Y14" t="s">
        <v>160</v>
      </c>
      <c r="Z14" t="s">
        <v>116</v>
      </c>
      <c r="AA14">
        <v>0</v>
      </c>
      <c r="AB14" t="s">
        <v>97</v>
      </c>
      <c r="AC14" t="s">
        <v>97</v>
      </c>
      <c r="AD14" t="s">
        <v>117</v>
      </c>
      <c r="AE14" t="s">
        <v>97</v>
      </c>
      <c r="AF14" t="s">
        <v>97</v>
      </c>
      <c r="AG14" t="s">
        <v>99</v>
      </c>
      <c r="AH14" t="s">
        <v>118</v>
      </c>
      <c r="AI14">
        <v>737</v>
      </c>
      <c r="AJ14" t="s">
        <v>101</v>
      </c>
      <c r="AK14">
        <v>0</v>
      </c>
      <c r="AL14">
        <v>175</v>
      </c>
      <c r="AM14">
        <v>912</v>
      </c>
      <c r="AN14" t="s">
        <v>102</v>
      </c>
      <c r="AO14" t="s">
        <v>97</v>
      </c>
      <c r="AP14" t="s">
        <v>104</v>
      </c>
      <c r="AQ14" t="s">
        <v>105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97</v>
      </c>
      <c r="BC14">
        <v>4</v>
      </c>
      <c r="BD14" t="s">
        <v>106</v>
      </c>
      <c r="BE14">
        <v>0</v>
      </c>
      <c r="BG14" t="s">
        <v>126</v>
      </c>
      <c r="BH14">
        <v>1962</v>
      </c>
      <c r="BI14" t="s">
        <v>101</v>
      </c>
      <c r="BJ14">
        <v>1</v>
      </c>
      <c r="BK14">
        <v>352</v>
      </c>
      <c r="BL14" t="s">
        <v>97</v>
      </c>
      <c r="BM14" t="s">
        <v>97</v>
      </c>
      <c r="BN14" t="s">
        <v>104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X14">
        <v>0</v>
      </c>
      <c r="BY14">
        <v>9</v>
      </c>
      <c r="BZ14">
        <v>2008</v>
      </c>
      <c r="CA14" t="s">
        <v>109</v>
      </c>
      <c r="CB14" t="s">
        <v>110</v>
      </c>
      <c r="CC14">
        <v>144000</v>
      </c>
    </row>
    <row r="15" spans="1:81" x14ac:dyDescent="0.3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H15" t="s">
        <v>119</v>
      </c>
      <c r="I15" t="s">
        <v>84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89</v>
      </c>
      <c r="P15" t="s">
        <v>90</v>
      </c>
      <c r="Q15" t="s">
        <v>114</v>
      </c>
      <c r="R15">
        <v>7</v>
      </c>
      <c r="S15">
        <v>5</v>
      </c>
      <c r="T15">
        <v>2006</v>
      </c>
      <c r="U15">
        <v>2007</v>
      </c>
      <c r="V15" t="s">
        <v>92</v>
      </c>
      <c r="W15" t="s">
        <v>93</v>
      </c>
      <c r="X15" t="s">
        <v>94</v>
      </c>
      <c r="Y15" t="s">
        <v>94</v>
      </c>
      <c r="Z15" t="s">
        <v>136</v>
      </c>
      <c r="AA15">
        <v>306</v>
      </c>
      <c r="AB15" t="s">
        <v>96</v>
      </c>
      <c r="AC15" t="s">
        <v>97</v>
      </c>
      <c r="AD15" t="s">
        <v>98</v>
      </c>
      <c r="AE15" t="s">
        <v>96</v>
      </c>
      <c r="AF15" t="s">
        <v>97</v>
      </c>
      <c r="AG15" t="s">
        <v>129</v>
      </c>
      <c r="AH15" t="s">
        <v>101</v>
      </c>
      <c r="AI15">
        <v>0</v>
      </c>
      <c r="AJ15" t="s">
        <v>101</v>
      </c>
      <c r="AK15">
        <v>0</v>
      </c>
      <c r="AL15">
        <v>1494</v>
      </c>
      <c r="AM15">
        <v>1494</v>
      </c>
      <c r="AN15" t="s">
        <v>102</v>
      </c>
      <c r="AO15" t="s">
        <v>103</v>
      </c>
      <c r="AP15" t="s">
        <v>104</v>
      </c>
      <c r="AQ15" t="s">
        <v>105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96</v>
      </c>
      <c r="BC15">
        <v>7</v>
      </c>
      <c r="BD15" t="s">
        <v>106</v>
      </c>
      <c r="BE15">
        <v>1</v>
      </c>
      <c r="BF15" t="s">
        <v>96</v>
      </c>
      <c r="BG15" t="s">
        <v>107</v>
      </c>
      <c r="BH15">
        <v>2006</v>
      </c>
      <c r="BI15" t="s">
        <v>108</v>
      </c>
      <c r="BJ15">
        <v>3</v>
      </c>
      <c r="BK15">
        <v>840</v>
      </c>
      <c r="BL15" t="s">
        <v>97</v>
      </c>
      <c r="BM15" t="s">
        <v>97</v>
      </c>
      <c r="BN15" t="s">
        <v>104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8</v>
      </c>
      <c r="BZ15">
        <v>2007</v>
      </c>
      <c r="CA15" t="s">
        <v>157</v>
      </c>
      <c r="CB15" t="s">
        <v>158</v>
      </c>
      <c r="CC15">
        <v>279500</v>
      </c>
    </row>
    <row r="16" spans="1:81" x14ac:dyDescent="0.3">
      <c r="A16">
        <v>15</v>
      </c>
      <c r="B16">
        <v>20</v>
      </c>
      <c r="C16" t="s">
        <v>81</v>
      </c>
      <c r="E16">
        <v>10920</v>
      </c>
      <c r="F16" t="s">
        <v>82</v>
      </c>
      <c r="H16" t="s">
        <v>119</v>
      </c>
      <c r="I16" t="s">
        <v>84</v>
      </c>
      <c r="J16" t="s">
        <v>85</v>
      </c>
      <c r="K16" t="s">
        <v>121</v>
      </c>
      <c r="L16" t="s">
        <v>87</v>
      </c>
      <c r="M16" t="s">
        <v>270</v>
      </c>
      <c r="N16" t="s">
        <v>89</v>
      </c>
      <c r="O16" t="s">
        <v>89</v>
      </c>
      <c r="P16" t="s">
        <v>90</v>
      </c>
      <c r="Q16" t="s">
        <v>114</v>
      </c>
      <c r="R16">
        <v>6</v>
      </c>
      <c r="S16">
        <v>5</v>
      </c>
      <c r="T16">
        <v>1960</v>
      </c>
      <c r="U16">
        <v>1960</v>
      </c>
      <c r="V16" t="s">
        <v>151</v>
      </c>
      <c r="W16" t="s">
        <v>93</v>
      </c>
      <c r="X16" t="s">
        <v>115</v>
      </c>
      <c r="Y16" t="s">
        <v>115</v>
      </c>
      <c r="Z16" t="s">
        <v>95</v>
      </c>
      <c r="AA16">
        <v>212</v>
      </c>
      <c r="AB16" t="s">
        <v>97</v>
      </c>
      <c r="AC16" t="s">
        <v>97</v>
      </c>
      <c r="AD16" t="s">
        <v>117</v>
      </c>
      <c r="AE16" t="s">
        <v>97</v>
      </c>
      <c r="AF16" t="s">
        <v>97</v>
      </c>
      <c r="AG16" t="s">
        <v>99</v>
      </c>
      <c r="AH16" t="s">
        <v>140</v>
      </c>
      <c r="AI16">
        <v>733</v>
      </c>
      <c r="AJ16" t="s">
        <v>101</v>
      </c>
      <c r="AK16">
        <v>0</v>
      </c>
      <c r="AL16">
        <v>520</v>
      </c>
      <c r="AM16">
        <v>1253</v>
      </c>
      <c r="AN16" t="s">
        <v>102</v>
      </c>
      <c r="AO16" t="s">
        <v>97</v>
      </c>
      <c r="AP16" t="s">
        <v>104</v>
      </c>
      <c r="AQ16" t="s">
        <v>105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97</v>
      </c>
      <c r="BC16">
        <v>5</v>
      </c>
      <c r="BD16" t="s">
        <v>106</v>
      </c>
      <c r="BE16">
        <v>1</v>
      </c>
      <c r="BF16" t="s">
        <v>146</v>
      </c>
      <c r="BG16" t="s">
        <v>107</v>
      </c>
      <c r="BH16">
        <v>1960</v>
      </c>
      <c r="BI16" t="s">
        <v>108</v>
      </c>
      <c r="BJ16">
        <v>1</v>
      </c>
      <c r="BK16">
        <v>352</v>
      </c>
      <c r="BL16" t="s">
        <v>97</v>
      </c>
      <c r="BM16" t="s">
        <v>97</v>
      </c>
      <c r="BN16" t="s">
        <v>104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V16" t="s">
        <v>162</v>
      </c>
      <c r="BX16">
        <v>0</v>
      </c>
      <c r="BY16">
        <v>5</v>
      </c>
      <c r="BZ16">
        <v>2008</v>
      </c>
      <c r="CA16" t="s">
        <v>109</v>
      </c>
      <c r="CB16" t="s">
        <v>110</v>
      </c>
      <c r="CC16">
        <v>157000</v>
      </c>
    </row>
    <row r="17" spans="1:81" x14ac:dyDescent="0.3">
      <c r="A17">
        <v>16</v>
      </c>
      <c r="B17">
        <v>45</v>
      </c>
      <c r="C17" t="s">
        <v>141</v>
      </c>
      <c r="D17">
        <v>51</v>
      </c>
      <c r="E17">
        <v>6120</v>
      </c>
      <c r="F17" t="s">
        <v>82</v>
      </c>
      <c r="H17" t="s">
        <v>83</v>
      </c>
      <c r="I17" t="s">
        <v>84</v>
      </c>
      <c r="J17" t="s">
        <v>85</v>
      </c>
      <c r="K17" t="s">
        <v>121</v>
      </c>
      <c r="L17" t="s">
        <v>87</v>
      </c>
      <c r="M17" t="s">
        <v>147</v>
      </c>
      <c r="N17" t="s">
        <v>89</v>
      </c>
      <c r="O17" t="s">
        <v>89</v>
      </c>
      <c r="P17" t="s">
        <v>90</v>
      </c>
      <c r="Q17" t="s">
        <v>149</v>
      </c>
      <c r="R17">
        <v>7</v>
      </c>
      <c r="S17">
        <v>8</v>
      </c>
      <c r="T17">
        <v>1929</v>
      </c>
      <c r="U17">
        <v>2001</v>
      </c>
      <c r="V17" t="s">
        <v>92</v>
      </c>
      <c r="W17" t="s">
        <v>93</v>
      </c>
      <c r="X17" t="s">
        <v>123</v>
      </c>
      <c r="Y17" t="s">
        <v>123</v>
      </c>
      <c r="Z17" t="s">
        <v>116</v>
      </c>
      <c r="AA17">
        <v>0</v>
      </c>
      <c r="AB17" t="s">
        <v>97</v>
      </c>
      <c r="AC17" t="s">
        <v>97</v>
      </c>
      <c r="AD17" t="s">
        <v>125</v>
      </c>
      <c r="AE17" t="s">
        <v>97</v>
      </c>
      <c r="AF17" t="s">
        <v>97</v>
      </c>
      <c r="AG17" t="s">
        <v>99</v>
      </c>
      <c r="AH17" t="s">
        <v>101</v>
      </c>
      <c r="AI17">
        <v>0</v>
      </c>
      <c r="AJ17" t="s">
        <v>101</v>
      </c>
      <c r="AK17">
        <v>0</v>
      </c>
      <c r="AL17">
        <v>832</v>
      </c>
      <c r="AM17">
        <v>832</v>
      </c>
      <c r="AN17" t="s">
        <v>102</v>
      </c>
      <c r="AO17" t="s">
        <v>103</v>
      </c>
      <c r="AP17" t="s">
        <v>104</v>
      </c>
      <c r="AQ17" t="s">
        <v>163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97</v>
      </c>
      <c r="BC17">
        <v>5</v>
      </c>
      <c r="BD17" t="s">
        <v>106</v>
      </c>
      <c r="BE17">
        <v>0</v>
      </c>
      <c r="BG17" t="s">
        <v>126</v>
      </c>
      <c r="BH17">
        <v>1991</v>
      </c>
      <c r="BI17" t="s">
        <v>101</v>
      </c>
      <c r="BJ17">
        <v>2</v>
      </c>
      <c r="BK17">
        <v>576</v>
      </c>
      <c r="BL17" t="s">
        <v>97</v>
      </c>
      <c r="BM17" t="s">
        <v>97</v>
      </c>
      <c r="BN17" t="s">
        <v>104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V17" t="s">
        <v>164</v>
      </c>
      <c r="BX17">
        <v>0</v>
      </c>
      <c r="BY17">
        <v>7</v>
      </c>
      <c r="BZ17">
        <v>2007</v>
      </c>
      <c r="CA17" t="s">
        <v>109</v>
      </c>
      <c r="CB17" t="s">
        <v>110</v>
      </c>
      <c r="CC17">
        <v>132000</v>
      </c>
    </row>
    <row r="18" spans="1:81" x14ac:dyDescent="0.3">
      <c r="A18">
        <v>17</v>
      </c>
      <c r="B18">
        <v>20</v>
      </c>
      <c r="C18" t="s">
        <v>81</v>
      </c>
      <c r="E18">
        <v>11241</v>
      </c>
      <c r="F18" t="s">
        <v>82</v>
      </c>
      <c r="H18" t="s">
        <v>119</v>
      </c>
      <c r="I18" t="s">
        <v>84</v>
      </c>
      <c r="J18" t="s">
        <v>85</v>
      </c>
      <c r="K18" t="s">
        <v>165</v>
      </c>
      <c r="L18" t="s">
        <v>87</v>
      </c>
      <c r="M18" t="s">
        <v>270</v>
      </c>
      <c r="N18" t="s">
        <v>89</v>
      </c>
      <c r="O18" t="s">
        <v>89</v>
      </c>
      <c r="P18" t="s">
        <v>90</v>
      </c>
      <c r="Q18" t="s">
        <v>114</v>
      </c>
      <c r="R18">
        <v>6</v>
      </c>
      <c r="S18">
        <v>7</v>
      </c>
      <c r="T18">
        <v>1970</v>
      </c>
      <c r="U18">
        <v>1970</v>
      </c>
      <c r="V18" t="s">
        <v>92</v>
      </c>
      <c r="W18" t="s">
        <v>93</v>
      </c>
      <c r="X18" t="s">
        <v>123</v>
      </c>
      <c r="Y18" t="s">
        <v>123</v>
      </c>
      <c r="Z18" t="s">
        <v>95</v>
      </c>
      <c r="AA18">
        <v>180</v>
      </c>
      <c r="AB18" t="s">
        <v>97</v>
      </c>
      <c r="AC18" t="s">
        <v>97</v>
      </c>
      <c r="AD18" t="s">
        <v>117</v>
      </c>
      <c r="AE18" t="s">
        <v>97</v>
      </c>
      <c r="AF18" t="s">
        <v>97</v>
      </c>
      <c r="AG18" t="s">
        <v>99</v>
      </c>
      <c r="AH18" t="s">
        <v>118</v>
      </c>
      <c r="AI18">
        <v>578</v>
      </c>
      <c r="AJ18" t="s">
        <v>101</v>
      </c>
      <c r="AK18">
        <v>0</v>
      </c>
      <c r="AL18">
        <v>426</v>
      </c>
      <c r="AM18">
        <v>1004</v>
      </c>
      <c r="AN18" t="s">
        <v>102</v>
      </c>
      <c r="AO18" t="s">
        <v>103</v>
      </c>
      <c r="AP18" t="s">
        <v>104</v>
      </c>
      <c r="AQ18" t="s">
        <v>105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97</v>
      </c>
      <c r="BC18">
        <v>5</v>
      </c>
      <c r="BD18" t="s">
        <v>106</v>
      </c>
      <c r="BE18">
        <v>1</v>
      </c>
      <c r="BF18" t="s">
        <v>97</v>
      </c>
      <c r="BG18" t="s">
        <v>107</v>
      </c>
      <c r="BH18">
        <v>1970</v>
      </c>
      <c r="BI18" t="s">
        <v>156</v>
      </c>
      <c r="BJ18">
        <v>2</v>
      </c>
      <c r="BK18">
        <v>480</v>
      </c>
      <c r="BL18" t="s">
        <v>97</v>
      </c>
      <c r="BM18" t="s">
        <v>97</v>
      </c>
      <c r="BN18" t="s">
        <v>104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">
        <v>134</v>
      </c>
      <c r="BX18">
        <v>700</v>
      </c>
      <c r="BY18">
        <v>3</v>
      </c>
      <c r="BZ18">
        <v>2010</v>
      </c>
      <c r="CA18" t="s">
        <v>109</v>
      </c>
      <c r="CB18" t="s">
        <v>110</v>
      </c>
      <c r="CC18">
        <v>149000</v>
      </c>
    </row>
    <row r="19" spans="1:81" x14ac:dyDescent="0.3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150</v>
      </c>
      <c r="N19" t="s">
        <v>89</v>
      </c>
      <c r="O19" t="s">
        <v>89</v>
      </c>
      <c r="P19" t="s">
        <v>166</v>
      </c>
      <c r="Q19" t="s">
        <v>114</v>
      </c>
      <c r="R19">
        <v>4</v>
      </c>
      <c r="S19">
        <v>5</v>
      </c>
      <c r="T19">
        <v>1967</v>
      </c>
      <c r="U19">
        <v>1967</v>
      </c>
      <c r="V19" t="s">
        <v>92</v>
      </c>
      <c r="W19" t="s">
        <v>93</v>
      </c>
      <c r="X19" t="s">
        <v>115</v>
      </c>
      <c r="Y19" t="s">
        <v>115</v>
      </c>
      <c r="Z19" t="s">
        <v>116</v>
      </c>
      <c r="AA19">
        <v>0</v>
      </c>
      <c r="AB19" t="s">
        <v>97</v>
      </c>
      <c r="AC19" t="s">
        <v>97</v>
      </c>
      <c r="AD19" t="s">
        <v>167</v>
      </c>
      <c r="AI19">
        <v>0</v>
      </c>
      <c r="AK19">
        <v>0</v>
      </c>
      <c r="AL19">
        <v>0</v>
      </c>
      <c r="AM19">
        <v>0</v>
      </c>
      <c r="AN19" t="s">
        <v>102</v>
      </c>
      <c r="AO19" t="s">
        <v>97</v>
      </c>
      <c r="AP19" t="s">
        <v>104</v>
      </c>
      <c r="AQ19" t="s">
        <v>105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97</v>
      </c>
      <c r="BC19">
        <v>6</v>
      </c>
      <c r="BD19" t="s">
        <v>106</v>
      </c>
      <c r="BE19">
        <v>0</v>
      </c>
      <c r="BG19" t="s">
        <v>168</v>
      </c>
      <c r="BH19">
        <v>1967</v>
      </c>
      <c r="BI19" t="s">
        <v>101</v>
      </c>
      <c r="BJ19">
        <v>2</v>
      </c>
      <c r="BK19">
        <v>516</v>
      </c>
      <c r="BL19" t="s">
        <v>97</v>
      </c>
      <c r="BM19" t="s">
        <v>97</v>
      </c>
      <c r="BN19" t="s">
        <v>104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">
        <v>134</v>
      </c>
      <c r="BX19">
        <v>500</v>
      </c>
      <c r="BY19">
        <v>10</v>
      </c>
      <c r="BZ19">
        <v>2006</v>
      </c>
      <c r="CA19" t="s">
        <v>109</v>
      </c>
      <c r="CB19" t="s">
        <v>110</v>
      </c>
      <c r="CC19">
        <v>90000</v>
      </c>
    </row>
    <row r="20" spans="1:81" x14ac:dyDescent="0.3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169</v>
      </c>
      <c r="N20" t="s">
        <v>170</v>
      </c>
      <c r="O20" t="s">
        <v>89</v>
      </c>
      <c r="P20" t="s">
        <v>90</v>
      </c>
      <c r="Q20" t="s">
        <v>114</v>
      </c>
      <c r="R20">
        <v>5</v>
      </c>
      <c r="S20">
        <v>5</v>
      </c>
      <c r="T20">
        <v>2004</v>
      </c>
      <c r="U20">
        <v>2004</v>
      </c>
      <c r="V20" t="s">
        <v>92</v>
      </c>
      <c r="W20" t="s">
        <v>93</v>
      </c>
      <c r="X20" t="s">
        <v>94</v>
      </c>
      <c r="Y20" t="s">
        <v>94</v>
      </c>
      <c r="Z20" t="s">
        <v>116</v>
      </c>
      <c r="AA20">
        <v>0</v>
      </c>
      <c r="AB20" t="s">
        <v>97</v>
      </c>
      <c r="AC20" t="s">
        <v>97</v>
      </c>
      <c r="AD20" t="s">
        <v>98</v>
      </c>
      <c r="AE20" t="s">
        <v>97</v>
      </c>
      <c r="AF20" t="s">
        <v>97</v>
      </c>
      <c r="AG20" t="s">
        <v>99</v>
      </c>
      <c r="AH20" t="s">
        <v>100</v>
      </c>
      <c r="AI20">
        <v>646</v>
      </c>
      <c r="AJ20" t="s">
        <v>101</v>
      </c>
      <c r="AK20">
        <v>0</v>
      </c>
      <c r="AL20">
        <v>468</v>
      </c>
      <c r="AM20">
        <v>1114</v>
      </c>
      <c r="AN20" t="s">
        <v>102</v>
      </c>
      <c r="AO20" t="s">
        <v>103</v>
      </c>
      <c r="AP20" t="s">
        <v>104</v>
      </c>
      <c r="AQ20" t="s">
        <v>105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96</v>
      </c>
      <c r="BC20">
        <v>6</v>
      </c>
      <c r="BD20" t="s">
        <v>106</v>
      </c>
      <c r="BE20">
        <v>0</v>
      </c>
      <c r="BG20" t="s">
        <v>126</v>
      </c>
      <c r="BH20">
        <v>2004</v>
      </c>
      <c r="BI20" t="s">
        <v>101</v>
      </c>
      <c r="BJ20">
        <v>2</v>
      </c>
      <c r="BK20">
        <v>576</v>
      </c>
      <c r="BL20" t="s">
        <v>97</v>
      </c>
      <c r="BM20" t="s">
        <v>97</v>
      </c>
      <c r="BN20" t="s">
        <v>104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6</v>
      </c>
      <c r="BZ20">
        <v>2008</v>
      </c>
      <c r="CA20" t="s">
        <v>109</v>
      </c>
      <c r="CB20" t="s">
        <v>110</v>
      </c>
      <c r="CC20">
        <v>159000</v>
      </c>
    </row>
    <row r="21" spans="1:81" x14ac:dyDescent="0.3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270</v>
      </c>
      <c r="N21" t="s">
        <v>89</v>
      </c>
      <c r="O21" t="s">
        <v>89</v>
      </c>
      <c r="P21" t="s">
        <v>90</v>
      </c>
      <c r="Q21" t="s">
        <v>114</v>
      </c>
      <c r="R21">
        <v>5</v>
      </c>
      <c r="S21">
        <v>6</v>
      </c>
      <c r="T21">
        <v>1958</v>
      </c>
      <c r="U21">
        <v>1965</v>
      </c>
      <c r="V21" t="s">
        <v>151</v>
      </c>
      <c r="W21" t="s">
        <v>93</v>
      </c>
      <c r="X21" t="s">
        <v>95</v>
      </c>
      <c r="Y21" t="s">
        <v>160</v>
      </c>
      <c r="Z21" t="s">
        <v>116</v>
      </c>
      <c r="AA21">
        <v>0</v>
      </c>
      <c r="AB21" t="s">
        <v>97</v>
      </c>
      <c r="AC21" t="s">
        <v>97</v>
      </c>
      <c r="AD21" t="s">
        <v>117</v>
      </c>
      <c r="AE21" t="s">
        <v>97</v>
      </c>
      <c r="AF21" t="s">
        <v>97</v>
      </c>
      <c r="AG21" t="s">
        <v>99</v>
      </c>
      <c r="AH21" t="s">
        <v>171</v>
      </c>
      <c r="AI21">
        <v>504</v>
      </c>
      <c r="AJ21" t="s">
        <v>101</v>
      </c>
      <c r="AK21">
        <v>0</v>
      </c>
      <c r="AL21">
        <v>525</v>
      </c>
      <c r="AM21">
        <v>1029</v>
      </c>
      <c r="AN21" t="s">
        <v>102</v>
      </c>
      <c r="AO21" t="s">
        <v>97</v>
      </c>
      <c r="AP21" t="s">
        <v>104</v>
      </c>
      <c r="AQ21" t="s">
        <v>105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97</v>
      </c>
      <c r="BC21">
        <v>6</v>
      </c>
      <c r="BD21" t="s">
        <v>145</v>
      </c>
      <c r="BE21">
        <v>0</v>
      </c>
      <c r="BG21" t="s">
        <v>107</v>
      </c>
      <c r="BH21">
        <v>1958</v>
      </c>
      <c r="BI21" t="s">
        <v>101</v>
      </c>
      <c r="BJ21">
        <v>1</v>
      </c>
      <c r="BK21">
        <v>294</v>
      </c>
      <c r="BL21" t="s">
        <v>97</v>
      </c>
      <c r="BM21" t="s">
        <v>97</v>
      </c>
      <c r="BN21" t="s">
        <v>104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V21" t="s">
        <v>133</v>
      </c>
      <c r="BX21">
        <v>0</v>
      </c>
      <c r="BY21">
        <v>5</v>
      </c>
      <c r="BZ21">
        <v>2009</v>
      </c>
      <c r="CA21" t="s">
        <v>172</v>
      </c>
      <c r="CB21" t="s">
        <v>127</v>
      </c>
      <c r="CC21">
        <v>139000</v>
      </c>
    </row>
    <row r="22" spans="1:81" x14ac:dyDescent="0.3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H22" t="s">
        <v>119</v>
      </c>
      <c r="I22" t="s">
        <v>84</v>
      </c>
      <c r="J22" t="s">
        <v>85</v>
      </c>
      <c r="K22" t="s">
        <v>121</v>
      </c>
      <c r="L22" t="s">
        <v>87</v>
      </c>
      <c r="M22" t="s">
        <v>153</v>
      </c>
      <c r="N22" t="s">
        <v>89</v>
      </c>
      <c r="O22" t="s">
        <v>89</v>
      </c>
      <c r="P22" t="s">
        <v>90</v>
      </c>
      <c r="Q22" t="s">
        <v>91</v>
      </c>
      <c r="R22">
        <v>8</v>
      </c>
      <c r="S22">
        <v>5</v>
      </c>
      <c r="T22">
        <v>2005</v>
      </c>
      <c r="U22">
        <v>2006</v>
      </c>
      <c r="V22" t="s">
        <v>92</v>
      </c>
      <c r="W22" t="s">
        <v>93</v>
      </c>
      <c r="X22" t="s">
        <v>94</v>
      </c>
      <c r="Y22" t="s">
        <v>94</v>
      </c>
      <c r="Z22" t="s">
        <v>95</v>
      </c>
      <c r="AA22">
        <v>380</v>
      </c>
      <c r="AB22" t="s">
        <v>96</v>
      </c>
      <c r="AC22" t="s">
        <v>97</v>
      </c>
      <c r="AD22" t="s">
        <v>98</v>
      </c>
      <c r="AE22" t="s">
        <v>103</v>
      </c>
      <c r="AF22" t="s">
        <v>97</v>
      </c>
      <c r="AG22" t="s">
        <v>129</v>
      </c>
      <c r="AH22" t="s">
        <v>101</v>
      </c>
      <c r="AI22">
        <v>0</v>
      </c>
      <c r="AJ22" t="s">
        <v>101</v>
      </c>
      <c r="AK22">
        <v>0</v>
      </c>
      <c r="AL22">
        <v>1158</v>
      </c>
      <c r="AM22">
        <v>1158</v>
      </c>
      <c r="AN22" t="s">
        <v>102</v>
      </c>
      <c r="AO22" t="s">
        <v>103</v>
      </c>
      <c r="AP22" t="s">
        <v>104</v>
      </c>
      <c r="AQ22" t="s">
        <v>105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96</v>
      </c>
      <c r="BC22">
        <v>9</v>
      </c>
      <c r="BD22" t="s">
        <v>106</v>
      </c>
      <c r="BE22">
        <v>1</v>
      </c>
      <c r="BF22" t="s">
        <v>96</v>
      </c>
      <c r="BG22" t="s">
        <v>155</v>
      </c>
      <c r="BH22">
        <v>2005</v>
      </c>
      <c r="BI22" t="s">
        <v>108</v>
      </c>
      <c r="BJ22">
        <v>3</v>
      </c>
      <c r="BK22">
        <v>853</v>
      </c>
      <c r="BL22" t="s">
        <v>97</v>
      </c>
      <c r="BM22" t="s">
        <v>97</v>
      </c>
      <c r="BN22" t="s">
        <v>104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11</v>
      </c>
      <c r="BZ22">
        <v>2006</v>
      </c>
      <c r="CA22" t="s">
        <v>157</v>
      </c>
      <c r="CB22" t="s">
        <v>158</v>
      </c>
      <c r="CC22">
        <v>325300</v>
      </c>
    </row>
    <row r="23" spans="1:81" x14ac:dyDescent="0.3">
      <c r="A23">
        <v>22</v>
      </c>
      <c r="B23">
        <v>45</v>
      </c>
      <c r="C23" t="s">
        <v>141</v>
      </c>
      <c r="D23">
        <v>57</v>
      </c>
      <c r="E23">
        <v>7449</v>
      </c>
      <c r="F23" t="s">
        <v>82</v>
      </c>
      <c r="G23" t="s">
        <v>173</v>
      </c>
      <c r="H23" t="s">
        <v>83</v>
      </c>
      <c r="I23" t="s">
        <v>174</v>
      </c>
      <c r="J23" t="s">
        <v>85</v>
      </c>
      <c r="K23" t="s">
        <v>86</v>
      </c>
      <c r="L23" t="s">
        <v>87</v>
      </c>
      <c r="M23" t="s">
        <v>175</v>
      </c>
      <c r="N23" t="s">
        <v>89</v>
      </c>
      <c r="O23" t="s">
        <v>89</v>
      </c>
      <c r="P23" t="s">
        <v>90</v>
      </c>
      <c r="Q23" t="s">
        <v>149</v>
      </c>
      <c r="R23">
        <v>7</v>
      </c>
      <c r="S23">
        <v>7</v>
      </c>
      <c r="T23">
        <v>1930</v>
      </c>
      <c r="U23">
        <v>1950</v>
      </c>
      <c r="V23" t="s">
        <v>92</v>
      </c>
      <c r="W23" t="s">
        <v>93</v>
      </c>
      <c r="X23" t="s">
        <v>123</v>
      </c>
      <c r="Y23" t="s">
        <v>123</v>
      </c>
      <c r="Z23" t="s">
        <v>116</v>
      </c>
      <c r="AA23">
        <v>0</v>
      </c>
      <c r="AB23" t="s">
        <v>97</v>
      </c>
      <c r="AC23" t="s">
        <v>97</v>
      </c>
      <c r="AD23" t="s">
        <v>98</v>
      </c>
      <c r="AE23" t="s">
        <v>97</v>
      </c>
      <c r="AF23" t="s">
        <v>97</v>
      </c>
      <c r="AG23" t="s">
        <v>99</v>
      </c>
      <c r="AH23" t="s">
        <v>101</v>
      </c>
      <c r="AI23">
        <v>0</v>
      </c>
      <c r="AJ23" t="s">
        <v>101</v>
      </c>
      <c r="AK23">
        <v>0</v>
      </c>
      <c r="AL23">
        <v>637</v>
      </c>
      <c r="AM23">
        <v>637</v>
      </c>
      <c r="AN23" t="s">
        <v>102</v>
      </c>
      <c r="AO23" t="s">
        <v>103</v>
      </c>
      <c r="AP23" t="s">
        <v>104</v>
      </c>
      <c r="AQ23" t="s">
        <v>144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96</v>
      </c>
      <c r="BC23">
        <v>6</v>
      </c>
      <c r="BD23" t="s">
        <v>106</v>
      </c>
      <c r="BE23">
        <v>1</v>
      </c>
      <c r="BF23" t="s">
        <v>96</v>
      </c>
      <c r="BG23" t="s">
        <v>107</v>
      </c>
      <c r="BH23">
        <v>1930</v>
      </c>
      <c r="BI23" t="s">
        <v>101</v>
      </c>
      <c r="BJ23">
        <v>1</v>
      </c>
      <c r="BK23">
        <v>280</v>
      </c>
      <c r="BL23" t="s">
        <v>97</v>
      </c>
      <c r="BM23" t="s">
        <v>97</v>
      </c>
      <c r="BN23" t="s">
        <v>176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V23" t="s">
        <v>164</v>
      </c>
      <c r="BX23">
        <v>0</v>
      </c>
      <c r="BY23">
        <v>6</v>
      </c>
      <c r="BZ23">
        <v>2007</v>
      </c>
      <c r="CA23" t="s">
        <v>109</v>
      </c>
      <c r="CB23" t="s">
        <v>110</v>
      </c>
      <c r="CC23">
        <v>139400</v>
      </c>
    </row>
    <row r="24" spans="1:81" x14ac:dyDescent="0.3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89</v>
      </c>
      <c r="P24" t="s">
        <v>90</v>
      </c>
      <c r="Q24" t="s">
        <v>114</v>
      </c>
      <c r="R24">
        <v>8</v>
      </c>
      <c r="S24">
        <v>5</v>
      </c>
      <c r="T24">
        <v>2002</v>
      </c>
      <c r="U24">
        <v>2002</v>
      </c>
      <c r="V24" t="s">
        <v>151</v>
      </c>
      <c r="W24" t="s">
        <v>93</v>
      </c>
      <c r="X24" t="s">
        <v>94</v>
      </c>
      <c r="Y24" t="s">
        <v>94</v>
      </c>
      <c r="Z24" t="s">
        <v>95</v>
      </c>
      <c r="AA24">
        <v>281</v>
      </c>
      <c r="AB24" t="s">
        <v>96</v>
      </c>
      <c r="AC24" t="s">
        <v>97</v>
      </c>
      <c r="AD24" t="s">
        <v>98</v>
      </c>
      <c r="AE24" t="s">
        <v>96</v>
      </c>
      <c r="AF24" t="s">
        <v>97</v>
      </c>
      <c r="AG24" t="s">
        <v>99</v>
      </c>
      <c r="AH24" t="s">
        <v>101</v>
      </c>
      <c r="AI24">
        <v>0</v>
      </c>
      <c r="AJ24" t="s">
        <v>101</v>
      </c>
      <c r="AK24">
        <v>0</v>
      </c>
      <c r="AL24">
        <v>1777</v>
      </c>
      <c r="AM24">
        <v>1777</v>
      </c>
      <c r="AN24" t="s">
        <v>102</v>
      </c>
      <c r="AO24" t="s">
        <v>103</v>
      </c>
      <c r="AP24" t="s">
        <v>104</v>
      </c>
      <c r="AQ24" t="s">
        <v>105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96</v>
      </c>
      <c r="BC24">
        <v>7</v>
      </c>
      <c r="BD24" t="s">
        <v>106</v>
      </c>
      <c r="BE24">
        <v>1</v>
      </c>
      <c r="BF24" t="s">
        <v>96</v>
      </c>
      <c r="BG24" t="s">
        <v>107</v>
      </c>
      <c r="BH24">
        <v>2002</v>
      </c>
      <c r="BI24" t="s">
        <v>108</v>
      </c>
      <c r="BJ24">
        <v>2</v>
      </c>
      <c r="BK24">
        <v>534</v>
      </c>
      <c r="BL24" t="s">
        <v>97</v>
      </c>
      <c r="BM24" t="s">
        <v>97</v>
      </c>
      <c r="BN24" t="s">
        <v>104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9</v>
      </c>
      <c r="BZ24">
        <v>2008</v>
      </c>
      <c r="CA24" t="s">
        <v>109</v>
      </c>
      <c r="CB24" t="s">
        <v>110</v>
      </c>
      <c r="CC24">
        <v>230000</v>
      </c>
    </row>
    <row r="25" spans="1:81" x14ac:dyDescent="0.3">
      <c r="A25">
        <v>24</v>
      </c>
      <c r="B25">
        <v>120</v>
      </c>
      <c r="C25" t="s">
        <v>141</v>
      </c>
      <c r="D25">
        <v>44</v>
      </c>
      <c r="E25">
        <v>4224</v>
      </c>
      <c r="F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177</v>
      </c>
      <c r="N25" t="s">
        <v>89</v>
      </c>
      <c r="O25" t="s">
        <v>89</v>
      </c>
      <c r="P25" t="s">
        <v>178</v>
      </c>
      <c r="Q25" t="s">
        <v>114</v>
      </c>
      <c r="R25">
        <v>5</v>
      </c>
      <c r="S25">
        <v>7</v>
      </c>
      <c r="T25">
        <v>1976</v>
      </c>
      <c r="U25">
        <v>1976</v>
      </c>
      <c r="V25" t="s">
        <v>92</v>
      </c>
      <c r="W25" t="s">
        <v>93</v>
      </c>
      <c r="X25" t="s">
        <v>179</v>
      </c>
      <c r="Y25" t="s">
        <v>180</v>
      </c>
      <c r="Z25" t="s">
        <v>116</v>
      </c>
      <c r="AA25">
        <v>0</v>
      </c>
      <c r="AB25" t="s">
        <v>97</v>
      </c>
      <c r="AC25" t="s">
        <v>97</v>
      </c>
      <c r="AD25" t="s">
        <v>98</v>
      </c>
      <c r="AE25" t="s">
        <v>96</v>
      </c>
      <c r="AF25" t="s">
        <v>97</v>
      </c>
      <c r="AG25" t="s">
        <v>99</v>
      </c>
      <c r="AH25" t="s">
        <v>100</v>
      </c>
      <c r="AI25">
        <v>840</v>
      </c>
      <c r="AJ25" t="s">
        <v>101</v>
      </c>
      <c r="AK25">
        <v>0</v>
      </c>
      <c r="AL25">
        <v>200</v>
      </c>
      <c r="AM25">
        <v>1040</v>
      </c>
      <c r="AN25" t="s">
        <v>102</v>
      </c>
      <c r="AO25" t="s">
        <v>97</v>
      </c>
      <c r="AP25" t="s">
        <v>104</v>
      </c>
      <c r="AQ25" t="s">
        <v>105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97</v>
      </c>
      <c r="BC25">
        <v>6</v>
      </c>
      <c r="BD25" t="s">
        <v>106</v>
      </c>
      <c r="BE25">
        <v>1</v>
      </c>
      <c r="BF25" t="s">
        <v>97</v>
      </c>
      <c r="BG25" t="s">
        <v>107</v>
      </c>
      <c r="BH25">
        <v>1976</v>
      </c>
      <c r="BI25" t="s">
        <v>101</v>
      </c>
      <c r="BJ25">
        <v>2</v>
      </c>
      <c r="BK25">
        <v>572</v>
      </c>
      <c r="BL25" t="s">
        <v>97</v>
      </c>
      <c r="BM25" t="s">
        <v>97</v>
      </c>
      <c r="BN25" t="s">
        <v>104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6</v>
      </c>
      <c r="BZ25">
        <v>2007</v>
      </c>
      <c r="CA25" t="s">
        <v>109</v>
      </c>
      <c r="CB25" t="s">
        <v>110</v>
      </c>
      <c r="CC25">
        <v>129900</v>
      </c>
    </row>
    <row r="26" spans="1:81" x14ac:dyDescent="0.3">
      <c r="A26">
        <v>25</v>
      </c>
      <c r="B26">
        <v>20</v>
      </c>
      <c r="C26" t="s">
        <v>81</v>
      </c>
      <c r="E26">
        <v>8246</v>
      </c>
      <c r="F26" t="s">
        <v>82</v>
      </c>
      <c r="H26" t="s">
        <v>119</v>
      </c>
      <c r="I26" t="s">
        <v>84</v>
      </c>
      <c r="J26" t="s">
        <v>85</v>
      </c>
      <c r="K26" t="s">
        <v>86</v>
      </c>
      <c r="L26" t="s">
        <v>87</v>
      </c>
      <c r="M26" t="s">
        <v>150</v>
      </c>
      <c r="N26" t="s">
        <v>89</v>
      </c>
      <c r="O26" t="s">
        <v>89</v>
      </c>
      <c r="P26" t="s">
        <v>90</v>
      </c>
      <c r="Q26" t="s">
        <v>114</v>
      </c>
      <c r="R26">
        <v>5</v>
      </c>
      <c r="S26">
        <v>8</v>
      </c>
      <c r="T26">
        <v>1968</v>
      </c>
      <c r="U26">
        <v>2001</v>
      </c>
      <c r="V26" t="s">
        <v>92</v>
      </c>
      <c r="W26" t="s">
        <v>93</v>
      </c>
      <c r="X26" t="s">
        <v>160</v>
      </c>
      <c r="Y26" t="s">
        <v>160</v>
      </c>
      <c r="Z26" t="s">
        <v>116</v>
      </c>
      <c r="AA26">
        <v>0</v>
      </c>
      <c r="AB26" t="s">
        <v>97</v>
      </c>
      <c r="AC26" t="s">
        <v>96</v>
      </c>
      <c r="AD26" t="s">
        <v>117</v>
      </c>
      <c r="AE26" t="s">
        <v>97</v>
      </c>
      <c r="AF26" t="s">
        <v>97</v>
      </c>
      <c r="AG26" t="s">
        <v>120</v>
      </c>
      <c r="AH26" t="s">
        <v>152</v>
      </c>
      <c r="AI26">
        <v>188</v>
      </c>
      <c r="AJ26" t="s">
        <v>118</v>
      </c>
      <c r="AK26">
        <v>668</v>
      </c>
      <c r="AL26">
        <v>204</v>
      </c>
      <c r="AM26">
        <v>1060</v>
      </c>
      <c r="AN26" t="s">
        <v>102</v>
      </c>
      <c r="AO26" t="s">
        <v>103</v>
      </c>
      <c r="AP26" t="s">
        <v>104</v>
      </c>
      <c r="AQ26" t="s">
        <v>105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96</v>
      </c>
      <c r="BC26">
        <v>6</v>
      </c>
      <c r="BD26" t="s">
        <v>106</v>
      </c>
      <c r="BE26">
        <v>1</v>
      </c>
      <c r="BF26" t="s">
        <v>97</v>
      </c>
      <c r="BG26" t="s">
        <v>107</v>
      </c>
      <c r="BH26">
        <v>1968</v>
      </c>
      <c r="BI26" t="s">
        <v>101</v>
      </c>
      <c r="BJ26">
        <v>1</v>
      </c>
      <c r="BK26">
        <v>270</v>
      </c>
      <c r="BL26" t="s">
        <v>97</v>
      </c>
      <c r="BM26" t="s">
        <v>97</v>
      </c>
      <c r="BN26" t="s">
        <v>104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V26" t="s">
        <v>133</v>
      </c>
      <c r="BX26">
        <v>0</v>
      </c>
      <c r="BY26">
        <v>5</v>
      </c>
      <c r="BZ26">
        <v>2010</v>
      </c>
      <c r="CA26" t="s">
        <v>109</v>
      </c>
      <c r="CB26" t="s">
        <v>110</v>
      </c>
      <c r="CC26">
        <v>154000</v>
      </c>
    </row>
    <row r="27" spans="1:81" x14ac:dyDescent="0.3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H27" t="s">
        <v>83</v>
      </c>
      <c r="I27" t="s">
        <v>84</v>
      </c>
      <c r="J27" t="s">
        <v>85</v>
      </c>
      <c r="K27" t="s">
        <v>121</v>
      </c>
      <c r="L27" t="s">
        <v>87</v>
      </c>
      <c r="M27" t="s">
        <v>153</v>
      </c>
      <c r="N27" t="s">
        <v>89</v>
      </c>
      <c r="O27" t="s">
        <v>89</v>
      </c>
      <c r="P27" t="s">
        <v>90</v>
      </c>
      <c r="Q27" t="s">
        <v>114</v>
      </c>
      <c r="R27">
        <v>8</v>
      </c>
      <c r="S27">
        <v>5</v>
      </c>
      <c r="T27">
        <v>2007</v>
      </c>
      <c r="U27">
        <v>2007</v>
      </c>
      <c r="V27" t="s">
        <v>92</v>
      </c>
      <c r="W27" t="s">
        <v>93</v>
      </c>
      <c r="X27" t="s">
        <v>94</v>
      </c>
      <c r="Y27" t="s">
        <v>94</v>
      </c>
      <c r="Z27" t="s">
        <v>136</v>
      </c>
      <c r="AA27">
        <v>640</v>
      </c>
      <c r="AB27" t="s">
        <v>96</v>
      </c>
      <c r="AC27" t="s">
        <v>97</v>
      </c>
      <c r="AD27" t="s">
        <v>98</v>
      </c>
      <c r="AE27" t="s">
        <v>96</v>
      </c>
      <c r="AF27" t="s">
        <v>97</v>
      </c>
      <c r="AG27" t="s">
        <v>99</v>
      </c>
      <c r="AH27" t="s">
        <v>101</v>
      </c>
      <c r="AI27">
        <v>0</v>
      </c>
      <c r="AJ27" t="s">
        <v>101</v>
      </c>
      <c r="AK27">
        <v>0</v>
      </c>
      <c r="AL27">
        <v>1566</v>
      </c>
      <c r="AM27">
        <v>1566</v>
      </c>
      <c r="AN27" t="s">
        <v>102</v>
      </c>
      <c r="AO27" t="s">
        <v>103</v>
      </c>
      <c r="AP27" t="s">
        <v>104</v>
      </c>
      <c r="AQ27" t="s">
        <v>105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96</v>
      </c>
      <c r="BC27">
        <v>7</v>
      </c>
      <c r="BD27" t="s">
        <v>106</v>
      </c>
      <c r="BE27">
        <v>1</v>
      </c>
      <c r="BF27" t="s">
        <v>96</v>
      </c>
      <c r="BG27" t="s">
        <v>107</v>
      </c>
      <c r="BH27">
        <v>2007</v>
      </c>
      <c r="BI27" t="s">
        <v>108</v>
      </c>
      <c r="BJ27">
        <v>3</v>
      </c>
      <c r="BK27">
        <v>890</v>
      </c>
      <c r="BL27" t="s">
        <v>97</v>
      </c>
      <c r="BM27" t="s">
        <v>97</v>
      </c>
      <c r="BN27" t="s">
        <v>104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7</v>
      </c>
      <c r="BZ27">
        <v>2009</v>
      </c>
      <c r="CA27" t="s">
        <v>109</v>
      </c>
      <c r="CB27" t="s">
        <v>110</v>
      </c>
      <c r="CC27">
        <v>256300</v>
      </c>
    </row>
    <row r="28" spans="1:81" x14ac:dyDescent="0.3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H28" t="s">
        <v>83</v>
      </c>
      <c r="I28" t="s">
        <v>84</v>
      </c>
      <c r="J28" t="s">
        <v>85</v>
      </c>
      <c r="K28" t="s">
        <v>121</v>
      </c>
      <c r="L28" t="s">
        <v>87</v>
      </c>
      <c r="M28" t="s">
        <v>270</v>
      </c>
      <c r="N28" t="s">
        <v>89</v>
      </c>
      <c r="O28" t="s">
        <v>89</v>
      </c>
      <c r="P28" t="s">
        <v>90</v>
      </c>
      <c r="Q28" t="s">
        <v>114</v>
      </c>
      <c r="R28">
        <v>5</v>
      </c>
      <c r="S28">
        <v>7</v>
      </c>
      <c r="T28">
        <v>1951</v>
      </c>
      <c r="U28">
        <v>2000</v>
      </c>
      <c r="V28" t="s">
        <v>92</v>
      </c>
      <c r="W28" t="s">
        <v>93</v>
      </c>
      <c r="X28" t="s">
        <v>123</v>
      </c>
      <c r="Y28" t="s">
        <v>123</v>
      </c>
      <c r="Z28" t="s">
        <v>116</v>
      </c>
      <c r="AA28">
        <v>0</v>
      </c>
      <c r="AB28" t="s">
        <v>97</v>
      </c>
      <c r="AC28" t="s">
        <v>97</v>
      </c>
      <c r="AD28" t="s">
        <v>117</v>
      </c>
      <c r="AE28" t="s">
        <v>97</v>
      </c>
      <c r="AF28" t="s">
        <v>97</v>
      </c>
      <c r="AG28" t="s">
        <v>120</v>
      </c>
      <c r="AH28" t="s">
        <v>140</v>
      </c>
      <c r="AI28">
        <v>234</v>
      </c>
      <c r="AJ28" t="s">
        <v>152</v>
      </c>
      <c r="AK28">
        <v>486</v>
      </c>
      <c r="AL28">
        <v>180</v>
      </c>
      <c r="AM28">
        <v>900</v>
      </c>
      <c r="AN28" t="s">
        <v>102</v>
      </c>
      <c r="AO28" t="s">
        <v>97</v>
      </c>
      <c r="AP28" t="s">
        <v>104</v>
      </c>
      <c r="AQ28" t="s">
        <v>105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96</v>
      </c>
      <c r="BC28">
        <v>5</v>
      </c>
      <c r="BD28" t="s">
        <v>106</v>
      </c>
      <c r="BE28">
        <v>0</v>
      </c>
      <c r="BG28" t="s">
        <v>126</v>
      </c>
      <c r="BH28">
        <v>2005</v>
      </c>
      <c r="BI28" t="s">
        <v>101</v>
      </c>
      <c r="BJ28">
        <v>2</v>
      </c>
      <c r="BK28">
        <v>576</v>
      </c>
      <c r="BL28" t="s">
        <v>97</v>
      </c>
      <c r="BM28" t="s">
        <v>97</v>
      </c>
      <c r="BN28" t="s">
        <v>104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X28">
        <v>0</v>
      </c>
      <c r="BY28">
        <v>5</v>
      </c>
      <c r="BZ28">
        <v>2010</v>
      </c>
      <c r="CA28" t="s">
        <v>109</v>
      </c>
      <c r="CB28" t="s">
        <v>110</v>
      </c>
      <c r="CC28">
        <v>134800</v>
      </c>
    </row>
    <row r="29" spans="1:81" x14ac:dyDescent="0.3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H29" t="s">
        <v>83</v>
      </c>
      <c r="I29" t="s">
        <v>84</v>
      </c>
      <c r="J29" t="s">
        <v>85</v>
      </c>
      <c r="K29" t="s">
        <v>86</v>
      </c>
      <c r="L29" t="s">
        <v>87</v>
      </c>
      <c r="M29" t="s">
        <v>153</v>
      </c>
      <c r="N29" t="s">
        <v>89</v>
      </c>
      <c r="O29" t="s">
        <v>89</v>
      </c>
      <c r="P29" t="s">
        <v>90</v>
      </c>
      <c r="Q29" t="s">
        <v>114</v>
      </c>
      <c r="R29">
        <v>8</v>
      </c>
      <c r="S29">
        <v>5</v>
      </c>
      <c r="T29">
        <v>2007</v>
      </c>
      <c r="U29">
        <v>2008</v>
      </c>
      <c r="V29" t="s">
        <v>92</v>
      </c>
      <c r="W29" t="s">
        <v>93</v>
      </c>
      <c r="X29" t="s">
        <v>94</v>
      </c>
      <c r="Y29" t="s">
        <v>94</v>
      </c>
      <c r="Z29" t="s">
        <v>136</v>
      </c>
      <c r="AA29">
        <v>200</v>
      </c>
      <c r="AB29" t="s">
        <v>96</v>
      </c>
      <c r="AC29" t="s">
        <v>97</v>
      </c>
      <c r="AD29" t="s">
        <v>98</v>
      </c>
      <c r="AE29" t="s">
        <v>103</v>
      </c>
      <c r="AF29" t="s">
        <v>97</v>
      </c>
      <c r="AG29" t="s">
        <v>99</v>
      </c>
      <c r="AH29" t="s">
        <v>100</v>
      </c>
      <c r="AI29">
        <v>1218</v>
      </c>
      <c r="AJ29" t="s">
        <v>101</v>
      </c>
      <c r="AK29">
        <v>0</v>
      </c>
      <c r="AL29">
        <v>486</v>
      </c>
      <c r="AM29">
        <v>1704</v>
      </c>
      <c r="AN29" t="s">
        <v>102</v>
      </c>
      <c r="AO29" t="s">
        <v>103</v>
      </c>
      <c r="AP29" t="s">
        <v>104</v>
      </c>
      <c r="AQ29" t="s">
        <v>105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96</v>
      </c>
      <c r="BC29">
        <v>7</v>
      </c>
      <c r="BD29" t="s">
        <v>106</v>
      </c>
      <c r="BE29">
        <v>1</v>
      </c>
      <c r="BF29" t="s">
        <v>96</v>
      </c>
      <c r="BG29" t="s">
        <v>107</v>
      </c>
      <c r="BH29">
        <v>2008</v>
      </c>
      <c r="BI29" t="s">
        <v>108</v>
      </c>
      <c r="BJ29">
        <v>3</v>
      </c>
      <c r="BK29">
        <v>772</v>
      </c>
      <c r="BL29" t="s">
        <v>97</v>
      </c>
      <c r="BM29" t="s">
        <v>97</v>
      </c>
      <c r="BN29" t="s">
        <v>104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5</v>
      </c>
      <c r="BZ29">
        <v>2010</v>
      </c>
      <c r="CA29" t="s">
        <v>109</v>
      </c>
      <c r="CB29" t="s">
        <v>110</v>
      </c>
      <c r="CC29">
        <v>306000</v>
      </c>
    </row>
    <row r="30" spans="1:81" x14ac:dyDescent="0.3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H30" t="s">
        <v>119</v>
      </c>
      <c r="I30" t="s">
        <v>84</v>
      </c>
      <c r="J30" t="s">
        <v>85</v>
      </c>
      <c r="K30" t="s">
        <v>165</v>
      </c>
      <c r="L30" t="s">
        <v>87</v>
      </c>
      <c r="M30" t="s">
        <v>270</v>
      </c>
      <c r="N30" t="s">
        <v>89</v>
      </c>
      <c r="O30" t="s">
        <v>89</v>
      </c>
      <c r="P30" t="s">
        <v>90</v>
      </c>
      <c r="Q30" t="s">
        <v>114</v>
      </c>
      <c r="R30">
        <v>5</v>
      </c>
      <c r="S30">
        <v>6</v>
      </c>
      <c r="T30">
        <v>1957</v>
      </c>
      <c r="U30">
        <v>1997</v>
      </c>
      <c r="V30" t="s">
        <v>92</v>
      </c>
      <c r="W30" t="s">
        <v>93</v>
      </c>
      <c r="X30" t="s">
        <v>115</v>
      </c>
      <c r="Y30" t="s">
        <v>115</v>
      </c>
      <c r="Z30" t="s">
        <v>116</v>
      </c>
      <c r="AA30">
        <v>0</v>
      </c>
      <c r="AB30" t="s">
        <v>97</v>
      </c>
      <c r="AC30" t="s">
        <v>97</v>
      </c>
      <c r="AD30" t="s">
        <v>117</v>
      </c>
      <c r="AE30" t="s">
        <v>97</v>
      </c>
      <c r="AF30" t="s">
        <v>97</v>
      </c>
      <c r="AG30" t="s">
        <v>96</v>
      </c>
      <c r="AH30" t="s">
        <v>140</v>
      </c>
      <c r="AI30">
        <v>1277</v>
      </c>
      <c r="AJ30" t="s">
        <v>101</v>
      </c>
      <c r="AK30">
        <v>0</v>
      </c>
      <c r="AL30">
        <v>207</v>
      </c>
      <c r="AM30">
        <v>1484</v>
      </c>
      <c r="AN30" t="s">
        <v>102</v>
      </c>
      <c r="AO30" t="s">
        <v>97</v>
      </c>
      <c r="AP30" t="s">
        <v>104</v>
      </c>
      <c r="AQ30" t="s">
        <v>105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97</v>
      </c>
      <c r="BC30">
        <v>6</v>
      </c>
      <c r="BD30" t="s">
        <v>106</v>
      </c>
      <c r="BE30">
        <v>2</v>
      </c>
      <c r="BF30" t="s">
        <v>96</v>
      </c>
      <c r="BG30" t="s">
        <v>107</v>
      </c>
      <c r="BH30">
        <v>1957</v>
      </c>
      <c r="BI30" t="s">
        <v>108</v>
      </c>
      <c r="BJ30">
        <v>1</v>
      </c>
      <c r="BK30">
        <v>319</v>
      </c>
      <c r="BL30" t="s">
        <v>97</v>
      </c>
      <c r="BM30" t="s">
        <v>97</v>
      </c>
      <c r="BN30" t="s">
        <v>104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12</v>
      </c>
      <c r="BZ30">
        <v>2006</v>
      </c>
      <c r="CA30" t="s">
        <v>109</v>
      </c>
      <c r="CB30" t="s">
        <v>110</v>
      </c>
      <c r="CC30">
        <v>207500</v>
      </c>
    </row>
    <row r="31" spans="1:81" x14ac:dyDescent="0.3">
      <c r="A31">
        <v>30</v>
      </c>
      <c r="B31">
        <v>30</v>
      </c>
      <c r="C31" t="s">
        <v>141</v>
      </c>
      <c r="D31">
        <v>60</v>
      </c>
      <c r="E31">
        <v>6324</v>
      </c>
      <c r="F31" t="s">
        <v>82</v>
      </c>
      <c r="H31" t="s">
        <v>119</v>
      </c>
      <c r="I31" t="s">
        <v>84</v>
      </c>
      <c r="J31" t="s">
        <v>85</v>
      </c>
      <c r="K31" t="s">
        <v>86</v>
      </c>
      <c r="L31" t="s">
        <v>87</v>
      </c>
      <c r="M31" t="s">
        <v>147</v>
      </c>
      <c r="N31" t="s">
        <v>113</v>
      </c>
      <c r="O31" t="s">
        <v>181</v>
      </c>
      <c r="P31" t="s">
        <v>90</v>
      </c>
      <c r="Q31" t="s">
        <v>114</v>
      </c>
      <c r="R31">
        <v>4</v>
      </c>
      <c r="S31">
        <v>6</v>
      </c>
      <c r="T31">
        <v>1927</v>
      </c>
      <c r="U31">
        <v>1950</v>
      </c>
      <c r="V31" t="s">
        <v>92</v>
      </c>
      <c r="W31" t="s">
        <v>93</v>
      </c>
      <c r="X31" t="s">
        <v>115</v>
      </c>
      <c r="Y31" t="s">
        <v>115</v>
      </c>
      <c r="Z31" t="s">
        <v>116</v>
      </c>
      <c r="AA31">
        <v>0</v>
      </c>
      <c r="AB31" t="s">
        <v>97</v>
      </c>
      <c r="AC31" t="s">
        <v>97</v>
      </c>
      <c r="AD31" t="s">
        <v>125</v>
      </c>
      <c r="AE31" t="s">
        <v>97</v>
      </c>
      <c r="AF31" t="s">
        <v>97</v>
      </c>
      <c r="AG31" t="s">
        <v>99</v>
      </c>
      <c r="AH31" t="s">
        <v>101</v>
      </c>
      <c r="AI31">
        <v>0</v>
      </c>
      <c r="AJ31" t="s">
        <v>101</v>
      </c>
      <c r="AK31">
        <v>0</v>
      </c>
      <c r="AL31">
        <v>520</v>
      </c>
      <c r="AM31">
        <v>520</v>
      </c>
      <c r="AN31" t="s">
        <v>102</v>
      </c>
      <c r="AO31" t="s">
        <v>146</v>
      </c>
      <c r="AP31" t="s">
        <v>176</v>
      </c>
      <c r="AQ31" t="s">
        <v>105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146</v>
      </c>
      <c r="BC31">
        <v>4</v>
      </c>
      <c r="BD31" t="s">
        <v>106</v>
      </c>
      <c r="BE31">
        <v>0</v>
      </c>
      <c r="BG31" t="s">
        <v>126</v>
      </c>
      <c r="BH31">
        <v>1920</v>
      </c>
      <c r="BI31" t="s">
        <v>101</v>
      </c>
      <c r="BJ31">
        <v>1</v>
      </c>
      <c r="BK31">
        <v>240</v>
      </c>
      <c r="BL31" t="s">
        <v>146</v>
      </c>
      <c r="BM31" t="s">
        <v>97</v>
      </c>
      <c r="BN31" t="s">
        <v>104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X31">
        <v>0</v>
      </c>
      <c r="BY31">
        <v>5</v>
      </c>
      <c r="BZ31">
        <v>2008</v>
      </c>
      <c r="CA31" t="s">
        <v>109</v>
      </c>
      <c r="CB31" t="s">
        <v>110</v>
      </c>
      <c r="CC31">
        <v>68500</v>
      </c>
    </row>
    <row r="32" spans="1:81" x14ac:dyDescent="0.3">
      <c r="A32">
        <v>31</v>
      </c>
      <c r="B32">
        <v>70</v>
      </c>
      <c r="C32" t="s">
        <v>182</v>
      </c>
      <c r="D32">
        <v>50</v>
      </c>
      <c r="E32">
        <v>8500</v>
      </c>
      <c r="F32" t="s">
        <v>82</v>
      </c>
      <c r="G32" t="s">
        <v>82</v>
      </c>
      <c r="H32" t="s">
        <v>83</v>
      </c>
      <c r="I32" t="s">
        <v>84</v>
      </c>
      <c r="J32" t="s">
        <v>85</v>
      </c>
      <c r="K32" t="s">
        <v>86</v>
      </c>
      <c r="L32" t="s">
        <v>87</v>
      </c>
      <c r="M32" t="s">
        <v>175</v>
      </c>
      <c r="N32" t="s">
        <v>113</v>
      </c>
      <c r="O32" t="s">
        <v>89</v>
      </c>
      <c r="P32" t="s">
        <v>90</v>
      </c>
      <c r="Q32" t="s">
        <v>91</v>
      </c>
      <c r="R32">
        <v>4</v>
      </c>
      <c r="S32">
        <v>4</v>
      </c>
      <c r="T32">
        <v>1920</v>
      </c>
      <c r="U32">
        <v>1950</v>
      </c>
      <c r="V32" t="s">
        <v>183</v>
      </c>
      <c r="W32" t="s">
        <v>93</v>
      </c>
      <c r="X32" t="s">
        <v>95</v>
      </c>
      <c r="Y32" t="s">
        <v>95</v>
      </c>
      <c r="Z32" t="s">
        <v>116</v>
      </c>
      <c r="AA32">
        <v>0</v>
      </c>
      <c r="AB32" t="s">
        <v>97</v>
      </c>
      <c r="AC32" t="s">
        <v>146</v>
      </c>
      <c r="AD32" t="s">
        <v>125</v>
      </c>
      <c r="AE32" t="s">
        <v>97</v>
      </c>
      <c r="AF32" t="s">
        <v>97</v>
      </c>
      <c r="AG32" t="s">
        <v>99</v>
      </c>
      <c r="AH32" t="s">
        <v>101</v>
      </c>
      <c r="AI32">
        <v>0</v>
      </c>
      <c r="AJ32" t="s">
        <v>101</v>
      </c>
      <c r="AK32">
        <v>0</v>
      </c>
      <c r="AL32">
        <v>649</v>
      </c>
      <c r="AM32">
        <v>649</v>
      </c>
      <c r="AN32" t="s">
        <v>102</v>
      </c>
      <c r="AO32" t="s">
        <v>97</v>
      </c>
      <c r="AP32" t="s">
        <v>176</v>
      </c>
      <c r="AQ32" t="s">
        <v>105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97</v>
      </c>
      <c r="BC32">
        <v>6</v>
      </c>
      <c r="BD32" t="s">
        <v>106</v>
      </c>
      <c r="BE32">
        <v>0</v>
      </c>
      <c r="BG32" t="s">
        <v>126</v>
      </c>
      <c r="BH32">
        <v>1920</v>
      </c>
      <c r="BI32" t="s">
        <v>101</v>
      </c>
      <c r="BJ32">
        <v>1</v>
      </c>
      <c r="BK32">
        <v>250</v>
      </c>
      <c r="BL32" t="s">
        <v>97</v>
      </c>
      <c r="BM32" t="s">
        <v>146</v>
      </c>
      <c r="BN32" t="s">
        <v>176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V32" t="s">
        <v>133</v>
      </c>
      <c r="BX32">
        <v>0</v>
      </c>
      <c r="BY32">
        <v>7</v>
      </c>
      <c r="BZ32">
        <v>2008</v>
      </c>
      <c r="CA32" t="s">
        <v>109</v>
      </c>
      <c r="CB32" t="s">
        <v>110</v>
      </c>
      <c r="CC32">
        <v>40000</v>
      </c>
    </row>
    <row r="33" spans="1:81" x14ac:dyDescent="0.3">
      <c r="A33">
        <v>32</v>
      </c>
      <c r="B33">
        <v>20</v>
      </c>
      <c r="C33" t="s">
        <v>81</v>
      </c>
      <c r="E33">
        <v>8544</v>
      </c>
      <c r="F33" t="s">
        <v>82</v>
      </c>
      <c r="H33" t="s">
        <v>119</v>
      </c>
      <c r="I33" t="s">
        <v>84</v>
      </c>
      <c r="J33" t="s">
        <v>85</v>
      </c>
      <c r="K33" t="s">
        <v>165</v>
      </c>
      <c r="L33" t="s">
        <v>87</v>
      </c>
      <c r="M33" t="s">
        <v>150</v>
      </c>
      <c r="N33" t="s">
        <v>89</v>
      </c>
      <c r="O33" t="s">
        <v>89</v>
      </c>
      <c r="P33" t="s">
        <v>90</v>
      </c>
      <c r="Q33" t="s">
        <v>114</v>
      </c>
      <c r="R33">
        <v>5</v>
      </c>
      <c r="S33">
        <v>6</v>
      </c>
      <c r="T33">
        <v>1966</v>
      </c>
      <c r="U33">
        <v>2006</v>
      </c>
      <c r="V33" t="s">
        <v>92</v>
      </c>
      <c r="W33" t="s">
        <v>93</v>
      </c>
      <c r="X33" t="s">
        <v>139</v>
      </c>
      <c r="Y33" t="s">
        <v>139</v>
      </c>
      <c r="Z33" t="s">
        <v>116</v>
      </c>
      <c r="AA33">
        <v>0</v>
      </c>
      <c r="AB33" t="s">
        <v>97</v>
      </c>
      <c r="AC33" t="s">
        <v>97</v>
      </c>
      <c r="AD33" t="s">
        <v>117</v>
      </c>
      <c r="AE33" t="s">
        <v>97</v>
      </c>
      <c r="AF33" t="s">
        <v>97</v>
      </c>
      <c r="AG33" t="s">
        <v>99</v>
      </c>
      <c r="AH33" t="s">
        <v>101</v>
      </c>
      <c r="AI33">
        <v>0</v>
      </c>
      <c r="AJ33" t="s">
        <v>101</v>
      </c>
      <c r="AK33">
        <v>0</v>
      </c>
      <c r="AL33">
        <v>1228</v>
      </c>
      <c r="AM33">
        <v>1228</v>
      </c>
      <c r="AN33" t="s">
        <v>102</v>
      </c>
      <c r="AO33" t="s">
        <v>96</v>
      </c>
      <c r="AP33" t="s">
        <v>104</v>
      </c>
      <c r="AQ33" t="s">
        <v>105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96</v>
      </c>
      <c r="BC33">
        <v>6</v>
      </c>
      <c r="BD33" t="s">
        <v>106</v>
      </c>
      <c r="BE33">
        <v>0</v>
      </c>
      <c r="BG33" t="s">
        <v>107</v>
      </c>
      <c r="BH33">
        <v>1966</v>
      </c>
      <c r="BI33" t="s">
        <v>101</v>
      </c>
      <c r="BJ33">
        <v>1</v>
      </c>
      <c r="BK33">
        <v>271</v>
      </c>
      <c r="BL33" t="s">
        <v>97</v>
      </c>
      <c r="BM33" t="s">
        <v>97</v>
      </c>
      <c r="BN33" t="s">
        <v>104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V33" t="s">
        <v>133</v>
      </c>
      <c r="BX33">
        <v>0</v>
      </c>
      <c r="BY33">
        <v>6</v>
      </c>
      <c r="BZ33">
        <v>2008</v>
      </c>
      <c r="CA33" t="s">
        <v>109</v>
      </c>
      <c r="CB33" t="s">
        <v>110</v>
      </c>
      <c r="CC33">
        <v>149350</v>
      </c>
    </row>
    <row r="34" spans="1:81" x14ac:dyDescent="0.3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H34" t="s">
        <v>83</v>
      </c>
      <c r="I34" t="s">
        <v>84</v>
      </c>
      <c r="J34" t="s">
        <v>85</v>
      </c>
      <c r="K34" t="s">
        <v>121</v>
      </c>
      <c r="L34" t="s">
        <v>87</v>
      </c>
      <c r="M34" t="s">
        <v>88</v>
      </c>
      <c r="N34" t="s">
        <v>89</v>
      </c>
      <c r="O34" t="s">
        <v>89</v>
      </c>
      <c r="P34" t="s">
        <v>90</v>
      </c>
      <c r="Q34" t="s">
        <v>114</v>
      </c>
      <c r="R34">
        <v>8</v>
      </c>
      <c r="S34">
        <v>5</v>
      </c>
      <c r="T34">
        <v>2007</v>
      </c>
      <c r="U34">
        <v>2007</v>
      </c>
      <c r="V34" t="s">
        <v>92</v>
      </c>
      <c r="W34" t="s">
        <v>93</v>
      </c>
      <c r="X34" t="s">
        <v>94</v>
      </c>
      <c r="Y34" t="s">
        <v>94</v>
      </c>
      <c r="Z34" t="s">
        <v>116</v>
      </c>
      <c r="AA34">
        <v>0</v>
      </c>
      <c r="AB34" t="s">
        <v>96</v>
      </c>
      <c r="AC34" t="s">
        <v>97</v>
      </c>
      <c r="AD34" t="s">
        <v>98</v>
      </c>
      <c r="AE34" t="s">
        <v>103</v>
      </c>
      <c r="AF34" t="s">
        <v>97</v>
      </c>
      <c r="AG34" t="s">
        <v>129</v>
      </c>
      <c r="AH34" t="s">
        <v>101</v>
      </c>
      <c r="AI34">
        <v>0</v>
      </c>
      <c r="AJ34" t="s">
        <v>101</v>
      </c>
      <c r="AK34">
        <v>0</v>
      </c>
      <c r="AL34">
        <v>1234</v>
      </c>
      <c r="AM34">
        <v>1234</v>
      </c>
      <c r="AN34" t="s">
        <v>102</v>
      </c>
      <c r="AO34" t="s">
        <v>103</v>
      </c>
      <c r="AP34" t="s">
        <v>104</v>
      </c>
      <c r="AQ34" t="s">
        <v>105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96</v>
      </c>
      <c r="BC34">
        <v>7</v>
      </c>
      <c r="BD34" t="s">
        <v>106</v>
      </c>
      <c r="BE34">
        <v>0</v>
      </c>
      <c r="BG34" t="s">
        <v>107</v>
      </c>
      <c r="BH34">
        <v>2007</v>
      </c>
      <c r="BI34" t="s">
        <v>108</v>
      </c>
      <c r="BJ34">
        <v>2</v>
      </c>
      <c r="BK34">
        <v>484</v>
      </c>
      <c r="BL34" t="s">
        <v>97</v>
      </c>
      <c r="BM34" t="s">
        <v>97</v>
      </c>
      <c r="BN34" t="s">
        <v>104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X34">
        <v>0</v>
      </c>
      <c r="BY34">
        <v>1</v>
      </c>
      <c r="BZ34">
        <v>2008</v>
      </c>
      <c r="CA34" t="s">
        <v>109</v>
      </c>
      <c r="CB34" t="s">
        <v>110</v>
      </c>
      <c r="CC34">
        <v>179900</v>
      </c>
    </row>
    <row r="35" spans="1:81" x14ac:dyDescent="0.3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H35" t="s">
        <v>119</v>
      </c>
      <c r="I35" t="s">
        <v>84</v>
      </c>
      <c r="J35" t="s">
        <v>85</v>
      </c>
      <c r="K35" t="s">
        <v>86</v>
      </c>
      <c r="L35" t="s">
        <v>87</v>
      </c>
      <c r="M35" t="s">
        <v>270</v>
      </c>
      <c r="N35" t="s">
        <v>89</v>
      </c>
      <c r="O35" t="s">
        <v>89</v>
      </c>
      <c r="P35" t="s">
        <v>90</v>
      </c>
      <c r="Q35" t="s">
        <v>114</v>
      </c>
      <c r="R35">
        <v>5</v>
      </c>
      <c r="S35">
        <v>5</v>
      </c>
      <c r="T35">
        <v>1959</v>
      </c>
      <c r="U35">
        <v>1959</v>
      </c>
      <c r="V35" t="s">
        <v>151</v>
      </c>
      <c r="W35" t="s">
        <v>93</v>
      </c>
      <c r="X35" t="s">
        <v>95</v>
      </c>
      <c r="Y35" t="s">
        <v>95</v>
      </c>
      <c r="Z35" t="s">
        <v>116</v>
      </c>
      <c r="AA35">
        <v>0</v>
      </c>
      <c r="AB35" t="s">
        <v>97</v>
      </c>
      <c r="AC35" t="s">
        <v>97</v>
      </c>
      <c r="AD35" t="s">
        <v>117</v>
      </c>
      <c r="AE35" t="s">
        <v>97</v>
      </c>
      <c r="AF35" t="s">
        <v>97</v>
      </c>
      <c r="AG35" t="s">
        <v>99</v>
      </c>
      <c r="AH35" t="s">
        <v>152</v>
      </c>
      <c r="AI35">
        <v>1018</v>
      </c>
      <c r="AJ35" t="s">
        <v>101</v>
      </c>
      <c r="AK35">
        <v>0</v>
      </c>
      <c r="AL35">
        <v>380</v>
      </c>
      <c r="AM35">
        <v>1398</v>
      </c>
      <c r="AN35" t="s">
        <v>102</v>
      </c>
      <c r="AO35" t="s">
        <v>96</v>
      </c>
      <c r="AP35" t="s">
        <v>104</v>
      </c>
      <c r="AQ35" t="s">
        <v>105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96</v>
      </c>
      <c r="BC35">
        <v>6</v>
      </c>
      <c r="BD35" t="s">
        <v>106</v>
      </c>
      <c r="BE35">
        <v>1</v>
      </c>
      <c r="BF35" t="s">
        <v>96</v>
      </c>
      <c r="BG35" t="s">
        <v>107</v>
      </c>
      <c r="BH35">
        <v>1959</v>
      </c>
      <c r="BI35" t="s">
        <v>108</v>
      </c>
      <c r="BJ35">
        <v>2</v>
      </c>
      <c r="BK35">
        <v>447</v>
      </c>
      <c r="BL35" t="s">
        <v>97</v>
      </c>
      <c r="BM35" t="s">
        <v>97</v>
      </c>
      <c r="BN35" t="s">
        <v>104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4</v>
      </c>
      <c r="BZ35">
        <v>2010</v>
      </c>
      <c r="CA35" t="s">
        <v>109</v>
      </c>
      <c r="CB35" t="s">
        <v>110</v>
      </c>
      <c r="CC35">
        <v>165500</v>
      </c>
    </row>
    <row r="36" spans="1:81" x14ac:dyDescent="0.3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H36" t="s">
        <v>83</v>
      </c>
      <c r="I36" t="s">
        <v>84</v>
      </c>
      <c r="J36" t="s">
        <v>85</v>
      </c>
      <c r="K36" t="s">
        <v>86</v>
      </c>
      <c r="L36" t="s">
        <v>87</v>
      </c>
      <c r="M36" t="s">
        <v>153</v>
      </c>
      <c r="N36" t="s">
        <v>89</v>
      </c>
      <c r="O36" t="s">
        <v>89</v>
      </c>
      <c r="P36" t="s">
        <v>178</v>
      </c>
      <c r="Q36" t="s">
        <v>114</v>
      </c>
      <c r="R36">
        <v>9</v>
      </c>
      <c r="S36">
        <v>5</v>
      </c>
      <c r="T36">
        <v>2005</v>
      </c>
      <c r="U36">
        <v>2005</v>
      </c>
      <c r="V36" t="s">
        <v>151</v>
      </c>
      <c r="W36" t="s">
        <v>93</v>
      </c>
      <c r="X36" t="s">
        <v>115</v>
      </c>
      <c r="Y36" t="s">
        <v>115</v>
      </c>
      <c r="Z36" t="s">
        <v>95</v>
      </c>
      <c r="AA36">
        <v>246</v>
      </c>
      <c r="AB36" t="s">
        <v>103</v>
      </c>
      <c r="AC36" t="s">
        <v>97</v>
      </c>
      <c r="AD36" t="s">
        <v>98</v>
      </c>
      <c r="AE36" t="s">
        <v>103</v>
      </c>
      <c r="AF36" t="s">
        <v>97</v>
      </c>
      <c r="AG36" t="s">
        <v>99</v>
      </c>
      <c r="AH36" t="s">
        <v>100</v>
      </c>
      <c r="AI36">
        <v>1153</v>
      </c>
      <c r="AJ36" t="s">
        <v>101</v>
      </c>
      <c r="AK36">
        <v>0</v>
      </c>
      <c r="AL36">
        <v>408</v>
      </c>
      <c r="AM36">
        <v>1561</v>
      </c>
      <c r="AN36" t="s">
        <v>102</v>
      </c>
      <c r="AO36" t="s">
        <v>103</v>
      </c>
      <c r="AP36" t="s">
        <v>104</v>
      </c>
      <c r="AQ36" t="s">
        <v>105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103</v>
      </c>
      <c r="BC36">
        <v>6</v>
      </c>
      <c r="BD36" t="s">
        <v>106</v>
      </c>
      <c r="BE36">
        <v>1</v>
      </c>
      <c r="BF36" t="s">
        <v>96</v>
      </c>
      <c r="BG36" t="s">
        <v>107</v>
      </c>
      <c r="BH36">
        <v>2005</v>
      </c>
      <c r="BI36" t="s">
        <v>156</v>
      </c>
      <c r="BJ36">
        <v>2</v>
      </c>
      <c r="BK36">
        <v>556</v>
      </c>
      <c r="BL36" t="s">
        <v>97</v>
      </c>
      <c r="BM36" t="s">
        <v>97</v>
      </c>
      <c r="BN36" t="s">
        <v>104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8</v>
      </c>
      <c r="BZ36">
        <v>2007</v>
      </c>
      <c r="CA36" t="s">
        <v>109</v>
      </c>
      <c r="CB36" t="s">
        <v>110</v>
      </c>
      <c r="CC36">
        <v>277500</v>
      </c>
    </row>
    <row r="37" spans="1:81" x14ac:dyDescent="0.3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H37" t="s">
        <v>83</v>
      </c>
      <c r="I37" t="s">
        <v>84</v>
      </c>
      <c r="J37" t="s">
        <v>85</v>
      </c>
      <c r="K37" t="s">
        <v>86</v>
      </c>
      <c r="L37" t="s">
        <v>87</v>
      </c>
      <c r="M37" t="s">
        <v>153</v>
      </c>
      <c r="N37" t="s">
        <v>89</v>
      </c>
      <c r="O37" t="s">
        <v>89</v>
      </c>
      <c r="P37" t="s">
        <v>90</v>
      </c>
      <c r="Q37" t="s">
        <v>91</v>
      </c>
      <c r="R37">
        <v>8</v>
      </c>
      <c r="S37">
        <v>5</v>
      </c>
      <c r="T37">
        <v>2004</v>
      </c>
      <c r="U37">
        <v>2005</v>
      </c>
      <c r="V37" t="s">
        <v>92</v>
      </c>
      <c r="W37" t="s">
        <v>93</v>
      </c>
      <c r="X37" t="s">
        <v>94</v>
      </c>
      <c r="Y37" t="s">
        <v>94</v>
      </c>
      <c r="Z37" t="s">
        <v>136</v>
      </c>
      <c r="AA37">
        <v>132</v>
      </c>
      <c r="AB37" t="s">
        <v>96</v>
      </c>
      <c r="AC37" t="s">
        <v>97</v>
      </c>
      <c r="AD37" t="s">
        <v>98</v>
      </c>
      <c r="AE37" t="s">
        <v>103</v>
      </c>
      <c r="AF37" t="s">
        <v>97</v>
      </c>
      <c r="AG37" t="s">
        <v>129</v>
      </c>
      <c r="AH37" t="s">
        <v>101</v>
      </c>
      <c r="AI37">
        <v>0</v>
      </c>
      <c r="AJ37" t="s">
        <v>101</v>
      </c>
      <c r="AK37">
        <v>0</v>
      </c>
      <c r="AL37">
        <v>1117</v>
      </c>
      <c r="AM37">
        <v>1117</v>
      </c>
      <c r="AN37" t="s">
        <v>102</v>
      </c>
      <c r="AO37" t="s">
        <v>103</v>
      </c>
      <c r="AP37" t="s">
        <v>104</v>
      </c>
      <c r="AQ37" t="s">
        <v>105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96</v>
      </c>
      <c r="BC37">
        <v>9</v>
      </c>
      <c r="BD37" t="s">
        <v>106</v>
      </c>
      <c r="BE37">
        <v>1</v>
      </c>
      <c r="BF37" t="s">
        <v>96</v>
      </c>
      <c r="BG37" t="s">
        <v>155</v>
      </c>
      <c r="BH37">
        <v>2004</v>
      </c>
      <c r="BI37" t="s">
        <v>156</v>
      </c>
      <c r="BJ37">
        <v>3</v>
      </c>
      <c r="BK37">
        <v>691</v>
      </c>
      <c r="BL37" t="s">
        <v>97</v>
      </c>
      <c r="BM37" t="s">
        <v>97</v>
      </c>
      <c r="BN37" t="s">
        <v>104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9</v>
      </c>
      <c r="BZ37">
        <v>2006</v>
      </c>
      <c r="CA37" t="s">
        <v>109</v>
      </c>
      <c r="CB37" t="s">
        <v>110</v>
      </c>
      <c r="CC37">
        <v>309000</v>
      </c>
    </row>
    <row r="38" spans="1:81" x14ac:dyDescent="0.3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H38" t="s">
        <v>83</v>
      </c>
      <c r="I38" t="s">
        <v>84</v>
      </c>
      <c r="J38" t="s">
        <v>85</v>
      </c>
      <c r="K38" t="s">
        <v>121</v>
      </c>
      <c r="L38" t="s">
        <v>87</v>
      </c>
      <c r="M38" t="s">
        <v>88</v>
      </c>
      <c r="N38" t="s">
        <v>89</v>
      </c>
      <c r="O38" t="s">
        <v>89</v>
      </c>
      <c r="P38" t="s">
        <v>90</v>
      </c>
      <c r="Q38" t="s">
        <v>114</v>
      </c>
      <c r="R38">
        <v>5</v>
      </c>
      <c r="S38">
        <v>5</v>
      </c>
      <c r="T38">
        <v>1994</v>
      </c>
      <c r="U38">
        <v>1995</v>
      </c>
      <c r="V38" t="s">
        <v>92</v>
      </c>
      <c r="W38" t="s">
        <v>93</v>
      </c>
      <c r="X38" t="s">
        <v>94</v>
      </c>
      <c r="Y38" t="s">
        <v>94</v>
      </c>
      <c r="Z38" t="s">
        <v>116</v>
      </c>
      <c r="AA38">
        <v>0</v>
      </c>
      <c r="AB38" t="s">
        <v>97</v>
      </c>
      <c r="AC38" t="s">
        <v>97</v>
      </c>
      <c r="AD38" t="s">
        <v>98</v>
      </c>
      <c r="AE38" t="s">
        <v>96</v>
      </c>
      <c r="AF38" t="s">
        <v>97</v>
      </c>
      <c r="AG38" t="s">
        <v>99</v>
      </c>
      <c r="AH38" t="s">
        <v>101</v>
      </c>
      <c r="AI38">
        <v>0</v>
      </c>
      <c r="AJ38" t="s">
        <v>101</v>
      </c>
      <c r="AK38">
        <v>0</v>
      </c>
      <c r="AL38">
        <v>1097</v>
      </c>
      <c r="AM38">
        <v>1097</v>
      </c>
      <c r="AN38" t="s">
        <v>102</v>
      </c>
      <c r="AO38" t="s">
        <v>103</v>
      </c>
      <c r="AP38" t="s">
        <v>104</v>
      </c>
      <c r="AQ38" t="s">
        <v>105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97</v>
      </c>
      <c r="BC38">
        <v>6</v>
      </c>
      <c r="BD38" t="s">
        <v>106</v>
      </c>
      <c r="BE38">
        <v>0</v>
      </c>
      <c r="BG38" t="s">
        <v>107</v>
      </c>
      <c r="BH38">
        <v>1995</v>
      </c>
      <c r="BI38" t="s">
        <v>101</v>
      </c>
      <c r="BJ38">
        <v>2</v>
      </c>
      <c r="BK38">
        <v>672</v>
      </c>
      <c r="BL38" t="s">
        <v>97</v>
      </c>
      <c r="BM38" t="s">
        <v>97</v>
      </c>
      <c r="BN38" t="s">
        <v>104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6</v>
      </c>
      <c r="BZ38">
        <v>2009</v>
      </c>
      <c r="CA38" t="s">
        <v>109</v>
      </c>
      <c r="CB38" t="s">
        <v>110</v>
      </c>
      <c r="CC38">
        <v>145000</v>
      </c>
    </row>
    <row r="39" spans="1:81" x14ac:dyDescent="0.3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H39" t="s">
        <v>83</v>
      </c>
      <c r="I39" t="s">
        <v>84</v>
      </c>
      <c r="J39" t="s">
        <v>85</v>
      </c>
      <c r="K39" t="s">
        <v>86</v>
      </c>
      <c r="L39" t="s">
        <v>87</v>
      </c>
      <c r="M39" t="s">
        <v>270</v>
      </c>
      <c r="N39" t="s">
        <v>89</v>
      </c>
      <c r="O39" t="s">
        <v>89</v>
      </c>
      <c r="P39" t="s">
        <v>90</v>
      </c>
      <c r="Q39" t="s">
        <v>114</v>
      </c>
      <c r="R39">
        <v>5</v>
      </c>
      <c r="S39">
        <v>6</v>
      </c>
      <c r="T39">
        <v>1954</v>
      </c>
      <c r="U39">
        <v>1990</v>
      </c>
      <c r="V39" t="s">
        <v>151</v>
      </c>
      <c r="W39" t="s">
        <v>93</v>
      </c>
      <c r="X39" t="s">
        <v>123</v>
      </c>
      <c r="Y39" t="s">
        <v>123</v>
      </c>
      <c r="Z39" t="s">
        <v>95</v>
      </c>
      <c r="AA39">
        <v>650</v>
      </c>
      <c r="AB39" t="s">
        <v>97</v>
      </c>
      <c r="AC39" t="s">
        <v>97</v>
      </c>
      <c r="AD39" t="s">
        <v>117</v>
      </c>
      <c r="AE39" t="s">
        <v>97</v>
      </c>
      <c r="AF39" t="s">
        <v>97</v>
      </c>
      <c r="AG39" t="s">
        <v>99</v>
      </c>
      <c r="AH39" t="s">
        <v>152</v>
      </c>
      <c r="AI39">
        <v>1213</v>
      </c>
      <c r="AJ39" t="s">
        <v>101</v>
      </c>
      <c r="AK39">
        <v>0</v>
      </c>
      <c r="AL39">
        <v>84</v>
      </c>
      <c r="AM39">
        <v>1297</v>
      </c>
      <c r="AN39" t="s">
        <v>102</v>
      </c>
      <c r="AO39" t="s">
        <v>96</v>
      </c>
      <c r="AP39" t="s">
        <v>104</v>
      </c>
      <c r="AQ39" t="s">
        <v>105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97</v>
      </c>
      <c r="BC39">
        <v>5</v>
      </c>
      <c r="BD39" t="s">
        <v>106</v>
      </c>
      <c r="BE39">
        <v>1</v>
      </c>
      <c r="BF39" t="s">
        <v>97</v>
      </c>
      <c r="BG39" t="s">
        <v>107</v>
      </c>
      <c r="BH39">
        <v>1954</v>
      </c>
      <c r="BI39" t="s">
        <v>156</v>
      </c>
      <c r="BJ39">
        <v>2</v>
      </c>
      <c r="BK39">
        <v>498</v>
      </c>
      <c r="BL39" t="s">
        <v>97</v>
      </c>
      <c r="BM39" t="s">
        <v>97</v>
      </c>
      <c r="BN39" t="s">
        <v>104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10</v>
      </c>
      <c r="BZ39">
        <v>2009</v>
      </c>
      <c r="CA39" t="s">
        <v>109</v>
      </c>
      <c r="CB39" t="s">
        <v>110</v>
      </c>
      <c r="CC39">
        <v>153000</v>
      </c>
    </row>
    <row r="40" spans="1:81" x14ac:dyDescent="0.3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H40" t="s">
        <v>83</v>
      </c>
      <c r="I40" t="s">
        <v>84</v>
      </c>
      <c r="J40" t="s">
        <v>85</v>
      </c>
      <c r="K40" t="s">
        <v>86</v>
      </c>
      <c r="L40" t="s">
        <v>87</v>
      </c>
      <c r="M40" t="s">
        <v>270</v>
      </c>
      <c r="N40" t="s">
        <v>89</v>
      </c>
      <c r="O40" t="s">
        <v>89</v>
      </c>
      <c r="P40" t="s">
        <v>90</v>
      </c>
      <c r="Q40" t="s">
        <v>114</v>
      </c>
      <c r="R40">
        <v>5</v>
      </c>
      <c r="S40">
        <v>7</v>
      </c>
      <c r="T40">
        <v>1953</v>
      </c>
      <c r="U40">
        <v>2007</v>
      </c>
      <c r="V40" t="s">
        <v>92</v>
      </c>
      <c r="W40" t="s">
        <v>93</v>
      </c>
      <c r="X40" t="s">
        <v>94</v>
      </c>
      <c r="Y40" t="s">
        <v>94</v>
      </c>
      <c r="Z40" t="s">
        <v>116</v>
      </c>
      <c r="AA40">
        <v>0</v>
      </c>
      <c r="AB40" t="s">
        <v>97</v>
      </c>
      <c r="AC40" t="s">
        <v>96</v>
      </c>
      <c r="AD40" t="s">
        <v>117</v>
      </c>
      <c r="AE40" t="s">
        <v>97</v>
      </c>
      <c r="AF40" t="s">
        <v>97</v>
      </c>
      <c r="AG40" t="s">
        <v>99</v>
      </c>
      <c r="AH40" t="s">
        <v>100</v>
      </c>
      <c r="AI40">
        <v>731</v>
      </c>
      <c r="AJ40" t="s">
        <v>101</v>
      </c>
      <c r="AK40">
        <v>0</v>
      </c>
      <c r="AL40">
        <v>326</v>
      </c>
      <c r="AM40">
        <v>1057</v>
      </c>
      <c r="AN40" t="s">
        <v>102</v>
      </c>
      <c r="AO40" t="s">
        <v>97</v>
      </c>
      <c r="AP40" t="s">
        <v>104</v>
      </c>
      <c r="AQ40" t="s">
        <v>105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96</v>
      </c>
      <c r="BC40">
        <v>5</v>
      </c>
      <c r="BD40" t="s">
        <v>106</v>
      </c>
      <c r="BE40">
        <v>0</v>
      </c>
      <c r="BG40" t="s">
        <v>126</v>
      </c>
      <c r="BH40">
        <v>1953</v>
      </c>
      <c r="BI40" t="s">
        <v>101</v>
      </c>
      <c r="BJ40">
        <v>1</v>
      </c>
      <c r="BK40">
        <v>246</v>
      </c>
      <c r="BL40" t="s">
        <v>97</v>
      </c>
      <c r="BM40" t="s">
        <v>97</v>
      </c>
      <c r="BN40" t="s">
        <v>104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1</v>
      </c>
      <c r="BZ40">
        <v>2010</v>
      </c>
      <c r="CA40" t="s">
        <v>109</v>
      </c>
      <c r="CB40" t="s">
        <v>127</v>
      </c>
      <c r="CC40">
        <v>109000</v>
      </c>
    </row>
    <row r="41" spans="1:81" x14ac:dyDescent="0.3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  <c r="M41" t="s">
        <v>184</v>
      </c>
      <c r="N41" t="s">
        <v>89</v>
      </c>
      <c r="O41" t="s">
        <v>89</v>
      </c>
      <c r="P41" t="s">
        <v>166</v>
      </c>
      <c r="Q41" t="s">
        <v>114</v>
      </c>
      <c r="R41">
        <v>4</v>
      </c>
      <c r="S41">
        <v>5</v>
      </c>
      <c r="T41">
        <v>1955</v>
      </c>
      <c r="U41">
        <v>1955</v>
      </c>
      <c r="V41" t="s">
        <v>92</v>
      </c>
      <c r="W41" t="s">
        <v>93</v>
      </c>
      <c r="X41" t="s">
        <v>185</v>
      </c>
      <c r="Y41" t="s">
        <v>160</v>
      </c>
      <c r="Z41" t="s">
        <v>116</v>
      </c>
      <c r="AA41">
        <v>0</v>
      </c>
      <c r="AB41" t="s">
        <v>97</v>
      </c>
      <c r="AC41" t="s">
        <v>97</v>
      </c>
      <c r="AD41" t="s">
        <v>98</v>
      </c>
      <c r="AI41">
        <v>0</v>
      </c>
      <c r="AK41">
        <v>0</v>
      </c>
      <c r="AL41">
        <v>0</v>
      </c>
      <c r="AM41">
        <v>0</v>
      </c>
      <c r="AN41" t="s">
        <v>102</v>
      </c>
      <c r="AO41" t="s">
        <v>97</v>
      </c>
      <c r="AP41" t="s">
        <v>176</v>
      </c>
      <c r="AQ41" t="s">
        <v>186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146</v>
      </c>
      <c r="BC41">
        <v>6</v>
      </c>
      <c r="BD41" t="s">
        <v>106</v>
      </c>
      <c r="BE41">
        <v>0</v>
      </c>
      <c r="BJ41">
        <v>0</v>
      </c>
      <c r="BK41">
        <v>0</v>
      </c>
      <c r="BN41" t="s">
        <v>176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6</v>
      </c>
      <c r="BZ41">
        <v>2008</v>
      </c>
      <c r="CA41" t="s">
        <v>109</v>
      </c>
      <c r="CB41" t="s">
        <v>187</v>
      </c>
      <c r="CC41">
        <v>82000</v>
      </c>
    </row>
    <row r="42" spans="1:81" x14ac:dyDescent="0.3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H42" t="s">
        <v>83</v>
      </c>
      <c r="I42" t="s">
        <v>84</v>
      </c>
      <c r="J42" t="s">
        <v>85</v>
      </c>
      <c r="K42" t="s">
        <v>86</v>
      </c>
      <c r="L42" t="s">
        <v>87</v>
      </c>
      <c r="M42" t="s">
        <v>270</v>
      </c>
      <c r="N42" t="s">
        <v>89</v>
      </c>
      <c r="O42" t="s">
        <v>89</v>
      </c>
      <c r="P42" t="s">
        <v>90</v>
      </c>
      <c r="Q42" t="s">
        <v>114</v>
      </c>
      <c r="R42">
        <v>6</v>
      </c>
      <c r="S42">
        <v>5</v>
      </c>
      <c r="T42">
        <v>1965</v>
      </c>
      <c r="U42">
        <v>1965</v>
      </c>
      <c r="V42" t="s">
        <v>92</v>
      </c>
      <c r="W42" t="s">
        <v>93</v>
      </c>
      <c r="X42" t="s">
        <v>123</v>
      </c>
      <c r="Y42" t="s">
        <v>123</v>
      </c>
      <c r="Z42" t="s">
        <v>95</v>
      </c>
      <c r="AA42">
        <v>101</v>
      </c>
      <c r="AB42" t="s">
        <v>97</v>
      </c>
      <c r="AC42" t="s">
        <v>97</v>
      </c>
      <c r="AD42" t="s">
        <v>117</v>
      </c>
      <c r="AE42" t="s">
        <v>97</v>
      </c>
      <c r="AF42" t="s">
        <v>97</v>
      </c>
      <c r="AG42" t="s">
        <v>99</v>
      </c>
      <c r="AH42" t="s">
        <v>152</v>
      </c>
      <c r="AI42">
        <v>643</v>
      </c>
      <c r="AJ42" t="s">
        <v>101</v>
      </c>
      <c r="AK42">
        <v>0</v>
      </c>
      <c r="AL42">
        <v>445</v>
      </c>
      <c r="AM42">
        <v>1088</v>
      </c>
      <c r="AN42" t="s">
        <v>102</v>
      </c>
      <c r="AO42" t="s">
        <v>103</v>
      </c>
      <c r="AP42" t="s">
        <v>104</v>
      </c>
      <c r="AQ42" t="s">
        <v>105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97</v>
      </c>
      <c r="BC42">
        <v>6</v>
      </c>
      <c r="BD42" t="s">
        <v>106</v>
      </c>
      <c r="BE42">
        <v>1</v>
      </c>
      <c r="BF42" t="s">
        <v>97</v>
      </c>
      <c r="BG42" t="s">
        <v>107</v>
      </c>
      <c r="BH42">
        <v>1965</v>
      </c>
      <c r="BI42" t="s">
        <v>108</v>
      </c>
      <c r="BJ42">
        <v>2</v>
      </c>
      <c r="BK42">
        <v>440</v>
      </c>
      <c r="BL42" t="s">
        <v>97</v>
      </c>
      <c r="BM42" t="s">
        <v>97</v>
      </c>
      <c r="BN42" t="s">
        <v>104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V42" t="s">
        <v>162</v>
      </c>
      <c r="BX42">
        <v>0</v>
      </c>
      <c r="BY42">
        <v>12</v>
      </c>
      <c r="BZ42">
        <v>2006</v>
      </c>
      <c r="CA42" t="s">
        <v>109</v>
      </c>
      <c r="CB42" t="s">
        <v>127</v>
      </c>
      <c r="CC42">
        <v>160000</v>
      </c>
    </row>
    <row r="43" spans="1:81" x14ac:dyDescent="0.3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H43" t="s">
        <v>83</v>
      </c>
      <c r="I43" t="s">
        <v>84</v>
      </c>
      <c r="J43" t="s">
        <v>85</v>
      </c>
      <c r="K43" t="s">
        <v>86</v>
      </c>
      <c r="L43" t="s">
        <v>87</v>
      </c>
      <c r="M43" t="s">
        <v>188</v>
      </c>
      <c r="N43" t="s">
        <v>89</v>
      </c>
      <c r="O43" t="s">
        <v>89</v>
      </c>
      <c r="P43" t="s">
        <v>90</v>
      </c>
      <c r="Q43" t="s">
        <v>114</v>
      </c>
      <c r="R43">
        <v>5</v>
      </c>
      <c r="S43">
        <v>6</v>
      </c>
      <c r="T43">
        <v>1959</v>
      </c>
      <c r="U43">
        <v>1959</v>
      </c>
      <c r="V43" t="s">
        <v>92</v>
      </c>
      <c r="W43" t="s">
        <v>93</v>
      </c>
      <c r="X43" t="s">
        <v>94</v>
      </c>
      <c r="Y43" t="s">
        <v>94</v>
      </c>
      <c r="Z43" t="s">
        <v>116</v>
      </c>
      <c r="AA43">
        <v>0</v>
      </c>
      <c r="AB43" t="s">
        <v>97</v>
      </c>
      <c r="AC43" t="s">
        <v>96</v>
      </c>
      <c r="AD43" t="s">
        <v>117</v>
      </c>
      <c r="AE43" t="s">
        <v>97</v>
      </c>
      <c r="AF43" t="s">
        <v>97</v>
      </c>
      <c r="AG43" t="s">
        <v>96</v>
      </c>
      <c r="AH43" t="s">
        <v>140</v>
      </c>
      <c r="AI43">
        <v>967</v>
      </c>
      <c r="AJ43" t="s">
        <v>101</v>
      </c>
      <c r="AK43">
        <v>0</v>
      </c>
      <c r="AL43">
        <v>383</v>
      </c>
      <c r="AM43">
        <v>1350</v>
      </c>
      <c r="AN43" t="s">
        <v>102</v>
      </c>
      <c r="AO43" t="s">
        <v>96</v>
      </c>
      <c r="AP43" t="s">
        <v>104</v>
      </c>
      <c r="AQ43" t="s">
        <v>105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97</v>
      </c>
      <c r="BC43">
        <v>5</v>
      </c>
      <c r="BD43" t="s">
        <v>106</v>
      </c>
      <c r="BE43">
        <v>2</v>
      </c>
      <c r="BF43" t="s">
        <v>96</v>
      </c>
      <c r="BG43" t="s">
        <v>107</v>
      </c>
      <c r="BH43">
        <v>1959</v>
      </c>
      <c r="BI43" t="s">
        <v>108</v>
      </c>
      <c r="BJ43">
        <v>1</v>
      </c>
      <c r="BK43">
        <v>308</v>
      </c>
      <c r="BL43" t="s">
        <v>97</v>
      </c>
      <c r="BM43" t="s">
        <v>97</v>
      </c>
      <c r="BN43" t="s">
        <v>189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7</v>
      </c>
      <c r="BZ43">
        <v>2007</v>
      </c>
      <c r="CA43" t="s">
        <v>109</v>
      </c>
      <c r="CB43" t="s">
        <v>110</v>
      </c>
      <c r="CC43">
        <v>170000</v>
      </c>
    </row>
    <row r="44" spans="1:81" x14ac:dyDescent="0.3">
      <c r="A44">
        <v>43</v>
      </c>
      <c r="B44">
        <v>85</v>
      </c>
      <c r="C44" t="s">
        <v>81</v>
      </c>
      <c r="E44">
        <v>9180</v>
      </c>
      <c r="F44" t="s">
        <v>82</v>
      </c>
      <c r="H44" t="s">
        <v>119</v>
      </c>
      <c r="I44" t="s">
        <v>84</v>
      </c>
      <c r="J44" t="s">
        <v>85</v>
      </c>
      <c r="K44" t="s">
        <v>165</v>
      </c>
      <c r="L44" t="s">
        <v>87</v>
      </c>
      <c r="M44" t="s">
        <v>169</v>
      </c>
      <c r="N44" t="s">
        <v>89</v>
      </c>
      <c r="O44" t="s">
        <v>89</v>
      </c>
      <c r="P44" t="s">
        <v>90</v>
      </c>
      <c r="Q44" t="s">
        <v>190</v>
      </c>
      <c r="R44">
        <v>5</v>
      </c>
      <c r="S44">
        <v>7</v>
      </c>
      <c r="T44">
        <v>1983</v>
      </c>
      <c r="U44">
        <v>1983</v>
      </c>
      <c r="V44" t="s">
        <v>92</v>
      </c>
      <c r="W44" t="s">
        <v>93</v>
      </c>
      <c r="X44" t="s">
        <v>139</v>
      </c>
      <c r="Y44" t="s">
        <v>139</v>
      </c>
      <c r="Z44" t="s">
        <v>116</v>
      </c>
      <c r="AA44">
        <v>0</v>
      </c>
      <c r="AB44" t="s">
        <v>97</v>
      </c>
      <c r="AC44" t="s">
        <v>97</v>
      </c>
      <c r="AD44" t="s">
        <v>117</v>
      </c>
      <c r="AE44" t="s">
        <v>96</v>
      </c>
      <c r="AF44" t="s">
        <v>97</v>
      </c>
      <c r="AG44" t="s">
        <v>129</v>
      </c>
      <c r="AH44" t="s">
        <v>118</v>
      </c>
      <c r="AI44">
        <v>747</v>
      </c>
      <c r="AJ44" t="s">
        <v>171</v>
      </c>
      <c r="AK44">
        <v>93</v>
      </c>
      <c r="AL44">
        <v>0</v>
      </c>
      <c r="AM44">
        <v>840</v>
      </c>
      <c r="AN44" t="s">
        <v>102</v>
      </c>
      <c r="AO44" t="s">
        <v>96</v>
      </c>
      <c r="AP44" t="s">
        <v>104</v>
      </c>
      <c r="AQ44" t="s">
        <v>105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96</v>
      </c>
      <c r="BC44">
        <v>5</v>
      </c>
      <c r="BD44" t="s">
        <v>106</v>
      </c>
      <c r="BE44">
        <v>0</v>
      </c>
      <c r="BG44" t="s">
        <v>107</v>
      </c>
      <c r="BH44">
        <v>1983</v>
      </c>
      <c r="BI44" t="s">
        <v>108</v>
      </c>
      <c r="BJ44">
        <v>2</v>
      </c>
      <c r="BK44">
        <v>504</v>
      </c>
      <c r="BL44" t="s">
        <v>97</v>
      </c>
      <c r="BM44" t="s">
        <v>96</v>
      </c>
      <c r="BN44" t="s">
        <v>104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V44" t="s">
        <v>133</v>
      </c>
      <c r="BX44">
        <v>0</v>
      </c>
      <c r="BY44">
        <v>12</v>
      </c>
      <c r="BZ44">
        <v>2007</v>
      </c>
      <c r="CA44" t="s">
        <v>109</v>
      </c>
      <c r="CB44" t="s">
        <v>110</v>
      </c>
      <c r="CC44">
        <v>144000</v>
      </c>
    </row>
    <row r="45" spans="1:81" x14ac:dyDescent="0.3">
      <c r="A45">
        <v>44</v>
      </c>
      <c r="B45">
        <v>20</v>
      </c>
      <c r="C45" t="s">
        <v>81</v>
      </c>
      <c r="E45">
        <v>9200</v>
      </c>
      <c r="F45" t="s">
        <v>82</v>
      </c>
      <c r="H45" t="s">
        <v>119</v>
      </c>
      <c r="I45" t="s">
        <v>84</v>
      </c>
      <c r="J45" t="s">
        <v>85</v>
      </c>
      <c r="K45" t="s">
        <v>165</v>
      </c>
      <c r="L45" t="s">
        <v>87</v>
      </c>
      <c r="M45" t="s">
        <v>88</v>
      </c>
      <c r="N45" t="s">
        <v>89</v>
      </c>
      <c r="O45" t="s">
        <v>89</v>
      </c>
      <c r="P45" t="s">
        <v>90</v>
      </c>
      <c r="Q45" t="s">
        <v>114</v>
      </c>
      <c r="R45">
        <v>5</v>
      </c>
      <c r="S45">
        <v>6</v>
      </c>
      <c r="T45">
        <v>1975</v>
      </c>
      <c r="U45">
        <v>1980</v>
      </c>
      <c r="V45" t="s">
        <v>151</v>
      </c>
      <c r="W45" t="s">
        <v>93</v>
      </c>
      <c r="X45" t="s">
        <v>94</v>
      </c>
      <c r="Y45" t="s">
        <v>94</v>
      </c>
      <c r="Z45" t="s">
        <v>116</v>
      </c>
      <c r="AA45">
        <v>0</v>
      </c>
      <c r="AB45" t="s">
        <v>97</v>
      </c>
      <c r="AC45" t="s">
        <v>97</v>
      </c>
      <c r="AD45" t="s">
        <v>117</v>
      </c>
      <c r="AE45" t="s">
        <v>96</v>
      </c>
      <c r="AF45" t="s">
        <v>97</v>
      </c>
      <c r="AG45" t="s">
        <v>129</v>
      </c>
      <c r="AH45" t="s">
        <v>171</v>
      </c>
      <c r="AI45">
        <v>280</v>
      </c>
      <c r="AJ45" t="s">
        <v>140</v>
      </c>
      <c r="AK45">
        <v>491</v>
      </c>
      <c r="AL45">
        <v>167</v>
      </c>
      <c r="AM45">
        <v>938</v>
      </c>
      <c r="AN45" t="s">
        <v>102</v>
      </c>
      <c r="AO45" t="s">
        <v>97</v>
      </c>
      <c r="AP45" t="s">
        <v>104</v>
      </c>
      <c r="AQ45" t="s">
        <v>105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97</v>
      </c>
      <c r="BC45">
        <v>5</v>
      </c>
      <c r="BD45" t="s">
        <v>106</v>
      </c>
      <c r="BE45">
        <v>0</v>
      </c>
      <c r="BG45" t="s">
        <v>126</v>
      </c>
      <c r="BH45">
        <v>1977</v>
      </c>
      <c r="BI45" t="s">
        <v>101</v>
      </c>
      <c r="BJ45">
        <v>1</v>
      </c>
      <c r="BK45">
        <v>308</v>
      </c>
      <c r="BL45" t="s">
        <v>97</v>
      </c>
      <c r="BM45" t="s">
        <v>97</v>
      </c>
      <c r="BN45" t="s">
        <v>104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V45" t="s">
        <v>133</v>
      </c>
      <c r="BX45">
        <v>0</v>
      </c>
      <c r="BY45">
        <v>7</v>
      </c>
      <c r="BZ45">
        <v>2008</v>
      </c>
      <c r="CA45" t="s">
        <v>109</v>
      </c>
      <c r="CB45" t="s">
        <v>110</v>
      </c>
      <c r="CC45">
        <v>130250</v>
      </c>
    </row>
    <row r="46" spans="1:81" x14ac:dyDescent="0.3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H46" t="s">
        <v>83</v>
      </c>
      <c r="I46" t="s">
        <v>84</v>
      </c>
      <c r="J46" t="s">
        <v>85</v>
      </c>
      <c r="K46" t="s">
        <v>86</v>
      </c>
      <c r="L46" t="s">
        <v>87</v>
      </c>
      <c r="M46" t="s">
        <v>270</v>
      </c>
      <c r="N46" t="s">
        <v>89</v>
      </c>
      <c r="O46" t="s">
        <v>89</v>
      </c>
      <c r="P46" t="s">
        <v>90</v>
      </c>
      <c r="Q46" t="s">
        <v>114</v>
      </c>
      <c r="R46">
        <v>5</v>
      </c>
      <c r="S46">
        <v>6</v>
      </c>
      <c r="T46">
        <v>1959</v>
      </c>
      <c r="U46">
        <v>1959</v>
      </c>
      <c r="V46" t="s">
        <v>92</v>
      </c>
      <c r="W46" t="s">
        <v>93</v>
      </c>
      <c r="X46" t="s">
        <v>95</v>
      </c>
      <c r="Y46" t="s">
        <v>123</v>
      </c>
      <c r="Z46" t="s">
        <v>116</v>
      </c>
      <c r="AA46">
        <v>0</v>
      </c>
      <c r="AB46" t="s">
        <v>97</v>
      </c>
      <c r="AC46" t="s">
        <v>97</v>
      </c>
      <c r="AD46" t="s">
        <v>117</v>
      </c>
      <c r="AE46" t="s">
        <v>97</v>
      </c>
      <c r="AF46" t="s">
        <v>97</v>
      </c>
      <c r="AG46" t="s">
        <v>99</v>
      </c>
      <c r="AH46" t="s">
        <v>118</v>
      </c>
      <c r="AI46">
        <v>179</v>
      </c>
      <c r="AJ46" t="s">
        <v>140</v>
      </c>
      <c r="AK46">
        <v>506</v>
      </c>
      <c r="AL46">
        <v>465</v>
      </c>
      <c r="AM46">
        <v>1150</v>
      </c>
      <c r="AN46" t="s">
        <v>102</v>
      </c>
      <c r="AO46" t="s">
        <v>103</v>
      </c>
      <c r="AP46" t="s">
        <v>104</v>
      </c>
      <c r="AQ46" t="s">
        <v>163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97</v>
      </c>
      <c r="BC46">
        <v>6</v>
      </c>
      <c r="BD46" t="s">
        <v>106</v>
      </c>
      <c r="BE46">
        <v>0</v>
      </c>
      <c r="BG46" t="s">
        <v>107</v>
      </c>
      <c r="BH46">
        <v>1959</v>
      </c>
      <c r="BI46" t="s">
        <v>108</v>
      </c>
      <c r="BJ46">
        <v>1</v>
      </c>
      <c r="BK46">
        <v>300</v>
      </c>
      <c r="BL46" t="s">
        <v>97</v>
      </c>
      <c r="BM46" t="s">
        <v>97</v>
      </c>
      <c r="BN46" t="s">
        <v>104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5</v>
      </c>
      <c r="BZ46">
        <v>2006</v>
      </c>
      <c r="CA46" t="s">
        <v>109</v>
      </c>
      <c r="CB46" t="s">
        <v>110</v>
      </c>
      <c r="CC46">
        <v>141000</v>
      </c>
    </row>
    <row r="47" spans="1:81" x14ac:dyDescent="0.3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H47" t="s">
        <v>83</v>
      </c>
      <c r="I47" t="s">
        <v>84</v>
      </c>
      <c r="J47" t="s">
        <v>85</v>
      </c>
      <c r="K47" t="s">
        <v>86</v>
      </c>
      <c r="L47" t="s">
        <v>87</v>
      </c>
      <c r="M47" t="s">
        <v>153</v>
      </c>
      <c r="N47" t="s">
        <v>89</v>
      </c>
      <c r="O47" t="s">
        <v>89</v>
      </c>
      <c r="P47" t="s">
        <v>178</v>
      </c>
      <c r="Q47" t="s">
        <v>114</v>
      </c>
      <c r="R47">
        <v>9</v>
      </c>
      <c r="S47">
        <v>5</v>
      </c>
      <c r="T47">
        <v>2005</v>
      </c>
      <c r="U47">
        <v>2005</v>
      </c>
      <c r="V47" t="s">
        <v>151</v>
      </c>
      <c r="W47" t="s">
        <v>93</v>
      </c>
      <c r="X47" t="s">
        <v>115</v>
      </c>
      <c r="Y47" t="s">
        <v>115</v>
      </c>
      <c r="Z47" t="s">
        <v>95</v>
      </c>
      <c r="AA47">
        <v>412</v>
      </c>
      <c r="AB47" t="s">
        <v>103</v>
      </c>
      <c r="AC47" t="s">
        <v>97</v>
      </c>
      <c r="AD47" t="s">
        <v>98</v>
      </c>
      <c r="AE47" t="s">
        <v>103</v>
      </c>
      <c r="AF47" t="s">
        <v>97</v>
      </c>
      <c r="AG47" t="s">
        <v>99</v>
      </c>
      <c r="AH47" t="s">
        <v>100</v>
      </c>
      <c r="AI47">
        <v>456</v>
      </c>
      <c r="AJ47" t="s">
        <v>101</v>
      </c>
      <c r="AK47">
        <v>0</v>
      </c>
      <c r="AL47">
        <v>1296</v>
      </c>
      <c r="AM47">
        <v>1752</v>
      </c>
      <c r="AN47" t="s">
        <v>102</v>
      </c>
      <c r="AO47" t="s">
        <v>103</v>
      </c>
      <c r="AP47" t="s">
        <v>104</v>
      </c>
      <c r="AQ47" t="s">
        <v>105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103</v>
      </c>
      <c r="BC47">
        <v>6</v>
      </c>
      <c r="BD47" t="s">
        <v>106</v>
      </c>
      <c r="BE47">
        <v>1</v>
      </c>
      <c r="BF47" t="s">
        <v>96</v>
      </c>
      <c r="BG47" t="s">
        <v>107</v>
      </c>
      <c r="BH47">
        <v>2005</v>
      </c>
      <c r="BI47" t="s">
        <v>108</v>
      </c>
      <c r="BJ47">
        <v>2</v>
      </c>
      <c r="BK47">
        <v>576</v>
      </c>
      <c r="BL47" t="s">
        <v>97</v>
      </c>
      <c r="BM47" t="s">
        <v>97</v>
      </c>
      <c r="BN47" t="s">
        <v>104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2</v>
      </c>
      <c r="BZ47">
        <v>2010</v>
      </c>
      <c r="CA47" t="s">
        <v>109</v>
      </c>
      <c r="CB47" t="s">
        <v>110</v>
      </c>
      <c r="CC47">
        <v>319900</v>
      </c>
    </row>
    <row r="48" spans="1:81" x14ac:dyDescent="0.3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H48" t="s">
        <v>119</v>
      </c>
      <c r="I48" t="s">
        <v>84</v>
      </c>
      <c r="J48" t="s">
        <v>85</v>
      </c>
      <c r="K48" t="s">
        <v>165</v>
      </c>
      <c r="L48" t="s">
        <v>87</v>
      </c>
      <c r="M48" t="s">
        <v>130</v>
      </c>
      <c r="N48" t="s">
        <v>89</v>
      </c>
      <c r="O48" t="s">
        <v>89</v>
      </c>
      <c r="P48" t="s">
        <v>90</v>
      </c>
      <c r="Q48" t="s">
        <v>131</v>
      </c>
      <c r="R48">
        <v>7</v>
      </c>
      <c r="S48">
        <v>5</v>
      </c>
      <c r="T48">
        <v>2003</v>
      </c>
      <c r="U48">
        <v>2003</v>
      </c>
      <c r="V48" t="s">
        <v>92</v>
      </c>
      <c r="W48" t="s">
        <v>93</v>
      </c>
      <c r="X48" t="s">
        <v>94</v>
      </c>
      <c r="Y48" t="s">
        <v>94</v>
      </c>
      <c r="Z48" t="s">
        <v>116</v>
      </c>
      <c r="AA48">
        <v>0</v>
      </c>
      <c r="AB48" t="s">
        <v>96</v>
      </c>
      <c r="AC48" t="s">
        <v>97</v>
      </c>
      <c r="AD48" t="s">
        <v>98</v>
      </c>
      <c r="AE48" t="s">
        <v>103</v>
      </c>
      <c r="AF48" t="s">
        <v>97</v>
      </c>
      <c r="AG48" t="s">
        <v>99</v>
      </c>
      <c r="AH48" t="s">
        <v>100</v>
      </c>
      <c r="AI48">
        <v>1351</v>
      </c>
      <c r="AJ48" t="s">
        <v>101</v>
      </c>
      <c r="AK48">
        <v>0</v>
      </c>
      <c r="AL48">
        <v>83</v>
      </c>
      <c r="AM48">
        <v>1434</v>
      </c>
      <c r="AN48" t="s">
        <v>102</v>
      </c>
      <c r="AO48" t="s">
        <v>103</v>
      </c>
      <c r="AP48" t="s">
        <v>104</v>
      </c>
      <c r="AQ48" t="s">
        <v>105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96</v>
      </c>
      <c r="BC48">
        <v>6</v>
      </c>
      <c r="BD48" t="s">
        <v>106</v>
      </c>
      <c r="BE48">
        <v>1</v>
      </c>
      <c r="BF48" t="s">
        <v>103</v>
      </c>
      <c r="BG48" t="s">
        <v>107</v>
      </c>
      <c r="BH48">
        <v>2003</v>
      </c>
      <c r="BI48" t="s">
        <v>108</v>
      </c>
      <c r="BJ48">
        <v>2</v>
      </c>
      <c r="BK48">
        <v>670</v>
      </c>
      <c r="BL48" t="s">
        <v>97</v>
      </c>
      <c r="BM48" t="s">
        <v>97</v>
      </c>
      <c r="BN48" t="s">
        <v>104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X48">
        <v>0</v>
      </c>
      <c r="BY48">
        <v>8</v>
      </c>
      <c r="BZ48">
        <v>2009</v>
      </c>
      <c r="CA48" t="s">
        <v>109</v>
      </c>
      <c r="CB48" t="s">
        <v>127</v>
      </c>
      <c r="CC48">
        <v>239686</v>
      </c>
    </row>
    <row r="49" spans="1:81" x14ac:dyDescent="0.3">
      <c r="A49">
        <v>48</v>
      </c>
      <c r="B49">
        <v>20</v>
      </c>
      <c r="C49" t="s">
        <v>191</v>
      </c>
      <c r="D49">
        <v>84</v>
      </c>
      <c r="E49">
        <v>11096</v>
      </c>
      <c r="F49" t="s">
        <v>82</v>
      </c>
      <c r="H49" t="s">
        <v>83</v>
      </c>
      <c r="I49" t="s">
        <v>84</v>
      </c>
      <c r="J49" t="s">
        <v>85</v>
      </c>
      <c r="K49" t="s">
        <v>86</v>
      </c>
      <c r="L49" t="s">
        <v>87</v>
      </c>
      <c r="M49" t="s">
        <v>135</v>
      </c>
      <c r="N49" t="s">
        <v>89</v>
      </c>
      <c r="O49" t="s">
        <v>89</v>
      </c>
      <c r="P49" t="s">
        <v>90</v>
      </c>
      <c r="Q49" t="s">
        <v>114</v>
      </c>
      <c r="R49">
        <v>8</v>
      </c>
      <c r="S49">
        <v>5</v>
      </c>
      <c r="T49">
        <v>2006</v>
      </c>
      <c r="U49">
        <v>2006</v>
      </c>
      <c r="V49" t="s">
        <v>92</v>
      </c>
      <c r="W49" t="s">
        <v>93</v>
      </c>
      <c r="X49" t="s">
        <v>94</v>
      </c>
      <c r="Y49" t="s">
        <v>94</v>
      </c>
      <c r="Z49" t="s">
        <v>116</v>
      </c>
      <c r="AA49">
        <v>0</v>
      </c>
      <c r="AB49" t="s">
        <v>96</v>
      </c>
      <c r="AC49" t="s">
        <v>97</v>
      </c>
      <c r="AD49" t="s">
        <v>98</v>
      </c>
      <c r="AE49" t="s">
        <v>96</v>
      </c>
      <c r="AF49" t="s">
        <v>97</v>
      </c>
      <c r="AG49" t="s">
        <v>129</v>
      </c>
      <c r="AH49" t="s">
        <v>100</v>
      </c>
      <c r="AI49">
        <v>24</v>
      </c>
      <c r="AJ49" t="s">
        <v>101</v>
      </c>
      <c r="AK49">
        <v>0</v>
      </c>
      <c r="AL49">
        <v>1632</v>
      </c>
      <c r="AM49">
        <v>1656</v>
      </c>
      <c r="AN49" t="s">
        <v>102</v>
      </c>
      <c r="AO49" t="s">
        <v>103</v>
      </c>
      <c r="AP49" t="s">
        <v>104</v>
      </c>
      <c r="AQ49" t="s">
        <v>105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96</v>
      </c>
      <c r="BC49">
        <v>7</v>
      </c>
      <c r="BD49" t="s">
        <v>106</v>
      </c>
      <c r="BE49">
        <v>0</v>
      </c>
      <c r="BG49" t="s">
        <v>107</v>
      </c>
      <c r="BH49">
        <v>2006</v>
      </c>
      <c r="BI49" t="s">
        <v>108</v>
      </c>
      <c r="BJ49">
        <v>3</v>
      </c>
      <c r="BK49">
        <v>826</v>
      </c>
      <c r="BL49" t="s">
        <v>97</v>
      </c>
      <c r="BM49" t="s">
        <v>97</v>
      </c>
      <c r="BN49" t="s">
        <v>104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7</v>
      </c>
      <c r="BZ49">
        <v>2007</v>
      </c>
      <c r="CA49" t="s">
        <v>109</v>
      </c>
      <c r="CB49" t="s">
        <v>110</v>
      </c>
      <c r="CC49">
        <v>249700</v>
      </c>
    </row>
    <row r="50" spans="1:81" x14ac:dyDescent="0.3">
      <c r="A50">
        <v>49</v>
      </c>
      <c r="B50">
        <v>190</v>
      </c>
      <c r="C50" t="s">
        <v>141</v>
      </c>
      <c r="D50">
        <v>33</v>
      </c>
      <c r="E50">
        <v>4456</v>
      </c>
      <c r="F50" t="s">
        <v>82</v>
      </c>
      <c r="H50" t="s">
        <v>83</v>
      </c>
      <c r="I50" t="s">
        <v>84</v>
      </c>
      <c r="J50" t="s">
        <v>85</v>
      </c>
      <c r="K50" t="s">
        <v>86</v>
      </c>
      <c r="L50" t="s">
        <v>87</v>
      </c>
      <c r="M50" t="s">
        <v>142</v>
      </c>
      <c r="N50" t="s">
        <v>89</v>
      </c>
      <c r="O50" t="s">
        <v>89</v>
      </c>
      <c r="P50" t="s">
        <v>148</v>
      </c>
      <c r="Q50" t="s">
        <v>91</v>
      </c>
      <c r="R50">
        <v>4</v>
      </c>
      <c r="S50">
        <v>5</v>
      </c>
      <c r="T50">
        <v>1920</v>
      </c>
      <c r="U50">
        <v>2008</v>
      </c>
      <c r="V50" t="s">
        <v>92</v>
      </c>
      <c r="W50" t="s">
        <v>93</v>
      </c>
      <c r="X50" t="s">
        <v>115</v>
      </c>
      <c r="Y50" t="s">
        <v>115</v>
      </c>
      <c r="Z50" t="s">
        <v>116</v>
      </c>
      <c r="AA50">
        <v>0</v>
      </c>
      <c r="AB50" t="s">
        <v>97</v>
      </c>
      <c r="AC50" t="s">
        <v>97</v>
      </c>
      <c r="AD50" t="s">
        <v>125</v>
      </c>
      <c r="AE50" t="s">
        <v>97</v>
      </c>
      <c r="AF50" t="s">
        <v>97</v>
      </c>
      <c r="AG50" t="s">
        <v>99</v>
      </c>
      <c r="AH50" t="s">
        <v>101</v>
      </c>
      <c r="AI50">
        <v>0</v>
      </c>
      <c r="AJ50" t="s">
        <v>101</v>
      </c>
      <c r="AK50">
        <v>0</v>
      </c>
      <c r="AL50">
        <v>736</v>
      </c>
      <c r="AM50">
        <v>736</v>
      </c>
      <c r="AN50" t="s">
        <v>102</v>
      </c>
      <c r="AO50" t="s">
        <v>96</v>
      </c>
      <c r="AP50" t="s">
        <v>104</v>
      </c>
      <c r="AQ50" t="s">
        <v>105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97</v>
      </c>
      <c r="BC50">
        <v>8</v>
      </c>
      <c r="BD50" t="s">
        <v>106</v>
      </c>
      <c r="BE50">
        <v>0</v>
      </c>
      <c r="BJ50">
        <v>0</v>
      </c>
      <c r="BK50">
        <v>0</v>
      </c>
      <c r="BN50" t="s">
        <v>176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X50">
        <v>0</v>
      </c>
      <c r="BY50">
        <v>6</v>
      </c>
      <c r="BZ50">
        <v>2009</v>
      </c>
      <c r="CA50" t="s">
        <v>157</v>
      </c>
      <c r="CB50" t="s">
        <v>158</v>
      </c>
      <c r="CC50">
        <v>113000</v>
      </c>
    </row>
    <row r="51" spans="1:81" x14ac:dyDescent="0.3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H51" t="s">
        <v>83</v>
      </c>
      <c r="I51" t="s">
        <v>84</v>
      </c>
      <c r="J51" t="s">
        <v>85</v>
      </c>
      <c r="K51" t="s">
        <v>86</v>
      </c>
      <c r="L51" t="s">
        <v>87</v>
      </c>
      <c r="M51" t="s">
        <v>150</v>
      </c>
      <c r="N51" t="s">
        <v>89</v>
      </c>
      <c r="O51" t="s">
        <v>89</v>
      </c>
      <c r="P51" t="s">
        <v>90</v>
      </c>
      <c r="Q51" t="s">
        <v>114</v>
      </c>
      <c r="R51">
        <v>5</v>
      </c>
      <c r="S51">
        <v>7</v>
      </c>
      <c r="T51">
        <v>1966</v>
      </c>
      <c r="U51">
        <v>1966</v>
      </c>
      <c r="V51" t="s">
        <v>92</v>
      </c>
      <c r="W51" t="s">
        <v>93</v>
      </c>
      <c r="X51" t="s">
        <v>139</v>
      </c>
      <c r="Y51" t="s">
        <v>139</v>
      </c>
      <c r="Z51" t="s">
        <v>116</v>
      </c>
      <c r="AA51">
        <v>0</v>
      </c>
      <c r="AB51" t="s">
        <v>97</v>
      </c>
      <c r="AC51" t="s">
        <v>97</v>
      </c>
      <c r="AD51" t="s">
        <v>117</v>
      </c>
      <c r="AE51" t="s">
        <v>97</v>
      </c>
      <c r="AF51" t="s">
        <v>97</v>
      </c>
      <c r="AG51" t="s">
        <v>99</v>
      </c>
      <c r="AH51" t="s">
        <v>140</v>
      </c>
      <c r="AI51">
        <v>763</v>
      </c>
      <c r="AJ51" t="s">
        <v>101</v>
      </c>
      <c r="AK51">
        <v>0</v>
      </c>
      <c r="AL51">
        <v>192</v>
      </c>
      <c r="AM51">
        <v>955</v>
      </c>
      <c r="AN51" t="s">
        <v>102</v>
      </c>
      <c r="AO51" t="s">
        <v>103</v>
      </c>
      <c r="AP51" t="s">
        <v>104</v>
      </c>
      <c r="AQ51" t="s">
        <v>105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97</v>
      </c>
      <c r="BC51">
        <v>6</v>
      </c>
      <c r="BD51" t="s">
        <v>106</v>
      </c>
      <c r="BE51">
        <v>0</v>
      </c>
      <c r="BG51" t="s">
        <v>107</v>
      </c>
      <c r="BH51">
        <v>1966</v>
      </c>
      <c r="BI51" t="s">
        <v>101</v>
      </c>
      <c r="BJ51">
        <v>1</v>
      </c>
      <c r="BK51">
        <v>386</v>
      </c>
      <c r="BL51" t="s">
        <v>97</v>
      </c>
      <c r="BM51" t="s">
        <v>97</v>
      </c>
      <c r="BN51" t="s">
        <v>104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V51" t="s">
        <v>133</v>
      </c>
      <c r="BX51">
        <v>0</v>
      </c>
      <c r="BY51">
        <v>1</v>
      </c>
      <c r="BZ51">
        <v>2007</v>
      </c>
      <c r="CA51" t="s">
        <v>109</v>
      </c>
      <c r="CB51" t="s">
        <v>110</v>
      </c>
      <c r="CC51">
        <v>127000</v>
      </c>
    </row>
    <row r="52" spans="1:81" x14ac:dyDescent="0.3">
      <c r="A52">
        <v>51</v>
      </c>
      <c r="B52">
        <v>60</v>
      </c>
      <c r="C52" t="s">
        <v>81</v>
      </c>
      <c r="E52">
        <v>13869</v>
      </c>
      <c r="F52" t="s">
        <v>82</v>
      </c>
      <c r="H52" t="s">
        <v>159</v>
      </c>
      <c r="I52" t="s">
        <v>84</v>
      </c>
      <c r="J52" t="s">
        <v>85</v>
      </c>
      <c r="K52" t="s">
        <v>121</v>
      </c>
      <c r="L52" t="s">
        <v>87</v>
      </c>
      <c r="M52" t="s">
        <v>192</v>
      </c>
      <c r="N52" t="s">
        <v>89</v>
      </c>
      <c r="O52" t="s">
        <v>89</v>
      </c>
      <c r="P52" t="s">
        <v>90</v>
      </c>
      <c r="Q52" t="s">
        <v>91</v>
      </c>
      <c r="R52">
        <v>6</v>
      </c>
      <c r="S52">
        <v>6</v>
      </c>
      <c r="T52">
        <v>1997</v>
      </c>
      <c r="U52">
        <v>1997</v>
      </c>
      <c r="V52" t="s">
        <v>92</v>
      </c>
      <c r="W52" t="s">
        <v>93</v>
      </c>
      <c r="X52" t="s">
        <v>94</v>
      </c>
      <c r="Y52" t="s">
        <v>94</v>
      </c>
      <c r="Z52" t="s">
        <v>116</v>
      </c>
      <c r="AA52">
        <v>0</v>
      </c>
      <c r="AB52" t="s">
        <v>97</v>
      </c>
      <c r="AC52" t="s">
        <v>97</v>
      </c>
      <c r="AD52" t="s">
        <v>98</v>
      </c>
      <c r="AE52" t="s">
        <v>96</v>
      </c>
      <c r="AF52" t="s">
        <v>97</v>
      </c>
      <c r="AG52" t="s">
        <v>129</v>
      </c>
      <c r="AH52" t="s">
        <v>100</v>
      </c>
      <c r="AI52">
        <v>182</v>
      </c>
      <c r="AJ52" t="s">
        <v>101</v>
      </c>
      <c r="AK52">
        <v>0</v>
      </c>
      <c r="AL52">
        <v>612</v>
      </c>
      <c r="AM52">
        <v>794</v>
      </c>
      <c r="AN52" t="s">
        <v>102</v>
      </c>
      <c r="AO52" t="s">
        <v>96</v>
      </c>
      <c r="AP52" t="s">
        <v>104</v>
      </c>
      <c r="AQ52" t="s">
        <v>105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97</v>
      </c>
      <c r="BC52">
        <v>6</v>
      </c>
      <c r="BD52" t="s">
        <v>106</v>
      </c>
      <c r="BE52">
        <v>0</v>
      </c>
      <c r="BG52" t="s">
        <v>107</v>
      </c>
      <c r="BH52">
        <v>1997</v>
      </c>
      <c r="BI52" t="s">
        <v>156</v>
      </c>
      <c r="BJ52">
        <v>2</v>
      </c>
      <c r="BK52">
        <v>388</v>
      </c>
      <c r="BL52" t="s">
        <v>97</v>
      </c>
      <c r="BM52" t="s">
        <v>97</v>
      </c>
      <c r="BN52" t="s">
        <v>104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X52">
        <v>0</v>
      </c>
      <c r="BY52">
        <v>7</v>
      </c>
      <c r="BZ52">
        <v>2007</v>
      </c>
      <c r="CA52" t="s">
        <v>109</v>
      </c>
      <c r="CB52" t="s">
        <v>110</v>
      </c>
      <c r="CC52">
        <v>177000</v>
      </c>
    </row>
    <row r="53" spans="1:81" x14ac:dyDescent="0.3">
      <c r="A53">
        <v>52</v>
      </c>
      <c r="B53">
        <v>50</v>
      </c>
      <c r="C53" t="s">
        <v>141</v>
      </c>
      <c r="D53">
        <v>52</v>
      </c>
      <c r="E53">
        <v>6240</v>
      </c>
      <c r="F53" t="s">
        <v>82</v>
      </c>
      <c r="H53" t="s">
        <v>83</v>
      </c>
      <c r="I53" t="s">
        <v>84</v>
      </c>
      <c r="J53" t="s">
        <v>85</v>
      </c>
      <c r="K53" t="s">
        <v>86</v>
      </c>
      <c r="L53" t="s">
        <v>87</v>
      </c>
      <c r="M53" t="s">
        <v>147</v>
      </c>
      <c r="N53" t="s">
        <v>89</v>
      </c>
      <c r="O53" t="s">
        <v>89</v>
      </c>
      <c r="P53" t="s">
        <v>90</v>
      </c>
      <c r="Q53" t="s">
        <v>131</v>
      </c>
      <c r="R53">
        <v>6</v>
      </c>
      <c r="S53">
        <v>6</v>
      </c>
      <c r="T53">
        <v>1934</v>
      </c>
      <c r="U53">
        <v>1950</v>
      </c>
      <c r="V53" t="s">
        <v>92</v>
      </c>
      <c r="W53" t="s">
        <v>93</v>
      </c>
      <c r="X53" t="s">
        <v>123</v>
      </c>
      <c r="Y53" t="s">
        <v>123</v>
      </c>
      <c r="Z53" t="s">
        <v>116</v>
      </c>
      <c r="AA53">
        <v>0</v>
      </c>
      <c r="AB53" t="s">
        <v>97</v>
      </c>
      <c r="AC53" t="s">
        <v>97</v>
      </c>
      <c r="AD53" t="s">
        <v>98</v>
      </c>
      <c r="AE53" t="s">
        <v>97</v>
      </c>
      <c r="AF53" t="s">
        <v>97</v>
      </c>
      <c r="AG53" t="s">
        <v>99</v>
      </c>
      <c r="AH53" t="s">
        <v>101</v>
      </c>
      <c r="AI53">
        <v>0</v>
      </c>
      <c r="AJ53" t="s">
        <v>101</v>
      </c>
      <c r="AK53">
        <v>0</v>
      </c>
      <c r="AL53">
        <v>816</v>
      </c>
      <c r="AM53">
        <v>816</v>
      </c>
      <c r="AN53" t="s">
        <v>102</v>
      </c>
      <c r="AO53" t="s">
        <v>97</v>
      </c>
      <c r="AP53" t="s">
        <v>104</v>
      </c>
      <c r="AQ53" t="s">
        <v>105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97</v>
      </c>
      <c r="BC53">
        <v>6</v>
      </c>
      <c r="BD53" t="s">
        <v>106</v>
      </c>
      <c r="BE53">
        <v>1</v>
      </c>
      <c r="BF53" t="s">
        <v>96</v>
      </c>
      <c r="BG53" t="s">
        <v>126</v>
      </c>
      <c r="BH53">
        <v>1985</v>
      </c>
      <c r="BI53" t="s">
        <v>101</v>
      </c>
      <c r="BJ53">
        <v>2</v>
      </c>
      <c r="BK53">
        <v>528</v>
      </c>
      <c r="BL53" t="s">
        <v>97</v>
      </c>
      <c r="BM53" t="s">
        <v>97</v>
      </c>
      <c r="BN53" t="s">
        <v>104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V53" t="s">
        <v>133</v>
      </c>
      <c r="BW53" t="s">
        <v>134</v>
      </c>
      <c r="BX53">
        <v>400</v>
      </c>
      <c r="BY53">
        <v>9</v>
      </c>
      <c r="BZ53">
        <v>2006</v>
      </c>
      <c r="CA53" t="s">
        <v>109</v>
      </c>
      <c r="CB53" t="s">
        <v>110</v>
      </c>
      <c r="CC53">
        <v>114500</v>
      </c>
    </row>
    <row r="54" spans="1:81" x14ac:dyDescent="0.3">
      <c r="A54">
        <v>53</v>
      </c>
      <c r="B54">
        <v>90</v>
      </c>
      <c r="C54" t="s">
        <v>141</v>
      </c>
      <c r="D54">
        <v>110</v>
      </c>
      <c r="E54">
        <v>8472</v>
      </c>
      <c r="F54" t="s">
        <v>173</v>
      </c>
      <c r="H54" t="s">
        <v>159</v>
      </c>
      <c r="I54" t="s">
        <v>174</v>
      </c>
      <c r="J54" t="s">
        <v>85</v>
      </c>
      <c r="K54" t="s">
        <v>121</v>
      </c>
      <c r="L54" t="s">
        <v>193</v>
      </c>
      <c r="M54" t="s">
        <v>175</v>
      </c>
      <c r="N54" t="s">
        <v>181</v>
      </c>
      <c r="O54" t="s">
        <v>89</v>
      </c>
      <c r="P54" t="s">
        <v>166</v>
      </c>
      <c r="Q54" t="s">
        <v>114</v>
      </c>
      <c r="R54">
        <v>5</v>
      </c>
      <c r="S54">
        <v>5</v>
      </c>
      <c r="T54">
        <v>1963</v>
      </c>
      <c r="U54">
        <v>1963</v>
      </c>
      <c r="V54" t="s">
        <v>92</v>
      </c>
      <c r="W54" t="s">
        <v>93</v>
      </c>
      <c r="X54" t="s">
        <v>123</v>
      </c>
      <c r="Y54" t="s">
        <v>123</v>
      </c>
      <c r="Z54" t="s">
        <v>116</v>
      </c>
      <c r="AA54">
        <v>0</v>
      </c>
      <c r="AB54" t="s">
        <v>146</v>
      </c>
      <c r="AC54" t="s">
        <v>97</v>
      </c>
      <c r="AD54" t="s">
        <v>117</v>
      </c>
      <c r="AE54" t="s">
        <v>96</v>
      </c>
      <c r="AF54" t="s">
        <v>97</v>
      </c>
      <c r="AG54" t="s">
        <v>96</v>
      </c>
      <c r="AH54" t="s">
        <v>171</v>
      </c>
      <c r="AI54">
        <v>104</v>
      </c>
      <c r="AJ54" t="s">
        <v>100</v>
      </c>
      <c r="AK54">
        <v>712</v>
      </c>
      <c r="AL54">
        <v>0</v>
      </c>
      <c r="AM54">
        <v>816</v>
      </c>
      <c r="AN54" t="s">
        <v>102</v>
      </c>
      <c r="AO54" t="s">
        <v>97</v>
      </c>
      <c r="AP54" t="s">
        <v>176</v>
      </c>
      <c r="AQ54" t="s">
        <v>105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97</v>
      </c>
      <c r="BC54">
        <v>5</v>
      </c>
      <c r="BD54" t="s">
        <v>106</v>
      </c>
      <c r="BE54">
        <v>0</v>
      </c>
      <c r="BG54" t="s">
        <v>168</v>
      </c>
      <c r="BH54">
        <v>1963</v>
      </c>
      <c r="BI54" t="s">
        <v>101</v>
      </c>
      <c r="BJ54">
        <v>2</v>
      </c>
      <c r="BK54">
        <v>516</v>
      </c>
      <c r="BL54" t="s">
        <v>97</v>
      </c>
      <c r="BM54" t="s">
        <v>97</v>
      </c>
      <c r="BN54" t="s">
        <v>104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5</v>
      </c>
      <c r="BZ54">
        <v>2010</v>
      </c>
      <c r="CA54" t="s">
        <v>109</v>
      </c>
      <c r="CB54" t="s">
        <v>110</v>
      </c>
      <c r="CC54">
        <v>110000</v>
      </c>
    </row>
    <row r="55" spans="1:81" x14ac:dyDescent="0.3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H55" t="s">
        <v>119</v>
      </c>
      <c r="I55" t="s">
        <v>194</v>
      </c>
      <c r="J55" t="s">
        <v>85</v>
      </c>
      <c r="K55" t="s">
        <v>86</v>
      </c>
      <c r="L55" t="s">
        <v>87</v>
      </c>
      <c r="M55" t="s">
        <v>112</v>
      </c>
      <c r="N55" t="s">
        <v>89</v>
      </c>
      <c r="O55" t="s">
        <v>89</v>
      </c>
      <c r="P55" t="s">
        <v>90</v>
      </c>
      <c r="Q55" t="s">
        <v>114</v>
      </c>
      <c r="R55">
        <v>9</v>
      </c>
      <c r="S55">
        <v>5</v>
      </c>
      <c r="T55">
        <v>1981</v>
      </c>
      <c r="U55">
        <v>1987</v>
      </c>
      <c r="V55" t="s">
        <v>92</v>
      </c>
      <c r="W55" t="s">
        <v>195</v>
      </c>
      <c r="X55" t="s">
        <v>154</v>
      </c>
      <c r="Y55" t="s">
        <v>124</v>
      </c>
      <c r="Z55" t="s">
        <v>116</v>
      </c>
      <c r="AA55">
        <v>0</v>
      </c>
      <c r="AB55" t="s">
        <v>96</v>
      </c>
      <c r="AC55" t="s">
        <v>97</v>
      </c>
      <c r="AD55" t="s">
        <v>117</v>
      </c>
      <c r="AE55" t="s">
        <v>103</v>
      </c>
      <c r="AF55" t="s">
        <v>97</v>
      </c>
      <c r="AG55" t="s">
        <v>96</v>
      </c>
      <c r="AH55" t="s">
        <v>100</v>
      </c>
      <c r="AI55">
        <v>1810</v>
      </c>
      <c r="AJ55" t="s">
        <v>101</v>
      </c>
      <c r="AK55">
        <v>0</v>
      </c>
      <c r="AL55">
        <v>32</v>
      </c>
      <c r="AM55">
        <v>1842</v>
      </c>
      <c r="AN55" t="s">
        <v>102</v>
      </c>
      <c r="AO55" t="s">
        <v>96</v>
      </c>
      <c r="AP55" t="s">
        <v>104</v>
      </c>
      <c r="AQ55" t="s">
        <v>105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96</v>
      </c>
      <c r="BC55">
        <v>5</v>
      </c>
      <c r="BD55" t="s">
        <v>106</v>
      </c>
      <c r="BE55">
        <v>1</v>
      </c>
      <c r="BF55" t="s">
        <v>96</v>
      </c>
      <c r="BG55" t="s">
        <v>107</v>
      </c>
      <c r="BH55">
        <v>1981</v>
      </c>
      <c r="BI55" t="s">
        <v>156</v>
      </c>
      <c r="BJ55">
        <v>3</v>
      </c>
      <c r="BK55">
        <v>894</v>
      </c>
      <c r="BL55" t="s">
        <v>97</v>
      </c>
      <c r="BM55" t="s">
        <v>97</v>
      </c>
      <c r="BN55" t="s">
        <v>104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11</v>
      </c>
      <c r="BZ55">
        <v>2006</v>
      </c>
      <c r="CA55" t="s">
        <v>109</v>
      </c>
      <c r="CB55" t="s">
        <v>110</v>
      </c>
      <c r="CC55">
        <v>385000</v>
      </c>
    </row>
    <row r="56" spans="1:81" x14ac:dyDescent="0.3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H56" t="s">
        <v>83</v>
      </c>
      <c r="I56" t="s">
        <v>174</v>
      </c>
      <c r="J56" t="s">
        <v>85</v>
      </c>
      <c r="K56" t="s">
        <v>86</v>
      </c>
      <c r="L56" t="s">
        <v>193</v>
      </c>
      <c r="M56" t="s">
        <v>270</v>
      </c>
      <c r="N56" t="s">
        <v>89</v>
      </c>
      <c r="O56" t="s">
        <v>89</v>
      </c>
      <c r="P56" t="s">
        <v>90</v>
      </c>
      <c r="Q56" t="s">
        <v>196</v>
      </c>
      <c r="R56">
        <v>5</v>
      </c>
      <c r="S56">
        <v>5</v>
      </c>
      <c r="T56">
        <v>1955</v>
      </c>
      <c r="U56">
        <v>1955</v>
      </c>
      <c r="V56" t="s">
        <v>92</v>
      </c>
      <c r="W56" t="s">
        <v>93</v>
      </c>
      <c r="X56" t="s">
        <v>115</v>
      </c>
      <c r="Y56" t="s">
        <v>115</v>
      </c>
      <c r="Z56" t="s">
        <v>116</v>
      </c>
      <c r="AA56">
        <v>0</v>
      </c>
      <c r="AB56" t="s">
        <v>97</v>
      </c>
      <c r="AC56" t="s">
        <v>97</v>
      </c>
      <c r="AD56" t="s">
        <v>117</v>
      </c>
      <c r="AE56" t="s">
        <v>97</v>
      </c>
      <c r="AF56" t="s">
        <v>97</v>
      </c>
      <c r="AG56" t="s">
        <v>99</v>
      </c>
      <c r="AH56" t="s">
        <v>118</v>
      </c>
      <c r="AI56">
        <v>384</v>
      </c>
      <c r="AJ56" t="s">
        <v>101</v>
      </c>
      <c r="AK56">
        <v>0</v>
      </c>
      <c r="AL56">
        <v>0</v>
      </c>
      <c r="AM56">
        <v>384</v>
      </c>
      <c r="AN56" t="s">
        <v>102</v>
      </c>
      <c r="AO56" t="s">
        <v>97</v>
      </c>
      <c r="AP56" t="s">
        <v>104</v>
      </c>
      <c r="AQ56" t="s">
        <v>105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97</v>
      </c>
      <c r="BC56">
        <v>6</v>
      </c>
      <c r="BD56" t="s">
        <v>145</v>
      </c>
      <c r="BE56">
        <v>1</v>
      </c>
      <c r="BF56" t="s">
        <v>97</v>
      </c>
      <c r="BG56" t="s">
        <v>126</v>
      </c>
      <c r="BH56">
        <v>1962</v>
      </c>
      <c r="BI56" t="s">
        <v>101</v>
      </c>
      <c r="BJ56">
        <v>2</v>
      </c>
      <c r="BK56">
        <v>572</v>
      </c>
      <c r="BL56" t="s">
        <v>97</v>
      </c>
      <c r="BM56" t="s">
        <v>97</v>
      </c>
      <c r="BN56" t="s">
        <v>104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V56" t="s">
        <v>133</v>
      </c>
      <c r="BX56">
        <v>0</v>
      </c>
      <c r="BY56">
        <v>2</v>
      </c>
      <c r="BZ56">
        <v>2007</v>
      </c>
      <c r="CA56" t="s">
        <v>109</v>
      </c>
      <c r="CB56" t="s">
        <v>110</v>
      </c>
      <c r="CC56">
        <v>130000</v>
      </c>
    </row>
    <row r="57" spans="1:81" x14ac:dyDescent="0.3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H57" t="s">
        <v>119</v>
      </c>
      <c r="I57" t="s">
        <v>84</v>
      </c>
      <c r="J57" t="s">
        <v>85</v>
      </c>
      <c r="K57" t="s">
        <v>86</v>
      </c>
      <c r="L57" t="s">
        <v>87</v>
      </c>
      <c r="M57" t="s">
        <v>270</v>
      </c>
      <c r="N57" t="s">
        <v>89</v>
      </c>
      <c r="O57" t="s">
        <v>89</v>
      </c>
      <c r="P57" t="s">
        <v>90</v>
      </c>
      <c r="Q57" t="s">
        <v>114</v>
      </c>
      <c r="R57">
        <v>6</v>
      </c>
      <c r="S57">
        <v>5</v>
      </c>
      <c r="T57">
        <v>1964</v>
      </c>
      <c r="U57">
        <v>1964</v>
      </c>
      <c r="V57" t="s">
        <v>92</v>
      </c>
      <c r="W57" t="s">
        <v>93</v>
      </c>
      <c r="X57" t="s">
        <v>139</v>
      </c>
      <c r="Y57" t="s">
        <v>160</v>
      </c>
      <c r="Z57" t="s">
        <v>95</v>
      </c>
      <c r="AA57">
        <v>272</v>
      </c>
      <c r="AB57" t="s">
        <v>97</v>
      </c>
      <c r="AC57" t="s">
        <v>97</v>
      </c>
      <c r="AD57" t="s">
        <v>117</v>
      </c>
      <c r="AE57" t="s">
        <v>97</v>
      </c>
      <c r="AF57" t="s">
        <v>97</v>
      </c>
      <c r="AG57" t="s">
        <v>99</v>
      </c>
      <c r="AH57" t="s">
        <v>140</v>
      </c>
      <c r="AI57">
        <v>490</v>
      </c>
      <c r="AJ57" t="s">
        <v>101</v>
      </c>
      <c r="AK57">
        <v>0</v>
      </c>
      <c r="AL57">
        <v>935</v>
      </c>
      <c r="AM57">
        <v>1425</v>
      </c>
      <c r="AN57" t="s">
        <v>102</v>
      </c>
      <c r="AO57" t="s">
        <v>96</v>
      </c>
      <c r="AP57" t="s">
        <v>104</v>
      </c>
      <c r="AQ57" t="s">
        <v>105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97</v>
      </c>
      <c r="BC57">
        <v>7</v>
      </c>
      <c r="BD57" t="s">
        <v>106</v>
      </c>
      <c r="BE57">
        <v>1</v>
      </c>
      <c r="BF57" t="s">
        <v>96</v>
      </c>
      <c r="BG57" t="s">
        <v>107</v>
      </c>
      <c r="BH57">
        <v>1964</v>
      </c>
      <c r="BI57" t="s">
        <v>108</v>
      </c>
      <c r="BJ57">
        <v>2</v>
      </c>
      <c r="BK57">
        <v>576</v>
      </c>
      <c r="BL57" t="s">
        <v>97</v>
      </c>
      <c r="BM57" t="s">
        <v>97</v>
      </c>
      <c r="BN57" t="s">
        <v>104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X57">
        <v>0</v>
      </c>
      <c r="BY57">
        <v>7</v>
      </c>
      <c r="BZ57">
        <v>2008</v>
      </c>
      <c r="CA57" t="s">
        <v>109</v>
      </c>
      <c r="CB57" t="s">
        <v>110</v>
      </c>
      <c r="CC57">
        <v>180500</v>
      </c>
    </row>
    <row r="58" spans="1:81" x14ac:dyDescent="0.3">
      <c r="A58">
        <v>57</v>
      </c>
      <c r="B58">
        <v>160</v>
      </c>
      <c r="C58" t="s">
        <v>191</v>
      </c>
      <c r="D58">
        <v>24</v>
      </c>
      <c r="E58">
        <v>2645</v>
      </c>
      <c r="F58" t="s">
        <v>82</v>
      </c>
      <c r="G58" t="s">
        <v>82</v>
      </c>
      <c r="H58" t="s">
        <v>83</v>
      </c>
      <c r="I58" t="s">
        <v>84</v>
      </c>
      <c r="J58" t="s">
        <v>85</v>
      </c>
      <c r="K58" t="s">
        <v>86</v>
      </c>
      <c r="L58" t="s">
        <v>87</v>
      </c>
      <c r="M58" t="s">
        <v>135</v>
      </c>
      <c r="N58" t="s">
        <v>89</v>
      </c>
      <c r="O58" t="s">
        <v>89</v>
      </c>
      <c r="P58" t="s">
        <v>197</v>
      </c>
      <c r="Q58" t="s">
        <v>91</v>
      </c>
      <c r="R58">
        <v>8</v>
      </c>
      <c r="S58">
        <v>5</v>
      </c>
      <c r="T58">
        <v>1999</v>
      </c>
      <c r="U58">
        <v>2000</v>
      </c>
      <c r="V58" t="s">
        <v>92</v>
      </c>
      <c r="W58" t="s">
        <v>93</v>
      </c>
      <c r="X58" t="s">
        <v>115</v>
      </c>
      <c r="Y58" t="s">
        <v>115</v>
      </c>
      <c r="Z58" t="s">
        <v>95</v>
      </c>
      <c r="AA58">
        <v>456</v>
      </c>
      <c r="AB58" t="s">
        <v>96</v>
      </c>
      <c r="AC58" t="s">
        <v>97</v>
      </c>
      <c r="AD58" t="s">
        <v>98</v>
      </c>
      <c r="AE58" t="s">
        <v>96</v>
      </c>
      <c r="AF58" t="s">
        <v>97</v>
      </c>
      <c r="AG58" t="s">
        <v>99</v>
      </c>
      <c r="AH58" t="s">
        <v>100</v>
      </c>
      <c r="AI58">
        <v>649</v>
      </c>
      <c r="AJ58" t="s">
        <v>101</v>
      </c>
      <c r="AK58">
        <v>0</v>
      </c>
      <c r="AL58">
        <v>321</v>
      </c>
      <c r="AM58">
        <v>970</v>
      </c>
      <c r="AN58" t="s">
        <v>102</v>
      </c>
      <c r="AO58" t="s">
        <v>103</v>
      </c>
      <c r="AP58" t="s">
        <v>104</v>
      </c>
      <c r="AQ58" t="s">
        <v>105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96</v>
      </c>
      <c r="BC58">
        <v>7</v>
      </c>
      <c r="BD58" t="s">
        <v>106</v>
      </c>
      <c r="BE58">
        <v>0</v>
      </c>
      <c r="BG58" t="s">
        <v>107</v>
      </c>
      <c r="BH58">
        <v>1999</v>
      </c>
      <c r="BI58" t="s">
        <v>156</v>
      </c>
      <c r="BJ58">
        <v>2</v>
      </c>
      <c r="BK58">
        <v>480</v>
      </c>
      <c r="BL58" t="s">
        <v>97</v>
      </c>
      <c r="BM58" t="s">
        <v>97</v>
      </c>
      <c r="BN58" t="s">
        <v>104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X58">
        <v>0</v>
      </c>
      <c r="BY58">
        <v>8</v>
      </c>
      <c r="BZ58">
        <v>2009</v>
      </c>
      <c r="CA58" t="s">
        <v>109</v>
      </c>
      <c r="CB58" t="s">
        <v>127</v>
      </c>
      <c r="CC58">
        <v>172500</v>
      </c>
    </row>
    <row r="59" spans="1:81" x14ac:dyDescent="0.3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H59" t="s">
        <v>119</v>
      </c>
      <c r="I59" t="s">
        <v>84</v>
      </c>
      <c r="J59" t="s">
        <v>85</v>
      </c>
      <c r="K59" t="s">
        <v>121</v>
      </c>
      <c r="L59" t="s">
        <v>87</v>
      </c>
      <c r="M59" t="s">
        <v>88</v>
      </c>
      <c r="N59" t="s">
        <v>89</v>
      </c>
      <c r="O59" t="s">
        <v>89</v>
      </c>
      <c r="P59" t="s">
        <v>90</v>
      </c>
      <c r="Q59" t="s">
        <v>91</v>
      </c>
      <c r="R59">
        <v>7</v>
      </c>
      <c r="S59">
        <v>5</v>
      </c>
      <c r="T59">
        <v>2004</v>
      </c>
      <c r="U59">
        <v>2004</v>
      </c>
      <c r="V59" t="s">
        <v>92</v>
      </c>
      <c r="W59" t="s">
        <v>93</v>
      </c>
      <c r="X59" t="s">
        <v>94</v>
      </c>
      <c r="Y59" t="s">
        <v>94</v>
      </c>
      <c r="Z59" t="s">
        <v>116</v>
      </c>
      <c r="AA59">
        <v>0</v>
      </c>
      <c r="AB59" t="s">
        <v>96</v>
      </c>
      <c r="AC59" t="s">
        <v>97</v>
      </c>
      <c r="AD59" t="s">
        <v>98</v>
      </c>
      <c r="AE59" t="s">
        <v>96</v>
      </c>
      <c r="AF59" t="s">
        <v>97</v>
      </c>
      <c r="AG59" t="s">
        <v>99</v>
      </c>
      <c r="AH59" t="s">
        <v>101</v>
      </c>
      <c r="AI59">
        <v>0</v>
      </c>
      <c r="AJ59" t="s">
        <v>101</v>
      </c>
      <c r="AK59">
        <v>0</v>
      </c>
      <c r="AL59">
        <v>860</v>
      </c>
      <c r="AM59">
        <v>860</v>
      </c>
      <c r="AN59" t="s">
        <v>102</v>
      </c>
      <c r="AO59" t="s">
        <v>103</v>
      </c>
      <c r="AP59" t="s">
        <v>104</v>
      </c>
      <c r="AQ59" t="s">
        <v>105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96</v>
      </c>
      <c r="BC59">
        <v>7</v>
      </c>
      <c r="BD59" t="s">
        <v>106</v>
      </c>
      <c r="BE59">
        <v>0</v>
      </c>
      <c r="BG59" t="s">
        <v>107</v>
      </c>
      <c r="BH59">
        <v>2004</v>
      </c>
      <c r="BI59" t="s">
        <v>108</v>
      </c>
      <c r="BJ59">
        <v>2</v>
      </c>
      <c r="BK59">
        <v>565</v>
      </c>
      <c r="BL59" t="s">
        <v>97</v>
      </c>
      <c r="BM59" t="s">
        <v>97</v>
      </c>
      <c r="BN59" t="s">
        <v>104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8</v>
      </c>
      <c r="BZ59">
        <v>2006</v>
      </c>
      <c r="CA59" t="s">
        <v>109</v>
      </c>
      <c r="CB59" t="s">
        <v>110</v>
      </c>
      <c r="CC59">
        <v>196500</v>
      </c>
    </row>
    <row r="60" spans="1:81" x14ac:dyDescent="0.3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H60" t="s">
        <v>159</v>
      </c>
      <c r="I60" t="s">
        <v>198</v>
      </c>
      <c r="J60" t="s">
        <v>85</v>
      </c>
      <c r="K60" t="s">
        <v>165</v>
      </c>
      <c r="L60" t="s">
        <v>87</v>
      </c>
      <c r="M60" t="s">
        <v>199</v>
      </c>
      <c r="N60" t="s">
        <v>89</v>
      </c>
      <c r="O60" t="s">
        <v>89</v>
      </c>
      <c r="P60" t="s">
        <v>90</v>
      </c>
      <c r="Q60" t="s">
        <v>91</v>
      </c>
      <c r="R60">
        <v>10</v>
      </c>
      <c r="S60">
        <v>5</v>
      </c>
      <c r="T60">
        <v>2006</v>
      </c>
      <c r="U60">
        <v>2006</v>
      </c>
      <c r="V60" t="s">
        <v>151</v>
      </c>
      <c r="W60" t="s">
        <v>93</v>
      </c>
      <c r="X60" t="s">
        <v>94</v>
      </c>
      <c r="Y60" t="s">
        <v>94</v>
      </c>
      <c r="Z60" t="s">
        <v>95</v>
      </c>
      <c r="AA60">
        <v>1031</v>
      </c>
      <c r="AB60" t="s">
        <v>103</v>
      </c>
      <c r="AC60" t="s">
        <v>97</v>
      </c>
      <c r="AD60" t="s">
        <v>98</v>
      </c>
      <c r="AE60" t="s">
        <v>103</v>
      </c>
      <c r="AF60" t="s">
        <v>97</v>
      </c>
      <c r="AG60" t="s">
        <v>96</v>
      </c>
      <c r="AH60" t="s">
        <v>101</v>
      </c>
      <c r="AI60">
        <v>0</v>
      </c>
      <c r="AJ60" t="s">
        <v>101</v>
      </c>
      <c r="AK60">
        <v>0</v>
      </c>
      <c r="AL60">
        <v>1410</v>
      </c>
      <c r="AM60">
        <v>1410</v>
      </c>
      <c r="AN60" t="s">
        <v>102</v>
      </c>
      <c r="AO60" t="s">
        <v>103</v>
      </c>
      <c r="AP60" t="s">
        <v>104</v>
      </c>
      <c r="AQ60" t="s">
        <v>105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96</v>
      </c>
      <c r="BC60">
        <v>10</v>
      </c>
      <c r="BD60" t="s">
        <v>106</v>
      </c>
      <c r="BE60">
        <v>1</v>
      </c>
      <c r="BF60" t="s">
        <v>96</v>
      </c>
      <c r="BG60" t="s">
        <v>155</v>
      </c>
      <c r="BH60">
        <v>2006</v>
      </c>
      <c r="BI60" t="s">
        <v>156</v>
      </c>
      <c r="BJ60">
        <v>3</v>
      </c>
      <c r="BK60">
        <v>641</v>
      </c>
      <c r="BL60" t="s">
        <v>97</v>
      </c>
      <c r="BM60" t="s">
        <v>97</v>
      </c>
      <c r="BN60" t="s">
        <v>104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X60">
        <v>0</v>
      </c>
      <c r="BY60">
        <v>10</v>
      </c>
      <c r="BZ60">
        <v>2006</v>
      </c>
      <c r="CA60" t="s">
        <v>157</v>
      </c>
      <c r="CB60" t="s">
        <v>158</v>
      </c>
      <c r="CC60">
        <v>438780</v>
      </c>
    </row>
    <row r="61" spans="1:81" x14ac:dyDescent="0.3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H61" t="s">
        <v>83</v>
      </c>
      <c r="I61" t="s">
        <v>174</v>
      </c>
      <c r="J61" t="s">
        <v>85</v>
      </c>
      <c r="K61" t="s">
        <v>86</v>
      </c>
      <c r="L61" t="s">
        <v>87</v>
      </c>
      <c r="M61" t="s">
        <v>88</v>
      </c>
      <c r="N61" t="s">
        <v>89</v>
      </c>
      <c r="O61" t="s">
        <v>89</v>
      </c>
      <c r="P61" t="s">
        <v>90</v>
      </c>
      <c r="Q61" t="s">
        <v>114</v>
      </c>
      <c r="R61">
        <v>5</v>
      </c>
      <c r="S61">
        <v>7</v>
      </c>
      <c r="T61">
        <v>1972</v>
      </c>
      <c r="U61">
        <v>1972</v>
      </c>
      <c r="V61" t="s">
        <v>92</v>
      </c>
      <c r="W61" t="s">
        <v>93</v>
      </c>
      <c r="X61" t="s">
        <v>139</v>
      </c>
      <c r="Y61" t="s">
        <v>139</v>
      </c>
      <c r="Z61" t="s">
        <v>116</v>
      </c>
      <c r="AA61">
        <v>0</v>
      </c>
      <c r="AB61" t="s">
        <v>97</v>
      </c>
      <c r="AC61" t="s">
        <v>97</v>
      </c>
      <c r="AD61" t="s">
        <v>117</v>
      </c>
      <c r="AE61" t="s">
        <v>97</v>
      </c>
      <c r="AF61" t="s">
        <v>97</v>
      </c>
      <c r="AG61" t="s">
        <v>129</v>
      </c>
      <c r="AH61" t="s">
        <v>118</v>
      </c>
      <c r="AI61">
        <v>632</v>
      </c>
      <c r="AJ61" t="s">
        <v>101</v>
      </c>
      <c r="AK61">
        <v>0</v>
      </c>
      <c r="AL61">
        <v>148</v>
      </c>
      <c r="AM61">
        <v>780</v>
      </c>
      <c r="AN61" t="s">
        <v>102</v>
      </c>
      <c r="AO61" t="s">
        <v>103</v>
      </c>
      <c r="AP61" t="s">
        <v>104</v>
      </c>
      <c r="AQ61" t="s">
        <v>105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97</v>
      </c>
      <c r="BC61">
        <v>4</v>
      </c>
      <c r="BD61" t="s">
        <v>106</v>
      </c>
      <c r="BE61">
        <v>0</v>
      </c>
      <c r="BG61" t="s">
        <v>126</v>
      </c>
      <c r="BH61">
        <v>1973</v>
      </c>
      <c r="BI61" t="s">
        <v>101</v>
      </c>
      <c r="BJ61">
        <v>1</v>
      </c>
      <c r="BK61">
        <v>352</v>
      </c>
      <c r="BL61" t="s">
        <v>97</v>
      </c>
      <c r="BM61" t="s">
        <v>97</v>
      </c>
      <c r="BN61" t="s">
        <v>104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V61" t="s">
        <v>133</v>
      </c>
      <c r="BX61">
        <v>0</v>
      </c>
      <c r="BY61">
        <v>1</v>
      </c>
      <c r="BZ61">
        <v>2008</v>
      </c>
      <c r="CA61" t="s">
        <v>109</v>
      </c>
      <c r="CB61" t="s">
        <v>110</v>
      </c>
      <c r="CC61">
        <v>124900</v>
      </c>
    </row>
    <row r="62" spans="1:81" x14ac:dyDescent="0.3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H62" t="s">
        <v>83</v>
      </c>
      <c r="I62" t="s">
        <v>84</v>
      </c>
      <c r="J62" t="s">
        <v>85</v>
      </c>
      <c r="K62" t="s">
        <v>86</v>
      </c>
      <c r="L62" t="s">
        <v>87</v>
      </c>
      <c r="M62" t="s">
        <v>169</v>
      </c>
      <c r="N62" t="s">
        <v>170</v>
      </c>
      <c r="O62" t="s">
        <v>89</v>
      </c>
      <c r="P62" t="s">
        <v>90</v>
      </c>
      <c r="Q62" t="s">
        <v>114</v>
      </c>
      <c r="R62">
        <v>6</v>
      </c>
      <c r="S62">
        <v>5</v>
      </c>
      <c r="T62">
        <v>2004</v>
      </c>
      <c r="U62">
        <v>2004</v>
      </c>
      <c r="V62" t="s">
        <v>92</v>
      </c>
      <c r="W62" t="s">
        <v>93</v>
      </c>
      <c r="X62" t="s">
        <v>94</v>
      </c>
      <c r="Y62" t="s">
        <v>94</v>
      </c>
      <c r="Z62" t="s">
        <v>116</v>
      </c>
      <c r="AA62">
        <v>0</v>
      </c>
      <c r="AB62" t="s">
        <v>97</v>
      </c>
      <c r="AC62" t="s">
        <v>97</v>
      </c>
      <c r="AD62" t="s">
        <v>98</v>
      </c>
      <c r="AE62" t="s">
        <v>96</v>
      </c>
      <c r="AF62" t="s">
        <v>97</v>
      </c>
      <c r="AG62" t="s">
        <v>99</v>
      </c>
      <c r="AH62" t="s">
        <v>118</v>
      </c>
      <c r="AI62">
        <v>941</v>
      </c>
      <c r="AJ62" t="s">
        <v>101</v>
      </c>
      <c r="AK62">
        <v>0</v>
      </c>
      <c r="AL62">
        <v>217</v>
      </c>
      <c r="AM62">
        <v>1158</v>
      </c>
      <c r="AN62" t="s">
        <v>102</v>
      </c>
      <c r="AO62" t="s">
        <v>103</v>
      </c>
      <c r="AP62" t="s">
        <v>104</v>
      </c>
      <c r="AQ62" t="s">
        <v>105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96</v>
      </c>
      <c r="BC62">
        <v>5</v>
      </c>
      <c r="BD62" t="s">
        <v>106</v>
      </c>
      <c r="BE62">
        <v>0</v>
      </c>
      <c r="BG62" t="s">
        <v>126</v>
      </c>
      <c r="BH62">
        <v>2006</v>
      </c>
      <c r="BI62" t="s">
        <v>101</v>
      </c>
      <c r="BJ62">
        <v>2</v>
      </c>
      <c r="BK62">
        <v>576</v>
      </c>
      <c r="BL62" t="s">
        <v>97</v>
      </c>
      <c r="BM62" t="s">
        <v>97</v>
      </c>
      <c r="BN62" t="s">
        <v>104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5</v>
      </c>
      <c r="BZ62">
        <v>2006</v>
      </c>
      <c r="CA62" t="s">
        <v>157</v>
      </c>
      <c r="CB62" t="s">
        <v>158</v>
      </c>
      <c r="CC62">
        <v>158000</v>
      </c>
    </row>
    <row r="63" spans="1:81" x14ac:dyDescent="0.3">
      <c r="A63">
        <v>62</v>
      </c>
      <c r="B63">
        <v>75</v>
      </c>
      <c r="C63" t="s">
        <v>141</v>
      </c>
      <c r="D63">
        <v>60</v>
      </c>
      <c r="E63">
        <v>7200</v>
      </c>
      <c r="F63" t="s">
        <v>82</v>
      </c>
      <c r="H63" t="s">
        <v>83</v>
      </c>
      <c r="I63" t="s">
        <v>84</v>
      </c>
      <c r="J63" t="s">
        <v>85</v>
      </c>
      <c r="K63" t="s">
        <v>86</v>
      </c>
      <c r="L63" t="s">
        <v>87</v>
      </c>
      <c r="M63" t="s">
        <v>175</v>
      </c>
      <c r="N63" t="s">
        <v>89</v>
      </c>
      <c r="O63" t="s">
        <v>89</v>
      </c>
      <c r="P63" t="s">
        <v>90</v>
      </c>
      <c r="Q63" t="s">
        <v>200</v>
      </c>
      <c r="R63">
        <v>5</v>
      </c>
      <c r="S63">
        <v>7</v>
      </c>
      <c r="T63">
        <v>1920</v>
      </c>
      <c r="U63">
        <v>1996</v>
      </c>
      <c r="V63" t="s">
        <v>92</v>
      </c>
      <c r="W63" t="s">
        <v>93</v>
      </c>
      <c r="X63" t="s">
        <v>115</v>
      </c>
      <c r="Y63" t="s">
        <v>115</v>
      </c>
      <c r="Z63" t="s">
        <v>116</v>
      </c>
      <c r="AA63">
        <v>0</v>
      </c>
      <c r="AB63" t="s">
        <v>97</v>
      </c>
      <c r="AC63" t="s">
        <v>97</v>
      </c>
      <c r="AD63" t="s">
        <v>125</v>
      </c>
      <c r="AE63" t="s">
        <v>97</v>
      </c>
      <c r="AF63" t="s">
        <v>146</v>
      </c>
      <c r="AG63" t="s">
        <v>99</v>
      </c>
      <c r="AH63" t="s">
        <v>101</v>
      </c>
      <c r="AI63">
        <v>0</v>
      </c>
      <c r="AJ63" t="s">
        <v>101</v>
      </c>
      <c r="AK63">
        <v>0</v>
      </c>
      <c r="AL63">
        <v>530</v>
      </c>
      <c r="AM63">
        <v>530</v>
      </c>
      <c r="AN63" t="s">
        <v>102</v>
      </c>
      <c r="AO63" t="s">
        <v>97</v>
      </c>
      <c r="AP63" t="s">
        <v>176</v>
      </c>
      <c r="AQ63" t="s">
        <v>105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146</v>
      </c>
      <c r="BC63">
        <v>6</v>
      </c>
      <c r="BD63" t="s">
        <v>106</v>
      </c>
      <c r="BE63">
        <v>0</v>
      </c>
      <c r="BG63" t="s">
        <v>126</v>
      </c>
      <c r="BH63">
        <v>1935</v>
      </c>
      <c r="BI63" t="s">
        <v>101</v>
      </c>
      <c r="BJ63">
        <v>1</v>
      </c>
      <c r="BK63">
        <v>288</v>
      </c>
      <c r="BL63" t="s">
        <v>97</v>
      </c>
      <c r="BM63" t="s">
        <v>97</v>
      </c>
      <c r="BN63" t="s">
        <v>176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X63">
        <v>0</v>
      </c>
      <c r="BY63">
        <v>3</v>
      </c>
      <c r="BZ63">
        <v>2007</v>
      </c>
      <c r="CA63" t="s">
        <v>109</v>
      </c>
      <c r="CB63" t="s">
        <v>110</v>
      </c>
      <c r="CC63">
        <v>101000</v>
      </c>
    </row>
    <row r="64" spans="1:81" x14ac:dyDescent="0.3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H64" t="s">
        <v>119</v>
      </c>
      <c r="I64" t="s">
        <v>84</v>
      </c>
      <c r="J64" t="s">
        <v>85</v>
      </c>
      <c r="K64" t="s">
        <v>86</v>
      </c>
      <c r="L64" t="s">
        <v>87</v>
      </c>
      <c r="M64" t="s">
        <v>153</v>
      </c>
      <c r="N64" t="s">
        <v>89</v>
      </c>
      <c r="O64" t="s">
        <v>89</v>
      </c>
      <c r="P64" t="s">
        <v>178</v>
      </c>
      <c r="Q64" t="s">
        <v>114</v>
      </c>
      <c r="R64">
        <v>8</v>
      </c>
      <c r="S64">
        <v>5</v>
      </c>
      <c r="T64">
        <v>2006</v>
      </c>
      <c r="U64">
        <v>2006</v>
      </c>
      <c r="V64" t="s">
        <v>92</v>
      </c>
      <c r="W64" t="s">
        <v>93</v>
      </c>
      <c r="X64" t="s">
        <v>94</v>
      </c>
      <c r="Y64" t="s">
        <v>94</v>
      </c>
      <c r="Z64" t="s">
        <v>136</v>
      </c>
      <c r="AA64">
        <v>178</v>
      </c>
      <c r="AB64" t="s">
        <v>96</v>
      </c>
      <c r="AC64" t="s">
        <v>97</v>
      </c>
      <c r="AD64" t="s">
        <v>98</v>
      </c>
      <c r="AE64" t="s">
        <v>96</v>
      </c>
      <c r="AF64" t="s">
        <v>96</v>
      </c>
      <c r="AG64" t="s">
        <v>120</v>
      </c>
      <c r="AH64" t="s">
        <v>100</v>
      </c>
      <c r="AI64">
        <v>24</v>
      </c>
      <c r="AJ64" t="s">
        <v>101</v>
      </c>
      <c r="AK64">
        <v>0</v>
      </c>
      <c r="AL64">
        <v>1346</v>
      </c>
      <c r="AM64">
        <v>1370</v>
      </c>
      <c r="AN64" t="s">
        <v>102</v>
      </c>
      <c r="AO64" t="s">
        <v>103</v>
      </c>
      <c r="AP64" t="s">
        <v>104</v>
      </c>
      <c r="AQ64" t="s">
        <v>105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96</v>
      </c>
      <c r="BC64">
        <v>6</v>
      </c>
      <c r="BD64" t="s">
        <v>106</v>
      </c>
      <c r="BE64">
        <v>1</v>
      </c>
      <c r="BF64" t="s">
        <v>96</v>
      </c>
      <c r="BG64" t="s">
        <v>107</v>
      </c>
      <c r="BH64">
        <v>2006</v>
      </c>
      <c r="BI64" t="s">
        <v>108</v>
      </c>
      <c r="BJ64">
        <v>2</v>
      </c>
      <c r="BK64">
        <v>484</v>
      </c>
      <c r="BL64" t="s">
        <v>97</v>
      </c>
      <c r="BM64" t="s">
        <v>97</v>
      </c>
      <c r="BN64" t="s">
        <v>104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10</v>
      </c>
      <c r="BZ64">
        <v>2007</v>
      </c>
      <c r="CA64" t="s">
        <v>109</v>
      </c>
      <c r="CB64" t="s">
        <v>110</v>
      </c>
      <c r="CC64">
        <v>202500</v>
      </c>
    </row>
    <row r="65" spans="1:81" x14ac:dyDescent="0.3">
      <c r="A65">
        <v>64</v>
      </c>
      <c r="B65">
        <v>70</v>
      </c>
      <c r="C65" t="s">
        <v>141</v>
      </c>
      <c r="D65">
        <v>50</v>
      </c>
      <c r="E65">
        <v>10300</v>
      </c>
      <c r="F65" t="s">
        <v>82</v>
      </c>
      <c r="H65" t="s">
        <v>119</v>
      </c>
      <c r="I65" t="s">
        <v>174</v>
      </c>
      <c r="J65" t="s">
        <v>85</v>
      </c>
      <c r="K65" t="s">
        <v>86</v>
      </c>
      <c r="L65" t="s">
        <v>87</v>
      </c>
      <c r="M65" t="s">
        <v>142</v>
      </c>
      <c r="N65" t="s">
        <v>201</v>
      </c>
      <c r="O65" t="s">
        <v>113</v>
      </c>
      <c r="P65" t="s">
        <v>90</v>
      </c>
      <c r="Q65" t="s">
        <v>91</v>
      </c>
      <c r="R65">
        <v>7</v>
      </c>
      <c r="S65">
        <v>6</v>
      </c>
      <c r="T65">
        <v>1921</v>
      </c>
      <c r="U65">
        <v>1950</v>
      </c>
      <c r="V65" t="s">
        <v>92</v>
      </c>
      <c r="W65" t="s">
        <v>93</v>
      </c>
      <c r="X65" t="s">
        <v>202</v>
      </c>
      <c r="Y65" t="s">
        <v>202</v>
      </c>
      <c r="Z65" t="s">
        <v>116</v>
      </c>
      <c r="AA65">
        <v>0</v>
      </c>
      <c r="AB65" t="s">
        <v>97</v>
      </c>
      <c r="AC65" t="s">
        <v>97</v>
      </c>
      <c r="AD65" t="s">
        <v>125</v>
      </c>
      <c r="AE65" t="s">
        <v>97</v>
      </c>
      <c r="AF65" t="s">
        <v>97</v>
      </c>
      <c r="AG65" t="s">
        <v>99</v>
      </c>
      <c r="AH65" t="s">
        <v>101</v>
      </c>
      <c r="AI65">
        <v>0</v>
      </c>
      <c r="AJ65" t="s">
        <v>101</v>
      </c>
      <c r="AK65">
        <v>0</v>
      </c>
      <c r="AL65">
        <v>576</v>
      </c>
      <c r="AM65">
        <v>576</v>
      </c>
      <c r="AN65" t="s">
        <v>102</v>
      </c>
      <c r="AO65" t="s">
        <v>96</v>
      </c>
      <c r="AP65" t="s">
        <v>104</v>
      </c>
      <c r="AQ65" t="s">
        <v>105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97</v>
      </c>
      <c r="BC65">
        <v>9</v>
      </c>
      <c r="BD65" t="s">
        <v>106</v>
      </c>
      <c r="BE65">
        <v>0</v>
      </c>
      <c r="BG65" t="s">
        <v>126</v>
      </c>
      <c r="BH65">
        <v>1990</v>
      </c>
      <c r="BI65" t="s">
        <v>101</v>
      </c>
      <c r="BJ65">
        <v>2</v>
      </c>
      <c r="BK65">
        <v>480</v>
      </c>
      <c r="BL65" t="s">
        <v>97</v>
      </c>
      <c r="BM65" t="s">
        <v>97</v>
      </c>
      <c r="BN65" t="s">
        <v>104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V65" t="s">
        <v>164</v>
      </c>
      <c r="BX65">
        <v>0</v>
      </c>
      <c r="BY65">
        <v>4</v>
      </c>
      <c r="BZ65">
        <v>2010</v>
      </c>
      <c r="CA65" t="s">
        <v>109</v>
      </c>
      <c r="CB65" t="s">
        <v>110</v>
      </c>
      <c r="CC65">
        <v>140000</v>
      </c>
    </row>
    <row r="66" spans="1:81" x14ac:dyDescent="0.3">
      <c r="A66">
        <v>65</v>
      </c>
      <c r="B66">
        <v>60</v>
      </c>
      <c r="C66" t="s">
        <v>81</v>
      </c>
      <c r="E66">
        <v>9375</v>
      </c>
      <c r="F66" t="s">
        <v>82</v>
      </c>
      <c r="H66" t="s">
        <v>83</v>
      </c>
      <c r="I66" t="s">
        <v>84</v>
      </c>
      <c r="J66" t="s">
        <v>85</v>
      </c>
      <c r="K66" t="s">
        <v>86</v>
      </c>
      <c r="L66" t="s">
        <v>87</v>
      </c>
      <c r="M66" t="s">
        <v>88</v>
      </c>
      <c r="N66" t="s">
        <v>89</v>
      </c>
      <c r="O66" t="s">
        <v>89</v>
      </c>
      <c r="P66" t="s">
        <v>90</v>
      </c>
      <c r="Q66" t="s">
        <v>91</v>
      </c>
      <c r="R66">
        <v>7</v>
      </c>
      <c r="S66">
        <v>5</v>
      </c>
      <c r="T66">
        <v>1997</v>
      </c>
      <c r="U66">
        <v>1998</v>
      </c>
      <c r="V66" t="s">
        <v>92</v>
      </c>
      <c r="W66" t="s">
        <v>93</v>
      </c>
      <c r="X66" t="s">
        <v>94</v>
      </c>
      <c r="Y66" t="s">
        <v>94</v>
      </c>
      <c r="Z66" t="s">
        <v>95</v>
      </c>
      <c r="AA66">
        <v>573</v>
      </c>
      <c r="AB66" t="s">
        <v>97</v>
      </c>
      <c r="AC66" t="s">
        <v>97</v>
      </c>
      <c r="AD66" t="s">
        <v>98</v>
      </c>
      <c r="AE66" t="s">
        <v>96</v>
      </c>
      <c r="AF66" t="s">
        <v>97</v>
      </c>
      <c r="AG66" t="s">
        <v>99</v>
      </c>
      <c r="AH66" t="s">
        <v>100</v>
      </c>
      <c r="AI66">
        <v>739</v>
      </c>
      <c r="AJ66" t="s">
        <v>101</v>
      </c>
      <c r="AK66">
        <v>0</v>
      </c>
      <c r="AL66">
        <v>318</v>
      </c>
      <c r="AM66">
        <v>1057</v>
      </c>
      <c r="AN66" t="s">
        <v>102</v>
      </c>
      <c r="AO66" t="s">
        <v>103</v>
      </c>
      <c r="AP66" t="s">
        <v>104</v>
      </c>
      <c r="AQ66" t="s">
        <v>105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96</v>
      </c>
      <c r="BC66">
        <v>8</v>
      </c>
      <c r="BD66" t="s">
        <v>106</v>
      </c>
      <c r="BE66">
        <v>0</v>
      </c>
      <c r="BG66" t="s">
        <v>107</v>
      </c>
      <c r="BH66">
        <v>1998</v>
      </c>
      <c r="BI66" t="s">
        <v>108</v>
      </c>
      <c r="BJ66">
        <v>2</v>
      </c>
      <c r="BK66">
        <v>645</v>
      </c>
      <c r="BL66" t="s">
        <v>97</v>
      </c>
      <c r="BM66" t="s">
        <v>97</v>
      </c>
      <c r="BN66" t="s">
        <v>104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V66" t="s">
        <v>164</v>
      </c>
      <c r="BX66">
        <v>0</v>
      </c>
      <c r="BY66">
        <v>2</v>
      </c>
      <c r="BZ66">
        <v>2009</v>
      </c>
      <c r="CA66" t="s">
        <v>109</v>
      </c>
      <c r="CB66" t="s">
        <v>110</v>
      </c>
      <c r="CC66">
        <v>219500</v>
      </c>
    </row>
    <row r="67" spans="1:81" x14ac:dyDescent="0.3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87</v>
      </c>
      <c r="M67" t="s">
        <v>153</v>
      </c>
      <c r="N67" t="s">
        <v>89</v>
      </c>
      <c r="O67" t="s">
        <v>89</v>
      </c>
      <c r="P67" t="s">
        <v>90</v>
      </c>
      <c r="Q67" t="s">
        <v>91</v>
      </c>
      <c r="R67">
        <v>8</v>
      </c>
      <c r="S67">
        <v>5</v>
      </c>
      <c r="T67">
        <v>2004</v>
      </c>
      <c r="U67">
        <v>2005</v>
      </c>
      <c r="V67" t="s">
        <v>92</v>
      </c>
      <c r="W67" t="s">
        <v>93</v>
      </c>
      <c r="X67" t="s">
        <v>94</v>
      </c>
      <c r="Y67" t="s">
        <v>94</v>
      </c>
      <c r="Z67" t="s">
        <v>95</v>
      </c>
      <c r="AA67">
        <v>344</v>
      </c>
      <c r="AB67" t="s">
        <v>96</v>
      </c>
      <c r="AC67" t="s">
        <v>97</v>
      </c>
      <c r="AD67" t="s">
        <v>98</v>
      </c>
      <c r="AE67" t="s">
        <v>103</v>
      </c>
      <c r="AF67" t="s">
        <v>97</v>
      </c>
      <c r="AG67" t="s">
        <v>129</v>
      </c>
      <c r="AH67" t="s">
        <v>101</v>
      </c>
      <c r="AI67">
        <v>0</v>
      </c>
      <c r="AJ67" t="s">
        <v>101</v>
      </c>
      <c r="AK67">
        <v>0</v>
      </c>
      <c r="AL67">
        <v>1143</v>
      </c>
      <c r="AM67">
        <v>1143</v>
      </c>
      <c r="AN67" t="s">
        <v>102</v>
      </c>
      <c r="AO67" t="s">
        <v>103</v>
      </c>
      <c r="AP67" t="s">
        <v>104</v>
      </c>
      <c r="AQ67" t="s">
        <v>105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96</v>
      </c>
      <c r="BC67">
        <v>9</v>
      </c>
      <c r="BD67" t="s">
        <v>106</v>
      </c>
      <c r="BE67">
        <v>1</v>
      </c>
      <c r="BF67" t="s">
        <v>96</v>
      </c>
      <c r="BG67" t="s">
        <v>155</v>
      </c>
      <c r="BH67">
        <v>2004</v>
      </c>
      <c r="BI67" t="s">
        <v>108</v>
      </c>
      <c r="BJ67">
        <v>3</v>
      </c>
      <c r="BK67">
        <v>852</v>
      </c>
      <c r="BL67" t="s">
        <v>97</v>
      </c>
      <c r="BM67" t="s">
        <v>97</v>
      </c>
      <c r="BN67" t="s">
        <v>104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10</v>
      </c>
      <c r="BZ67">
        <v>2007</v>
      </c>
      <c r="CA67" t="s">
        <v>109</v>
      </c>
      <c r="CB67" t="s">
        <v>110</v>
      </c>
      <c r="CC67">
        <v>317000</v>
      </c>
    </row>
    <row r="68" spans="1:81" x14ac:dyDescent="0.3">
      <c r="A68">
        <v>67</v>
      </c>
      <c r="B68">
        <v>20</v>
      </c>
      <c r="C68" t="s">
        <v>81</v>
      </c>
      <c r="E68">
        <v>19900</v>
      </c>
      <c r="F68" t="s">
        <v>82</v>
      </c>
      <c r="H68" t="s">
        <v>83</v>
      </c>
      <c r="I68" t="s">
        <v>84</v>
      </c>
      <c r="J68" t="s">
        <v>85</v>
      </c>
      <c r="K68" t="s">
        <v>86</v>
      </c>
      <c r="L68" t="s">
        <v>87</v>
      </c>
      <c r="M68" t="s">
        <v>270</v>
      </c>
      <c r="N68" t="s">
        <v>203</v>
      </c>
      <c r="O68" t="s">
        <v>89</v>
      </c>
      <c r="P68" t="s">
        <v>90</v>
      </c>
      <c r="Q68" t="s">
        <v>114</v>
      </c>
      <c r="R68">
        <v>7</v>
      </c>
      <c r="S68">
        <v>5</v>
      </c>
      <c r="T68">
        <v>1970</v>
      </c>
      <c r="U68">
        <v>1989</v>
      </c>
      <c r="V68" t="s">
        <v>92</v>
      </c>
      <c r="W68" t="s">
        <v>93</v>
      </c>
      <c r="X68" t="s">
        <v>160</v>
      </c>
      <c r="Y68" t="s">
        <v>160</v>
      </c>
      <c r="Z68" t="s">
        <v>95</v>
      </c>
      <c r="AA68">
        <v>287</v>
      </c>
      <c r="AB68" t="s">
        <v>97</v>
      </c>
      <c r="AC68" t="s">
        <v>97</v>
      </c>
      <c r="AD68" t="s">
        <v>117</v>
      </c>
      <c r="AE68" t="s">
        <v>96</v>
      </c>
      <c r="AF68" t="s">
        <v>97</v>
      </c>
      <c r="AG68" t="s">
        <v>96</v>
      </c>
      <c r="AH68" t="s">
        <v>100</v>
      </c>
      <c r="AI68">
        <v>912</v>
      </c>
      <c r="AJ68" t="s">
        <v>101</v>
      </c>
      <c r="AK68">
        <v>0</v>
      </c>
      <c r="AL68">
        <v>1035</v>
      </c>
      <c r="AM68">
        <v>1947</v>
      </c>
      <c r="AN68" t="s">
        <v>102</v>
      </c>
      <c r="AO68" t="s">
        <v>97</v>
      </c>
      <c r="AP68" t="s">
        <v>104</v>
      </c>
      <c r="AQ68" t="s">
        <v>105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97</v>
      </c>
      <c r="BC68">
        <v>7</v>
      </c>
      <c r="BD68" t="s">
        <v>145</v>
      </c>
      <c r="BE68">
        <v>1</v>
      </c>
      <c r="BF68" t="s">
        <v>96</v>
      </c>
      <c r="BG68" t="s">
        <v>107</v>
      </c>
      <c r="BH68">
        <v>1970</v>
      </c>
      <c r="BI68" t="s">
        <v>108</v>
      </c>
      <c r="BJ68">
        <v>2</v>
      </c>
      <c r="BK68">
        <v>576</v>
      </c>
      <c r="BL68" t="s">
        <v>97</v>
      </c>
      <c r="BM68" t="s">
        <v>97</v>
      </c>
      <c r="BN68" t="s">
        <v>104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7</v>
      </c>
      <c r="BZ68">
        <v>2010</v>
      </c>
      <c r="CA68" t="s">
        <v>109</v>
      </c>
      <c r="CB68" t="s">
        <v>110</v>
      </c>
      <c r="CC68">
        <v>180000</v>
      </c>
    </row>
    <row r="69" spans="1:81" x14ac:dyDescent="0.3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H69" t="s">
        <v>119</v>
      </c>
      <c r="I69" t="s">
        <v>84</v>
      </c>
      <c r="J69" t="s">
        <v>85</v>
      </c>
      <c r="K69" t="s">
        <v>86</v>
      </c>
      <c r="L69" t="s">
        <v>87</v>
      </c>
      <c r="M69" t="s">
        <v>88</v>
      </c>
      <c r="N69" t="s">
        <v>89</v>
      </c>
      <c r="O69" t="s">
        <v>89</v>
      </c>
      <c r="P69" t="s">
        <v>90</v>
      </c>
      <c r="Q69" t="s">
        <v>114</v>
      </c>
      <c r="R69">
        <v>7</v>
      </c>
      <c r="S69">
        <v>5</v>
      </c>
      <c r="T69">
        <v>2003</v>
      </c>
      <c r="U69">
        <v>2003</v>
      </c>
      <c r="V69" t="s">
        <v>92</v>
      </c>
      <c r="W69" t="s">
        <v>93</v>
      </c>
      <c r="X69" t="s">
        <v>94</v>
      </c>
      <c r="Y69" t="s">
        <v>94</v>
      </c>
      <c r="Z69" t="s">
        <v>95</v>
      </c>
      <c r="AA69">
        <v>167</v>
      </c>
      <c r="AB69" t="s">
        <v>96</v>
      </c>
      <c r="AC69" t="s">
        <v>97</v>
      </c>
      <c r="AD69" t="s">
        <v>98</v>
      </c>
      <c r="AE69" t="s">
        <v>96</v>
      </c>
      <c r="AF69" t="s">
        <v>97</v>
      </c>
      <c r="AG69" t="s">
        <v>129</v>
      </c>
      <c r="AH69" t="s">
        <v>100</v>
      </c>
      <c r="AI69">
        <v>1013</v>
      </c>
      <c r="AJ69" t="s">
        <v>101</v>
      </c>
      <c r="AK69">
        <v>0</v>
      </c>
      <c r="AL69">
        <v>440</v>
      </c>
      <c r="AM69">
        <v>1453</v>
      </c>
      <c r="AN69" t="s">
        <v>102</v>
      </c>
      <c r="AO69" t="s">
        <v>103</v>
      </c>
      <c r="AP69" t="s">
        <v>104</v>
      </c>
      <c r="AQ69" t="s">
        <v>105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96</v>
      </c>
      <c r="BC69">
        <v>7</v>
      </c>
      <c r="BD69" t="s">
        <v>106</v>
      </c>
      <c r="BE69">
        <v>0</v>
      </c>
      <c r="BG69" t="s">
        <v>107</v>
      </c>
      <c r="BH69">
        <v>2003</v>
      </c>
      <c r="BI69" t="s">
        <v>108</v>
      </c>
      <c r="BJ69">
        <v>2</v>
      </c>
      <c r="BK69">
        <v>558</v>
      </c>
      <c r="BL69" t="s">
        <v>97</v>
      </c>
      <c r="BM69" t="s">
        <v>97</v>
      </c>
      <c r="BN69" t="s">
        <v>104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X69">
        <v>0</v>
      </c>
      <c r="BY69">
        <v>6</v>
      </c>
      <c r="BZ69">
        <v>2007</v>
      </c>
      <c r="CA69" t="s">
        <v>109</v>
      </c>
      <c r="CB69" t="s">
        <v>110</v>
      </c>
      <c r="CC69">
        <v>226000</v>
      </c>
    </row>
    <row r="70" spans="1:81" x14ac:dyDescent="0.3">
      <c r="A70">
        <v>69</v>
      </c>
      <c r="B70">
        <v>30</v>
      </c>
      <c r="C70" t="s">
        <v>141</v>
      </c>
      <c r="D70">
        <v>47</v>
      </c>
      <c r="E70">
        <v>4608</v>
      </c>
      <c r="F70" t="s">
        <v>82</v>
      </c>
      <c r="H70" t="s">
        <v>83</v>
      </c>
      <c r="I70" t="s">
        <v>84</v>
      </c>
      <c r="J70" t="s">
        <v>85</v>
      </c>
      <c r="K70" t="s">
        <v>121</v>
      </c>
      <c r="L70" t="s">
        <v>87</v>
      </c>
      <c r="M70" t="s">
        <v>142</v>
      </c>
      <c r="N70" t="s">
        <v>143</v>
      </c>
      <c r="O70" t="s">
        <v>89</v>
      </c>
      <c r="P70" t="s">
        <v>90</v>
      </c>
      <c r="Q70" t="s">
        <v>114</v>
      </c>
      <c r="R70">
        <v>4</v>
      </c>
      <c r="S70">
        <v>6</v>
      </c>
      <c r="T70">
        <v>1945</v>
      </c>
      <c r="U70">
        <v>1950</v>
      </c>
      <c r="V70" t="s">
        <v>92</v>
      </c>
      <c r="W70" t="s">
        <v>93</v>
      </c>
      <c r="X70" t="s">
        <v>115</v>
      </c>
      <c r="Y70" t="s">
        <v>115</v>
      </c>
      <c r="Z70" t="s">
        <v>116</v>
      </c>
      <c r="AA70">
        <v>0</v>
      </c>
      <c r="AB70" t="s">
        <v>97</v>
      </c>
      <c r="AC70" t="s">
        <v>96</v>
      </c>
      <c r="AD70" t="s">
        <v>117</v>
      </c>
      <c r="AE70" t="s">
        <v>97</v>
      </c>
      <c r="AF70" t="s">
        <v>97</v>
      </c>
      <c r="AG70" t="s">
        <v>99</v>
      </c>
      <c r="AH70" t="s">
        <v>101</v>
      </c>
      <c r="AI70">
        <v>0</v>
      </c>
      <c r="AJ70" t="s">
        <v>101</v>
      </c>
      <c r="AK70">
        <v>0</v>
      </c>
      <c r="AL70">
        <v>747</v>
      </c>
      <c r="AM70">
        <v>747</v>
      </c>
      <c r="AN70" t="s">
        <v>102</v>
      </c>
      <c r="AO70" t="s">
        <v>97</v>
      </c>
      <c r="AP70" t="s">
        <v>104</v>
      </c>
      <c r="AQ70" t="s">
        <v>105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97</v>
      </c>
      <c r="BC70">
        <v>4</v>
      </c>
      <c r="BD70" t="s">
        <v>106</v>
      </c>
      <c r="BE70">
        <v>0</v>
      </c>
      <c r="BG70" t="s">
        <v>107</v>
      </c>
      <c r="BH70">
        <v>1945</v>
      </c>
      <c r="BI70" t="s">
        <v>101</v>
      </c>
      <c r="BJ70">
        <v>1</v>
      </c>
      <c r="BK70">
        <v>220</v>
      </c>
      <c r="BL70" t="s">
        <v>97</v>
      </c>
      <c r="BM70" t="s">
        <v>97</v>
      </c>
      <c r="BN70" t="s">
        <v>104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6</v>
      </c>
      <c r="BZ70">
        <v>2010</v>
      </c>
      <c r="CA70" t="s">
        <v>109</v>
      </c>
      <c r="CB70" t="s">
        <v>110</v>
      </c>
      <c r="CC70">
        <v>80000</v>
      </c>
    </row>
    <row r="71" spans="1:81" x14ac:dyDescent="0.3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H71" t="s">
        <v>83</v>
      </c>
      <c r="I71" t="s">
        <v>84</v>
      </c>
      <c r="J71" t="s">
        <v>85</v>
      </c>
      <c r="K71" t="s">
        <v>121</v>
      </c>
      <c r="L71" t="s">
        <v>87</v>
      </c>
      <c r="M71" t="s">
        <v>204</v>
      </c>
      <c r="N71" t="s">
        <v>89</v>
      </c>
      <c r="O71" t="s">
        <v>89</v>
      </c>
      <c r="P71" t="s">
        <v>90</v>
      </c>
      <c r="Q71" t="s">
        <v>131</v>
      </c>
      <c r="R71">
        <v>7</v>
      </c>
      <c r="S71">
        <v>4</v>
      </c>
      <c r="T71">
        <v>1953</v>
      </c>
      <c r="U71">
        <v>1953</v>
      </c>
      <c r="V71" t="s">
        <v>92</v>
      </c>
      <c r="W71" t="s">
        <v>93</v>
      </c>
      <c r="X71" t="s">
        <v>95</v>
      </c>
      <c r="Y71" t="s">
        <v>185</v>
      </c>
      <c r="Z71" t="s">
        <v>116</v>
      </c>
      <c r="AA71">
        <v>0</v>
      </c>
      <c r="AB71" t="s">
        <v>96</v>
      </c>
      <c r="AC71" t="s">
        <v>97</v>
      </c>
      <c r="AD71" t="s">
        <v>117</v>
      </c>
      <c r="AE71" t="s">
        <v>97</v>
      </c>
      <c r="AF71" t="s">
        <v>97</v>
      </c>
      <c r="AG71" t="s">
        <v>99</v>
      </c>
      <c r="AH71" t="s">
        <v>140</v>
      </c>
      <c r="AI71">
        <v>603</v>
      </c>
      <c r="AJ71" t="s">
        <v>101</v>
      </c>
      <c r="AK71">
        <v>0</v>
      </c>
      <c r="AL71">
        <v>701</v>
      </c>
      <c r="AM71">
        <v>1304</v>
      </c>
      <c r="AN71" t="s">
        <v>205</v>
      </c>
      <c r="AO71" t="s">
        <v>97</v>
      </c>
      <c r="AP71" t="s">
        <v>104</v>
      </c>
      <c r="AQ71" t="s">
        <v>105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97</v>
      </c>
      <c r="BC71">
        <v>7</v>
      </c>
      <c r="BD71" t="s">
        <v>106</v>
      </c>
      <c r="BE71">
        <v>1</v>
      </c>
      <c r="BF71" t="s">
        <v>97</v>
      </c>
      <c r="BG71" t="s">
        <v>107</v>
      </c>
      <c r="BH71">
        <v>1953</v>
      </c>
      <c r="BI71" t="s">
        <v>156</v>
      </c>
      <c r="BJ71">
        <v>2</v>
      </c>
      <c r="BK71">
        <v>667</v>
      </c>
      <c r="BL71" t="s">
        <v>97</v>
      </c>
      <c r="BM71" t="s">
        <v>97</v>
      </c>
      <c r="BN71" t="s">
        <v>104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X71">
        <v>0</v>
      </c>
      <c r="BY71">
        <v>7</v>
      </c>
      <c r="BZ71">
        <v>2006</v>
      </c>
      <c r="CA71" t="s">
        <v>109</v>
      </c>
      <c r="CB71" t="s">
        <v>110</v>
      </c>
      <c r="CC71">
        <v>225000</v>
      </c>
    </row>
    <row r="72" spans="1:81" x14ac:dyDescent="0.3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H72" t="s">
        <v>119</v>
      </c>
      <c r="I72" t="s">
        <v>84</v>
      </c>
      <c r="J72" t="s">
        <v>85</v>
      </c>
      <c r="K72" t="s">
        <v>86</v>
      </c>
      <c r="L72" t="s">
        <v>87</v>
      </c>
      <c r="M72" t="s">
        <v>270</v>
      </c>
      <c r="N72" t="s">
        <v>89</v>
      </c>
      <c r="O72" t="s">
        <v>89</v>
      </c>
      <c r="P72" t="s">
        <v>90</v>
      </c>
      <c r="Q72" t="s">
        <v>114</v>
      </c>
      <c r="R72">
        <v>7</v>
      </c>
      <c r="S72">
        <v>6</v>
      </c>
      <c r="T72">
        <v>1973</v>
      </c>
      <c r="U72">
        <v>1973</v>
      </c>
      <c r="V72" t="s">
        <v>92</v>
      </c>
      <c r="W72" t="s">
        <v>93</v>
      </c>
      <c r="X72" t="s">
        <v>160</v>
      </c>
      <c r="Y72" t="s">
        <v>160</v>
      </c>
      <c r="Z72" t="s">
        <v>95</v>
      </c>
      <c r="AA72">
        <v>1115</v>
      </c>
      <c r="AB72" t="s">
        <v>97</v>
      </c>
      <c r="AC72" t="s">
        <v>96</v>
      </c>
      <c r="AD72" t="s">
        <v>117</v>
      </c>
      <c r="AE72" t="s">
        <v>96</v>
      </c>
      <c r="AF72" t="s">
        <v>97</v>
      </c>
      <c r="AG72" t="s">
        <v>96</v>
      </c>
      <c r="AH72" t="s">
        <v>118</v>
      </c>
      <c r="AI72">
        <v>1880</v>
      </c>
      <c r="AJ72" t="s">
        <v>101</v>
      </c>
      <c r="AK72">
        <v>0</v>
      </c>
      <c r="AL72">
        <v>343</v>
      </c>
      <c r="AM72">
        <v>2223</v>
      </c>
      <c r="AN72" t="s">
        <v>102</v>
      </c>
      <c r="AO72" t="s">
        <v>103</v>
      </c>
      <c r="AP72" t="s">
        <v>104</v>
      </c>
      <c r="AQ72" t="s">
        <v>105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97</v>
      </c>
      <c r="BC72">
        <v>8</v>
      </c>
      <c r="BD72" t="s">
        <v>106</v>
      </c>
      <c r="BE72">
        <v>2</v>
      </c>
      <c r="BF72" t="s">
        <v>96</v>
      </c>
      <c r="BG72" t="s">
        <v>107</v>
      </c>
      <c r="BH72">
        <v>1973</v>
      </c>
      <c r="BI72" t="s">
        <v>156</v>
      </c>
      <c r="BJ72">
        <v>2</v>
      </c>
      <c r="BK72">
        <v>516</v>
      </c>
      <c r="BL72" t="s">
        <v>97</v>
      </c>
      <c r="BM72" t="s">
        <v>97</v>
      </c>
      <c r="BN72" t="s">
        <v>104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2</v>
      </c>
      <c r="BZ72">
        <v>2007</v>
      </c>
      <c r="CA72" t="s">
        <v>109</v>
      </c>
      <c r="CB72" t="s">
        <v>110</v>
      </c>
      <c r="CC72">
        <v>244000</v>
      </c>
    </row>
    <row r="73" spans="1:81" x14ac:dyDescent="0.3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H73" t="s">
        <v>83</v>
      </c>
      <c r="I73" t="s">
        <v>84</v>
      </c>
      <c r="J73" t="s">
        <v>85</v>
      </c>
      <c r="K73" t="s">
        <v>121</v>
      </c>
      <c r="L73" t="s">
        <v>87</v>
      </c>
      <c r="M73" t="s">
        <v>130</v>
      </c>
      <c r="N73" t="s">
        <v>89</v>
      </c>
      <c r="O73" t="s">
        <v>89</v>
      </c>
      <c r="P73" t="s">
        <v>90</v>
      </c>
      <c r="Q73" t="s">
        <v>114</v>
      </c>
      <c r="R73">
        <v>4</v>
      </c>
      <c r="S73">
        <v>6</v>
      </c>
      <c r="T73">
        <v>1982</v>
      </c>
      <c r="U73">
        <v>2006</v>
      </c>
      <c r="V73" t="s">
        <v>92</v>
      </c>
      <c r="W73" t="s">
        <v>93</v>
      </c>
      <c r="X73" t="s">
        <v>139</v>
      </c>
      <c r="Y73" t="s">
        <v>160</v>
      </c>
      <c r="Z73" t="s">
        <v>116</v>
      </c>
      <c r="AA73">
        <v>0</v>
      </c>
      <c r="AB73" t="s">
        <v>97</v>
      </c>
      <c r="AC73" t="s">
        <v>97</v>
      </c>
      <c r="AD73" t="s">
        <v>117</v>
      </c>
      <c r="AE73" t="s">
        <v>97</v>
      </c>
      <c r="AF73" t="s">
        <v>97</v>
      </c>
      <c r="AG73" t="s">
        <v>99</v>
      </c>
      <c r="AH73" t="s">
        <v>118</v>
      </c>
      <c r="AI73">
        <v>565</v>
      </c>
      <c r="AJ73" t="s">
        <v>101</v>
      </c>
      <c r="AK73">
        <v>0</v>
      </c>
      <c r="AL73">
        <v>280</v>
      </c>
      <c r="AM73">
        <v>845</v>
      </c>
      <c r="AN73" t="s">
        <v>102</v>
      </c>
      <c r="AO73" t="s">
        <v>97</v>
      </c>
      <c r="AP73" t="s">
        <v>104</v>
      </c>
      <c r="AQ73" t="s">
        <v>105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97</v>
      </c>
      <c r="BC73">
        <v>4</v>
      </c>
      <c r="BD73" t="s">
        <v>106</v>
      </c>
      <c r="BE73">
        <v>0</v>
      </c>
      <c r="BG73" t="s">
        <v>126</v>
      </c>
      <c r="BH73">
        <v>1987</v>
      </c>
      <c r="BI73" t="s">
        <v>101</v>
      </c>
      <c r="BJ73">
        <v>2</v>
      </c>
      <c r="BK73">
        <v>360</v>
      </c>
      <c r="BL73" t="s">
        <v>97</v>
      </c>
      <c r="BM73" t="s">
        <v>97</v>
      </c>
      <c r="BN73" t="s">
        <v>104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X73">
        <v>0</v>
      </c>
      <c r="BY73">
        <v>6</v>
      </c>
      <c r="BZ73">
        <v>2007</v>
      </c>
      <c r="CA73" t="s">
        <v>109</v>
      </c>
      <c r="CB73" t="s">
        <v>110</v>
      </c>
      <c r="CC73">
        <v>129500</v>
      </c>
    </row>
    <row r="74" spans="1:81" x14ac:dyDescent="0.3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H74" t="s">
        <v>119</v>
      </c>
      <c r="I74" t="s">
        <v>84</v>
      </c>
      <c r="J74" t="s">
        <v>85</v>
      </c>
      <c r="K74" t="s">
        <v>121</v>
      </c>
      <c r="L74" t="s">
        <v>87</v>
      </c>
      <c r="M74" t="s">
        <v>192</v>
      </c>
      <c r="N74" t="s">
        <v>89</v>
      </c>
      <c r="O74" t="s">
        <v>89</v>
      </c>
      <c r="P74" t="s">
        <v>90</v>
      </c>
      <c r="Q74" t="s">
        <v>91</v>
      </c>
      <c r="R74">
        <v>7</v>
      </c>
      <c r="S74">
        <v>5</v>
      </c>
      <c r="T74">
        <v>1998</v>
      </c>
      <c r="U74">
        <v>1998</v>
      </c>
      <c r="V74" t="s">
        <v>92</v>
      </c>
      <c r="W74" t="s">
        <v>93</v>
      </c>
      <c r="X74" t="s">
        <v>94</v>
      </c>
      <c r="Y74" t="s">
        <v>94</v>
      </c>
      <c r="Z74" t="s">
        <v>95</v>
      </c>
      <c r="AA74">
        <v>40</v>
      </c>
      <c r="AB74" t="s">
        <v>97</v>
      </c>
      <c r="AC74" t="s">
        <v>97</v>
      </c>
      <c r="AD74" t="s">
        <v>98</v>
      </c>
      <c r="AE74" t="s">
        <v>96</v>
      </c>
      <c r="AF74" t="s">
        <v>97</v>
      </c>
      <c r="AG74" t="s">
        <v>99</v>
      </c>
      <c r="AH74" t="s">
        <v>101</v>
      </c>
      <c r="AI74">
        <v>0</v>
      </c>
      <c r="AJ74" t="s">
        <v>101</v>
      </c>
      <c r="AK74">
        <v>0</v>
      </c>
      <c r="AL74">
        <v>832</v>
      </c>
      <c r="AM74">
        <v>832</v>
      </c>
      <c r="AN74" t="s">
        <v>102</v>
      </c>
      <c r="AO74" t="s">
        <v>96</v>
      </c>
      <c r="AP74" t="s">
        <v>104</v>
      </c>
      <c r="AQ74" t="s">
        <v>105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97</v>
      </c>
      <c r="BC74">
        <v>7</v>
      </c>
      <c r="BD74" t="s">
        <v>106</v>
      </c>
      <c r="BE74">
        <v>1</v>
      </c>
      <c r="BF74" t="s">
        <v>97</v>
      </c>
      <c r="BG74" t="s">
        <v>107</v>
      </c>
      <c r="BH74">
        <v>1998</v>
      </c>
      <c r="BI74" t="s">
        <v>156</v>
      </c>
      <c r="BJ74">
        <v>2</v>
      </c>
      <c r="BK74">
        <v>427</v>
      </c>
      <c r="BL74" t="s">
        <v>97</v>
      </c>
      <c r="BM74" t="s">
        <v>97</v>
      </c>
      <c r="BN74" t="s">
        <v>104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X74">
        <v>0</v>
      </c>
      <c r="BY74">
        <v>12</v>
      </c>
      <c r="BZ74">
        <v>2009</v>
      </c>
      <c r="CA74" t="s">
        <v>109</v>
      </c>
      <c r="CB74" t="s">
        <v>110</v>
      </c>
      <c r="CC74">
        <v>185000</v>
      </c>
    </row>
    <row r="75" spans="1:81" x14ac:dyDescent="0.3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H75" t="s">
        <v>83</v>
      </c>
      <c r="I75" t="s">
        <v>84</v>
      </c>
      <c r="J75" t="s">
        <v>85</v>
      </c>
      <c r="K75" t="s">
        <v>86</v>
      </c>
      <c r="L75" t="s">
        <v>87</v>
      </c>
      <c r="M75" t="s">
        <v>270</v>
      </c>
      <c r="N75" t="s">
        <v>89</v>
      </c>
      <c r="O75" t="s">
        <v>89</v>
      </c>
      <c r="P75" t="s">
        <v>90</v>
      </c>
      <c r="Q75" t="s">
        <v>114</v>
      </c>
      <c r="R75">
        <v>5</v>
      </c>
      <c r="S75">
        <v>7</v>
      </c>
      <c r="T75">
        <v>1954</v>
      </c>
      <c r="U75">
        <v>2003</v>
      </c>
      <c r="V75" t="s">
        <v>92</v>
      </c>
      <c r="W75" t="s">
        <v>93</v>
      </c>
      <c r="X75" t="s">
        <v>123</v>
      </c>
      <c r="Y75" t="s">
        <v>123</v>
      </c>
      <c r="Z75" t="s">
        <v>95</v>
      </c>
      <c r="AA75">
        <v>104</v>
      </c>
      <c r="AB75" t="s">
        <v>97</v>
      </c>
      <c r="AC75" t="s">
        <v>97</v>
      </c>
      <c r="AD75" t="s">
        <v>117</v>
      </c>
      <c r="AE75" t="s">
        <v>97</v>
      </c>
      <c r="AF75" t="s">
        <v>97</v>
      </c>
      <c r="AG75" t="s">
        <v>99</v>
      </c>
      <c r="AH75" t="s">
        <v>118</v>
      </c>
      <c r="AI75">
        <v>320</v>
      </c>
      <c r="AJ75" t="s">
        <v>140</v>
      </c>
      <c r="AK75">
        <v>362</v>
      </c>
      <c r="AL75">
        <v>404</v>
      </c>
      <c r="AM75">
        <v>1086</v>
      </c>
      <c r="AN75" t="s">
        <v>102</v>
      </c>
      <c r="AO75" t="s">
        <v>96</v>
      </c>
      <c r="AP75" t="s">
        <v>104</v>
      </c>
      <c r="AQ75" t="s">
        <v>105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97</v>
      </c>
      <c r="BC75">
        <v>6</v>
      </c>
      <c r="BD75" t="s">
        <v>106</v>
      </c>
      <c r="BE75">
        <v>0</v>
      </c>
      <c r="BG75" t="s">
        <v>107</v>
      </c>
      <c r="BH75">
        <v>1989</v>
      </c>
      <c r="BI75" t="s">
        <v>101</v>
      </c>
      <c r="BJ75">
        <v>2</v>
      </c>
      <c r="BK75">
        <v>490</v>
      </c>
      <c r="BL75" t="s">
        <v>97</v>
      </c>
      <c r="BM75" t="s">
        <v>97</v>
      </c>
      <c r="BN75" t="s">
        <v>104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V75" t="s">
        <v>162</v>
      </c>
      <c r="BX75">
        <v>0</v>
      </c>
      <c r="BY75">
        <v>5</v>
      </c>
      <c r="BZ75">
        <v>2010</v>
      </c>
      <c r="CA75" t="s">
        <v>109</v>
      </c>
      <c r="CB75" t="s">
        <v>110</v>
      </c>
      <c r="CC75">
        <v>144900</v>
      </c>
    </row>
    <row r="76" spans="1:81" x14ac:dyDescent="0.3">
      <c r="A76">
        <v>75</v>
      </c>
      <c r="B76">
        <v>50</v>
      </c>
      <c r="C76" t="s">
        <v>141</v>
      </c>
      <c r="D76">
        <v>60</v>
      </c>
      <c r="E76">
        <v>5790</v>
      </c>
      <c r="F76" t="s">
        <v>82</v>
      </c>
      <c r="H76" t="s">
        <v>83</v>
      </c>
      <c r="I76" t="s">
        <v>84</v>
      </c>
      <c r="J76" t="s">
        <v>85</v>
      </c>
      <c r="K76" t="s">
        <v>121</v>
      </c>
      <c r="L76" t="s">
        <v>87</v>
      </c>
      <c r="M76" t="s">
        <v>142</v>
      </c>
      <c r="N76" t="s">
        <v>89</v>
      </c>
      <c r="O76" t="s">
        <v>89</v>
      </c>
      <c r="P76" t="s">
        <v>90</v>
      </c>
      <c r="Q76" t="s">
        <v>91</v>
      </c>
      <c r="R76">
        <v>3</v>
      </c>
      <c r="S76">
        <v>6</v>
      </c>
      <c r="T76">
        <v>1915</v>
      </c>
      <c r="U76">
        <v>1950</v>
      </c>
      <c r="V76" t="s">
        <v>183</v>
      </c>
      <c r="W76" t="s">
        <v>93</v>
      </c>
      <c r="X76" t="s">
        <v>94</v>
      </c>
      <c r="Y76" t="s">
        <v>94</v>
      </c>
      <c r="Z76" t="s">
        <v>116</v>
      </c>
      <c r="AA76">
        <v>0</v>
      </c>
      <c r="AB76" t="s">
        <v>96</v>
      </c>
      <c r="AC76" t="s">
        <v>96</v>
      </c>
      <c r="AD76" t="s">
        <v>117</v>
      </c>
      <c r="AE76" t="s">
        <v>146</v>
      </c>
      <c r="AF76" t="s">
        <v>97</v>
      </c>
      <c r="AG76" t="s">
        <v>99</v>
      </c>
      <c r="AH76" t="s">
        <v>101</v>
      </c>
      <c r="AI76">
        <v>0</v>
      </c>
      <c r="AJ76" t="s">
        <v>101</v>
      </c>
      <c r="AK76">
        <v>0</v>
      </c>
      <c r="AL76">
        <v>840</v>
      </c>
      <c r="AM76">
        <v>840</v>
      </c>
      <c r="AN76" t="s">
        <v>102</v>
      </c>
      <c r="AO76" t="s">
        <v>96</v>
      </c>
      <c r="AP76" t="s">
        <v>176</v>
      </c>
      <c r="AQ76" t="s">
        <v>105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97</v>
      </c>
      <c r="BC76">
        <v>8</v>
      </c>
      <c r="BD76" t="s">
        <v>106</v>
      </c>
      <c r="BE76">
        <v>0</v>
      </c>
      <c r="BG76" t="s">
        <v>126</v>
      </c>
      <c r="BH76">
        <v>1915</v>
      </c>
      <c r="BI76" t="s">
        <v>101</v>
      </c>
      <c r="BJ76">
        <v>1</v>
      </c>
      <c r="BK76">
        <v>379</v>
      </c>
      <c r="BL76" t="s">
        <v>97</v>
      </c>
      <c r="BM76" t="s">
        <v>97</v>
      </c>
      <c r="BN76" t="s">
        <v>104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X76">
        <v>0</v>
      </c>
      <c r="BY76">
        <v>5</v>
      </c>
      <c r="BZ76">
        <v>2010</v>
      </c>
      <c r="CA76" t="s">
        <v>109</v>
      </c>
      <c r="CB76" t="s">
        <v>110</v>
      </c>
      <c r="CC76">
        <v>107400</v>
      </c>
    </row>
    <row r="77" spans="1:81" x14ac:dyDescent="0.3">
      <c r="A77">
        <v>76</v>
      </c>
      <c r="B77">
        <v>180</v>
      </c>
      <c r="C77" t="s">
        <v>141</v>
      </c>
      <c r="D77">
        <v>21</v>
      </c>
      <c r="E77">
        <v>1596</v>
      </c>
      <c r="F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177</v>
      </c>
      <c r="N77" t="s">
        <v>89</v>
      </c>
      <c r="O77" t="s">
        <v>89</v>
      </c>
      <c r="P77" t="s">
        <v>197</v>
      </c>
      <c r="Q77" t="s">
        <v>196</v>
      </c>
      <c r="R77">
        <v>4</v>
      </c>
      <c r="S77">
        <v>5</v>
      </c>
      <c r="T77">
        <v>1973</v>
      </c>
      <c r="U77">
        <v>1973</v>
      </c>
      <c r="V77" t="s">
        <v>92</v>
      </c>
      <c r="W77" t="s">
        <v>93</v>
      </c>
      <c r="X77" t="s">
        <v>179</v>
      </c>
      <c r="Y77" t="s">
        <v>180</v>
      </c>
      <c r="Z77" t="s">
        <v>116</v>
      </c>
      <c r="AA77">
        <v>0</v>
      </c>
      <c r="AB77" t="s">
        <v>97</v>
      </c>
      <c r="AC77" t="s">
        <v>97</v>
      </c>
      <c r="AD77" t="s">
        <v>117</v>
      </c>
      <c r="AE77" t="s">
        <v>96</v>
      </c>
      <c r="AF77" t="s">
        <v>97</v>
      </c>
      <c r="AG77" t="s">
        <v>96</v>
      </c>
      <c r="AH77" t="s">
        <v>100</v>
      </c>
      <c r="AI77">
        <v>462</v>
      </c>
      <c r="AJ77" t="s">
        <v>101</v>
      </c>
      <c r="AK77">
        <v>0</v>
      </c>
      <c r="AL77">
        <v>0</v>
      </c>
      <c r="AM77">
        <v>462</v>
      </c>
      <c r="AN77" t="s">
        <v>102</v>
      </c>
      <c r="AO77" t="s">
        <v>97</v>
      </c>
      <c r="AP77" t="s">
        <v>104</v>
      </c>
      <c r="AQ77" t="s">
        <v>105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97</v>
      </c>
      <c r="BC77">
        <v>5</v>
      </c>
      <c r="BD77" t="s">
        <v>106</v>
      </c>
      <c r="BE77">
        <v>0</v>
      </c>
      <c r="BG77" t="s">
        <v>155</v>
      </c>
      <c r="BH77">
        <v>1973</v>
      </c>
      <c r="BI77" t="s">
        <v>101</v>
      </c>
      <c r="BJ77">
        <v>1</v>
      </c>
      <c r="BK77">
        <v>297</v>
      </c>
      <c r="BL77" t="s">
        <v>97</v>
      </c>
      <c r="BM77" t="s">
        <v>97</v>
      </c>
      <c r="BN77" t="s">
        <v>104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V77" t="s">
        <v>162</v>
      </c>
      <c r="BX77">
        <v>0</v>
      </c>
      <c r="BY77">
        <v>11</v>
      </c>
      <c r="BZ77">
        <v>2009</v>
      </c>
      <c r="CA77" t="s">
        <v>109</v>
      </c>
      <c r="CB77" t="s">
        <v>110</v>
      </c>
      <c r="CC77">
        <v>91000</v>
      </c>
    </row>
    <row r="78" spans="1:81" x14ac:dyDescent="0.3">
      <c r="A78">
        <v>77</v>
      </c>
      <c r="B78">
        <v>20</v>
      </c>
      <c r="C78" t="s">
        <v>81</v>
      </c>
      <c r="E78">
        <v>8475</v>
      </c>
      <c r="F78" t="s">
        <v>82</v>
      </c>
      <c r="H78" t="s">
        <v>119</v>
      </c>
      <c r="I78" t="s">
        <v>84</v>
      </c>
      <c r="J78" t="s">
        <v>85</v>
      </c>
      <c r="K78" t="s">
        <v>86</v>
      </c>
      <c r="L78" t="s">
        <v>87</v>
      </c>
      <c r="M78" t="s">
        <v>270</v>
      </c>
      <c r="N78" t="s">
        <v>89</v>
      </c>
      <c r="O78" t="s">
        <v>89</v>
      </c>
      <c r="P78" t="s">
        <v>90</v>
      </c>
      <c r="Q78" t="s">
        <v>114</v>
      </c>
      <c r="R78">
        <v>4</v>
      </c>
      <c r="S78">
        <v>7</v>
      </c>
      <c r="T78">
        <v>1956</v>
      </c>
      <c r="U78">
        <v>1956</v>
      </c>
      <c r="V78" t="s">
        <v>92</v>
      </c>
      <c r="W78" t="s">
        <v>93</v>
      </c>
      <c r="X78" t="s">
        <v>94</v>
      </c>
      <c r="Y78" t="s">
        <v>94</v>
      </c>
      <c r="Z78" t="s">
        <v>116</v>
      </c>
      <c r="AA78">
        <v>0</v>
      </c>
      <c r="AB78" t="s">
        <v>97</v>
      </c>
      <c r="AC78" t="s">
        <v>97</v>
      </c>
      <c r="AD78" t="s">
        <v>117</v>
      </c>
      <c r="AE78" t="s">
        <v>97</v>
      </c>
      <c r="AF78" t="s">
        <v>97</v>
      </c>
      <c r="AG78" t="s">
        <v>99</v>
      </c>
      <c r="AH78" t="s">
        <v>118</v>
      </c>
      <c r="AI78">
        <v>228</v>
      </c>
      <c r="AJ78" t="s">
        <v>101</v>
      </c>
      <c r="AK78">
        <v>0</v>
      </c>
      <c r="AL78">
        <v>724</v>
      </c>
      <c r="AM78">
        <v>952</v>
      </c>
      <c r="AN78" t="s">
        <v>102</v>
      </c>
      <c r="AO78" t="s">
        <v>103</v>
      </c>
      <c r="AP78" t="s">
        <v>104</v>
      </c>
      <c r="AQ78" t="s">
        <v>163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97</v>
      </c>
      <c r="BC78">
        <v>4</v>
      </c>
      <c r="BD78" t="s">
        <v>106</v>
      </c>
      <c r="BE78">
        <v>0</v>
      </c>
      <c r="BG78" t="s">
        <v>126</v>
      </c>
      <c r="BH78">
        <v>1956</v>
      </c>
      <c r="BI78" t="s">
        <v>101</v>
      </c>
      <c r="BJ78">
        <v>1</v>
      </c>
      <c r="BK78">
        <v>283</v>
      </c>
      <c r="BL78" t="s">
        <v>97</v>
      </c>
      <c r="BM78" t="s">
        <v>97</v>
      </c>
      <c r="BN78" t="s">
        <v>104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4</v>
      </c>
      <c r="BZ78">
        <v>2008</v>
      </c>
      <c r="CA78" t="s">
        <v>109</v>
      </c>
      <c r="CB78" t="s">
        <v>110</v>
      </c>
      <c r="CC78">
        <v>135750</v>
      </c>
    </row>
    <row r="79" spans="1:81" x14ac:dyDescent="0.3">
      <c r="A79">
        <v>78</v>
      </c>
      <c r="B79">
        <v>50</v>
      </c>
      <c r="C79" t="s">
        <v>141</v>
      </c>
      <c r="D79">
        <v>50</v>
      </c>
      <c r="E79">
        <v>8635</v>
      </c>
      <c r="F79" t="s">
        <v>82</v>
      </c>
      <c r="H79" t="s">
        <v>83</v>
      </c>
      <c r="I79" t="s">
        <v>84</v>
      </c>
      <c r="J79" t="s">
        <v>85</v>
      </c>
      <c r="K79" t="s">
        <v>86</v>
      </c>
      <c r="L79" t="s">
        <v>87</v>
      </c>
      <c r="M79" t="s">
        <v>147</v>
      </c>
      <c r="N79" t="s">
        <v>89</v>
      </c>
      <c r="O79" t="s">
        <v>89</v>
      </c>
      <c r="P79" t="s">
        <v>90</v>
      </c>
      <c r="Q79" t="s">
        <v>131</v>
      </c>
      <c r="R79">
        <v>5</v>
      </c>
      <c r="S79">
        <v>5</v>
      </c>
      <c r="T79">
        <v>1948</v>
      </c>
      <c r="U79">
        <v>2001</v>
      </c>
      <c r="V79" t="s">
        <v>92</v>
      </c>
      <c r="W79" t="s">
        <v>93</v>
      </c>
      <c r="X79" t="s">
        <v>123</v>
      </c>
      <c r="Y79" t="s">
        <v>123</v>
      </c>
      <c r="Z79" t="s">
        <v>116</v>
      </c>
      <c r="AA79">
        <v>0</v>
      </c>
      <c r="AB79" t="s">
        <v>97</v>
      </c>
      <c r="AC79" t="s">
        <v>97</v>
      </c>
      <c r="AD79" t="s">
        <v>117</v>
      </c>
      <c r="AE79" t="s">
        <v>97</v>
      </c>
      <c r="AF79" t="s">
        <v>97</v>
      </c>
      <c r="AG79" t="s">
        <v>99</v>
      </c>
      <c r="AH79" t="s">
        <v>140</v>
      </c>
      <c r="AI79">
        <v>336</v>
      </c>
      <c r="AJ79" t="s">
        <v>100</v>
      </c>
      <c r="AK79">
        <v>41</v>
      </c>
      <c r="AL79">
        <v>295</v>
      </c>
      <c r="AM79">
        <v>672</v>
      </c>
      <c r="AN79" t="s">
        <v>102</v>
      </c>
      <c r="AO79" t="s">
        <v>97</v>
      </c>
      <c r="AP79" t="s">
        <v>104</v>
      </c>
      <c r="AQ79" t="s">
        <v>105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97</v>
      </c>
      <c r="BC79">
        <v>6</v>
      </c>
      <c r="BD79" t="s">
        <v>145</v>
      </c>
      <c r="BE79">
        <v>0</v>
      </c>
      <c r="BG79" t="s">
        <v>126</v>
      </c>
      <c r="BH79">
        <v>1948</v>
      </c>
      <c r="BI79" t="s">
        <v>101</v>
      </c>
      <c r="BJ79">
        <v>1</v>
      </c>
      <c r="BK79">
        <v>240</v>
      </c>
      <c r="BL79" t="s">
        <v>97</v>
      </c>
      <c r="BM79" t="s">
        <v>97</v>
      </c>
      <c r="BN79" t="s">
        <v>104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V79" t="s">
        <v>133</v>
      </c>
      <c r="BX79">
        <v>0</v>
      </c>
      <c r="BY79">
        <v>1</v>
      </c>
      <c r="BZ79">
        <v>2008</v>
      </c>
      <c r="CA79" t="s">
        <v>109</v>
      </c>
      <c r="CB79" t="s">
        <v>110</v>
      </c>
      <c r="CC79">
        <v>127000</v>
      </c>
    </row>
    <row r="80" spans="1:81" x14ac:dyDescent="0.3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H80" t="s">
        <v>83</v>
      </c>
      <c r="I80" t="s">
        <v>84</v>
      </c>
      <c r="J80" t="s">
        <v>85</v>
      </c>
      <c r="K80" t="s">
        <v>86</v>
      </c>
      <c r="L80" t="s">
        <v>87</v>
      </c>
      <c r="M80" t="s">
        <v>150</v>
      </c>
      <c r="N80" t="s">
        <v>89</v>
      </c>
      <c r="O80" t="s">
        <v>89</v>
      </c>
      <c r="P80" t="s">
        <v>166</v>
      </c>
      <c r="Q80" t="s">
        <v>114</v>
      </c>
      <c r="R80">
        <v>4</v>
      </c>
      <c r="S80">
        <v>5</v>
      </c>
      <c r="T80">
        <v>1968</v>
      </c>
      <c r="U80">
        <v>1968</v>
      </c>
      <c r="V80" t="s">
        <v>151</v>
      </c>
      <c r="W80" t="s">
        <v>93</v>
      </c>
      <c r="X80" t="s">
        <v>139</v>
      </c>
      <c r="Y80" t="s">
        <v>139</v>
      </c>
      <c r="Z80" t="s">
        <v>116</v>
      </c>
      <c r="AA80">
        <v>0</v>
      </c>
      <c r="AB80" t="s">
        <v>97</v>
      </c>
      <c r="AC80" t="s">
        <v>97</v>
      </c>
      <c r="AD80" t="s">
        <v>117</v>
      </c>
      <c r="AE80" t="s">
        <v>97</v>
      </c>
      <c r="AF80" t="s">
        <v>97</v>
      </c>
      <c r="AG80" t="s">
        <v>99</v>
      </c>
      <c r="AH80" t="s">
        <v>101</v>
      </c>
      <c r="AI80">
        <v>0</v>
      </c>
      <c r="AJ80" t="s">
        <v>101</v>
      </c>
      <c r="AK80">
        <v>0</v>
      </c>
      <c r="AL80">
        <v>1768</v>
      </c>
      <c r="AM80">
        <v>1768</v>
      </c>
      <c r="AN80" t="s">
        <v>102</v>
      </c>
      <c r="AO80" t="s">
        <v>97</v>
      </c>
      <c r="AP80" t="s">
        <v>176</v>
      </c>
      <c r="AQ80" t="s">
        <v>105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97</v>
      </c>
      <c r="BC80">
        <v>8</v>
      </c>
      <c r="BD80" t="s">
        <v>106</v>
      </c>
      <c r="BE80">
        <v>0</v>
      </c>
      <c r="BJ80">
        <v>0</v>
      </c>
      <c r="BK80">
        <v>0</v>
      </c>
      <c r="BN80" t="s">
        <v>104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4</v>
      </c>
      <c r="BZ80">
        <v>2010</v>
      </c>
      <c r="CA80" t="s">
        <v>109</v>
      </c>
      <c r="CB80" t="s">
        <v>110</v>
      </c>
      <c r="CC80">
        <v>136500</v>
      </c>
    </row>
    <row r="81" spans="1:81" x14ac:dyDescent="0.3">
      <c r="A81">
        <v>80</v>
      </c>
      <c r="B81">
        <v>50</v>
      </c>
      <c r="C81" t="s">
        <v>141</v>
      </c>
      <c r="D81">
        <v>60</v>
      </c>
      <c r="E81">
        <v>10440</v>
      </c>
      <c r="F81" t="s">
        <v>82</v>
      </c>
      <c r="G81" t="s">
        <v>173</v>
      </c>
      <c r="H81" t="s">
        <v>83</v>
      </c>
      <c r="I81" t="s">
        <v>84</v>
      </c>
      <c r="J81" t="s">
        <v>85</v>
      </c>
      <c r="K81" t="s">
        <v>121</v>
      </c>
      <c r="L81" t="s">
        <v>87</v>
      </c>
      <c r="M81" t="s">
        <v>142</v>
      </c>
      <c r="N81" t="s">
        <v>89</v>
      </c>
      <c r="O81" t="s">
        <v>89</v>
      </c>
      <c r="P81" t="s">
        <v>90</v>
      </c>
      <c r="Q81" t="s">
        <v>91</v>
      </c>
      <c r="R81">
        <v>5</v>
      </c>
      <c r="S81">
        <v>6</v>
      </c>
      <c r="T81">
        <v>1910</v>
      </c>
      <c r="U81">
        <v>1981</v>
      </c>
      <c r="V81" t="s">
        <v>92</v>
      </c>
      <c r="W81" t="s">
        <v>93</v>
      </c>
      <c r="X81" t="s">
        <v>123</v>
      </c>
      <c r="Y81" t="s">
        <v>123</v>
      </c>
      <c r="Z81" t="s">
        <v>116</v>
      </c>
      <c r="AA81">
        <v>0</v>
      </c>
      <c r="AB81" t="s">
        <v>97</v>
      </c>
      <c r="AC81" t="s">
        <v>97</v>
      </c>
      <c r="AD81" t="s">
        <v>98</v>
      </c>
      <c r="AE81" t="s">
        <v>97</v>
      </c>
      <c r="AF81" t="s">
        <v>97</v>
      </c>
      <c r="AG81" t="s">
        <v>99</v>
      </c>
      <c r="AH81" t="s">
        <v>101</v>
      </c>
      <c r="AI81">
        <v>0</v>
      </c>
      <c r="AJ81" t="s">
        <v>101</v>
      </c>
      <c r="AK81">
        <v>0</v>
      </c>
      <c r="AL81">
        <v>440</v>
      </c>
      <c r="AM81">
        <v>440</v>
      </c>
      <c r="AN81" t="s">
        <v>102</v>
      </c>
      <c r="AO81" t="s">
        <v>96</v>
      </c>
      <c r="AP81" t="s">
        <v>104</v>
      </c>
      <c r="AQ81" t="s">
        <v>105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97</v>
      </c>
      <c r="BC81">
        <v>5</v>
      </c>
      <c r="BD81" t="s">
        <v>106</v>
      </c>
      <c r="BE81">
        <v>0</v>
      </c>
      <c r="BG81" t="s">
        <v>126</v>
      </c>
      <c r="BH81">
        <v>1966</v>
      </c>
      <c r="BI81" t="s">
        <v>101</v>
      </c>
      <c r="BJ81">
        <v>2</v>
      </c>
      <c r="BK81">
        <v>440</v>
      </c>
      <c r="BL81" t="s">
        <v>97</v>
      </c>
      <c r="BM81" t="s">
        <v>97</v>
      </c>
      <c r="BN81" t="s">
        <v>104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V81" t="s">
        <v>133</v>
      </c>
      <c r="BX81">
        <v>0</v>
      </c>
      <c r="BY81">
        <v>5</v>
      </c>
      <c r="BZ81">
        <v>2009</v>
      </c>
      <c r="CA81" t="s">
        <v>109</v>
      </c>
      <c r="CB81" t="s">
        <v>110</v>
      </c>
      <c r="CC81">
        <v>110000</v>
      </c>
    </row>
    <row r="82" spans="1:81" x14ac:dyDescent="0.3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H82" t="s">
        <v>83</v>
      </c>
      <c r="I82" t="s">
        <v>84</v>
      </c>
      <c r="J82" t="s">
        <v>85</v>
      </c>
      <c r="K82" t="s">
        <v>121</v>
      </c>
      <c r="L82" t="s">
        <v>87</v>
      </c>
      <c r="M82" t="s">
        <v>270</v>
      </c>
      <c r="N82" t="s">
        <v>89</v>
      </c>
      <c r="O82" t="s">
        <v>89</v>
      </c>
      <c r="P82" t="s">
        <v>90</v>
      </c>
      <c r="Q82" t="s">
        <v>91</v>
      </c>
      <c r="R82">
        <v>6</v>
      </c>
      <c r="S82">
        <v>6</v>
      </c>
      <c r="T82">
        <v>1968</v>
      </c>
      <c r="U82">
        <v>1968</v>
      </c>
      <c r="V82" t="s">
        <v>92</v>
      </c>
      <c r="W82" t="s">
        <v>93</v>
      </c>
      <c r="X82" t="s">
        <v>94</v>
      </c>
      <c r="Y82" t="s">
        <v>94</v>
      </c>
      <c r="Z82" t="s">
        <v>95</v>
      </c>
      <c r="AA82">
        <v>576</v>
      </c>
      <c r="AB82" t="s">
        <v>97</v>
      </c>
      <c r="AC82" t="s">
        <v>96</v>
      </c>
      <c r="AD82" t="s">
        <v>117</v>
      </c>
      <c r="AE82" t="s">
        <v>96</v>
      </c>
      <c r="AF82" t="s">
        <v>97</v>
      </c>
      <c r="AG82" t="s">
        <v>99</v>
      </c>
      <c r="AH82" t="s">
        <v>152</v>
      </c>
      <c r="AI82">
        <v>448</v>
      </c>
      <c r="AJ82" t="s">
        <v>101</v>
      </c>
      <c r="AK82">
        <v>0</v>
      </c>
      <c r="AL82">
        <v>448</v>
      </c>
      <c r="AM82">
        <v>896</v>
      </c>
      <c r="AN82" t="s">
        <v>102</v>
      </c>
      <c r="AO82" t="s">
        <v>97</v>
      </c>
      <c r="AP82" t="s">
        <v>104</v>
      </c>
      <c r="AQ82" t="s">
        <v>105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96</v>
      </c>
      <c r="BC82">
        <v>8</v>
      </c>
      <c r="BD82" t="s">
        <v>106</v>
      </c>
      <c r="BE82">
        <v>1</v>
      </c>
      <c r="BF82" t="s">
        <v>96</v>
      </c>
      <c r="BG82" t="s">
        <v>107</v>
      </c>
      <c r="BH82">
        <v>1968</v>
      </c>
      <c r="BI82" t="s">
        <v>156</v>
      </c>
      <c r="BJ82">
        <v>1</v>
      </c>
      <c r="BK82">
        <v>509</v>
      </c>
      <c r="BL82" t="s">
        <v>97</v>
      </c>
      <c r="BM82" t="s">
        <v>97</v>
      </c>
      <c r="BN82" t="s">
        <v>104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X82">
        <v>0</v>
      </c>
      <c r="BY82">
        <v>6</v>
      </c>
      <c r="BZ82">
        <v>2009</v>
      </c>
      <c r="CA82" t="s">
        <v>109</v>
      </c>
      <c r="CB82" t="s">
        <v>110</v>
      </c>
      <c r="CC82">
        <v>193500</v>
      </c>
    </row>
    <row r="83" spans="1:81" x14ac:dyDescent="0.3">
      <c r="A83">
        <v>82</v>
      </c>
      <c r="B83">
        <v>120</v>
      </c>
      <c r="C83" t="s">
        <v>141</v>
      </c>
      <c r="D83">
        <v>32</v>
      </c>
      <c r="E83">
        <v>4500</v>
      </c>
      <c r="F83" t="s">
        <v>82</v>
      </c>
      <c r="H83" t="s">
        <v>83</v>
      </c>
      <c r="I83" t="s">
        <v>84</v>
      </c>
      <c r="J83" t="s">
        <v>85</v>
      </c>
      <c r="K83" t="s">
        <v>111</v>
      </c>
      <c r="L83" t="s">
        <v>87</v>
      </c>
      <c r="M83" t="s">
        <v>130</v>
      </c>
      <c r="N83" t="s">
        <v>89</v>
      </c>
      <c r="O83" t="s">
        <v>89</v>
      </c>
      <c r="P83" t="s">
        <v>178</v>
      </c>
      <c r="Q83" t="s">
        <v>114</v>
      </c>
      <c r="R83">
        <v>6</v>
      </c>
      <c r="S83">
        <v>5</v>
      </c>
      <c r="T83">
        <v>1998</v>
      </c>
      <c r="U83">
        <v>1998</v>
      </c>
      <c r="V83" t="s">
        <v>151</v>
      </c>
      <c r="W83" t="s">
        <v>93</v>
      </c>
      <c r="X83" t="s">
        <v>94</v>
      </c>
      <c r="Y83" t="s">
        <v>94</v>
      </c>
      <c r="Z83" t="s">
        <v>95</v>
      </c>
      <c r="AA83">
        <v>443</v>
      </c>
      <c r="AB83" t="s">
        <v>97</v>
      </c>
      <c r="AC83" t="s">
        <v>96</v>
      </c>
      <c r="AD83" t="s">
        <v>98</v>
      </c>
      <c r="AE83" t="s">
        <v>103</v>
      </c>
      <c r="AF83" t="s">
        <v>96</v>
      </c>
      <c r="AG83" t="s">
        <v>99</v>
      </c>
      <c r="AH83" t="s">
        <v>100</v>
      </c>
      <c r="AI83">
        <v>1201</v>
      </c>
      <c r="AJ83" t="s">
        <v>101</v>
      </c>
      <c r="AK83">
        <v>0</v>
      </c>
      <c r="AL83">
        <v>36</v>
      </c>
      <c r="AM83">
        <v>1237</v>
      </c>
      <c r="AN83" t="s">
        <v>102</v>
      </c>
      <c r="AO83" t="s">
        <v>103</v>
      </c>
      <c r="AP83" t="s">
        <v>104</v>
      </c>
      <c r="AQ83" t="s">
        <v>105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97</v>
      </c>
      <c r="BC83">
        <v>5</v>
      </c>
      <c r="BD83" t="s">
        <v>106</v>
      </c>
      <c r="BE83">
        <v>0</v>
      </c>
      <c r="BG83" t="s">
        <v>107</v>
      </c>
      <c r="BH83">
        <v>1998</v>
      </c>
      <c r="BI83" t="s">
        <v>156</v>
      </c>
      <c r="BJ83">
        <v>2</v>
      </c>
      <c r="BK83">
        <v>405</v>
      </c>
      <c r="BL83" t="s">
        <v>97</v>
      </c>
      <c r="BM83" t="s">
        <v>97</v>
      </c>
      <c r="BN83" t="s">
        <v>104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X83">
        <v>0</v>
      </c>
      <c r="BY83">
        <v>3</v>
      </c>
      <c r="BZ83">
        <v>2006</v>
      </c>
      <c r="CA83" t="s">
        <v>109</v>
      </c>
      <c r="CB83" t="s">
        <v>110</v>
      </c>
      <c r="CC83">
        <v>153500</v>
      </c>
    </row>
    <row r="84" spans="1:81" x14ac:dyDescent="0.3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H84" t="s">
        <v>83</v>
      </c>
      <c r="I84" t="s">
        <v>84</v>
      </c>
      <c r="J84" t="s">
        <v>85</v>
      </c>
      <c r="K84" t="s">
        <v>86</v>
      </c>
      <c r="L84" t="s">
        <v>87</v>
      </c>
      <c r="M84" t="s">
        <v>135</v>
      </c>
      <c r="N84" t="s">
        <v>89</v>
      </c>
      <c r="O84" t="s">
        <v>89</v>
      </c>
      <c r="P84" t="s">
        <v>90</v>
      </c>
      <c r="Q84" t="s">
        <v>114</v>
      </c>
      <c r="R84">
        <v>8</v>
      </c>
      <c r="S84">
        <v>5</v>
      </c>
      <c r="T84">
        <v>2007</v>
      </c>
      <c r="U84">
        <v>2007</v>
      </c>
      <c r="V84" t="s">
        <v>92</v>
      </c>
      <c r="W84" t="s">
        <v>93</v>
      </c>
      <c r="X84" t="s">
        <v>94</v>
      </c>
      <c r="Y84" t="s">
        <v>94</v>
      </c>
      <c r="Z84" t="s">
        <v>136</v>
      </c>
      <c r="AA84">
        <v>468</v>
      </c>
      <c r="AB84" t="s">
        <v>97</v>
      </c>
      <c r="AC84" t="s">
        <v>97</v>
      </c>
      <c r="AD84" t="s">
        <v>98</v>
      </c>
      <c r="AE84" t="s">
        <v>96</v>
      </c>
      <c r="AF84" t="s">
        <v>97</v>
      </c>
      <c r="AG84" t="s">
        <v>99</v>
      </c>
      <c r="AH84" t="s">
        <v>100</v>
      </c>
      <c r="AI84">
        <v>33</v>
      </c>
      <c r="AJ84" t="s">
        <v>101</v>
      </c>
      <c r="AK84">
        <v>0</v>
      </c>
      <c r="AL84">
        <v>1530</v>
      </c>
      <c r="AM84">
        <v>1563</v>
      </c>
      <c r="AN84" t="s">
        <v>102</v>
      </c>
      <c r="AO84" t="s">
        <v>103</v>
      </c>
      <c r="AP84" t="s">
        <v>104</v>
      </c>
      <c r="AQ84" t="s">
        <v>105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96</v>
      </c>
      <c r="BC84">
        <v>6</v>
      </c>
      <c r="BD84" t="s">
        <v>106</v>
      </c>
      <c r="BE84">
        <v>1</v>
      </c>
      <c r="BF84" t="s">
        <v>96</v>
      </c>
      <c r="BG84" t="s">
        <v>107</v>
      </c>
      <c r="BH84">
        <v>2007</v>
      </c>
      <c r="BI84" t="s">
        <v>108</v>
      </c>
      <c r="BJ84">
        <v>3</v>
      </c>
      <c r="BK84">
        <v>758</v>
      </c>
      <c r="BL84" t="s">
        <v>97</v>
      </c>
      <c r="BM84" t="s">
        <v>97</v>
      </c>
      <c r="BN84" t="s">
        <v>104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X84">
        <v>0</v>
      </c>
      <c r="BY84">
        <v>10</v>
      </c>
      <c r="BZ84">
        <v>2008</v>
      </c>
      <c r="CA84" t="s">
        <v>109</v>
      </c>
      <c r="CB84" t="s">
        <v>110</v>
      </c>
      <c r="CC84">
        <v>245000</v>
      </c>
    </row>
    <row r="85" spans="1:81" x14ac:dyDescent="0.3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H85" t="s">
        <v>119</v>
      </c>
      <c r="I85" t="s">
        <v>84</v>
      </c>
      <c r="J85" t="s">
        <v>85</v>
      </c>
      <c r="K85" t="s">
        <v>86</v>
      </c>
      <c r="L85" t="s">
        <v>87</v>
      </c>
      <c r="M85" t="s">
        <v>270</v>
      </c>
      <c r="N85" t="s">
        <v>89</v>
      </c>
      <c r="O85" t="s">
        <v>89</v>
      </c>
      <c r="P85" t="s">
        <v>90</v>
      </c>
      <c r="Q85" t="s">
        <v>114</v>
      </c>
      <c r="R85">
        <v>5</v>
      </c>
      <c r="S85">
        <v>5</v>
      </c>
      <c r="T85">
        <v>1960</v>
      </c>
      <c r="U85">
        <v>1960</v>
      </c>
      <c r="V85" t="s">
        <v>92</v>
      </c>
      <c r="W85" t="s">
        <v>93</v>
      </c>
      <c r="X85" t="s">
        <v>115</v>
      </c>
      <c r="Y85" t="s">
        <v>115</v>
      </c>
      <c r="Z85" t="s">
        <v>206</v>
      </c>
      <c r="AA85">
        <v>66</v>
      </c>
      <c r="AB85" t="s">
        <v>97</v>
      </c>
      <c r="AC85" t="s">
        <v>97</v>
      </c>
      <c r="AD85" t="s">
        <v>117</v>
      </c>
      <c r="AE85" t="s">
        <v>97</v>
      </c>
      <c r="AF85" t="s">
        <v>97</v>
      </c>
      <c r="AG85" t="s">
        <v>99</v>
      </c>
      <c r="AH85" t="s">
        <v>101</v>
      </c>
      <c r="AI85">
        <v>0</v>
      </c>
      <c r="AJ85" t="s">
        <v>101</v>
      </c>
      <c r="AK85">
        <v>0</v>
      </c>
      <c r="AL85">
        <v>1065</v>
      </c>
      <c r="AM85">
        <v>1065</v>
      </c>
      <c r="AN85" t="s">
        <v>102</v>
      </c>
      <c r="AO85" t="s">
        <v>96</v>
      </c>
      <c r="AP85" t="s">
        <v>104</v>
      </c>
      <c r="AQ85" t="s">
        <v>105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97</v>
      </c>
      <c r="BC85">
        <v>6</v>
      </c>
      <c r="BD85" t="s">
        <v>106</v>
      </c>
      <c r="BE85">
        <v>0</v>
      </c>
      <c r="BG85" t="s">
        <v>126</v>
      </c>
      <c r="BH85">
        <v>1974</v>
      </c>
      <c r="BI85" t="s">
        <v>101</v>
      </c>
      <c r="BJ85">
        <v>2</v>
      </c>
      <c r="BK85">
        <v>461</v>
      </c>
      <c r="BL85" t="s">
        <v>97</v>
      </c>
      <c r="BM85" t="s">
        <v>97</v>
      </c>
      <c r="BN85" t="s">
        <v>104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X85">
        <v>0</v>
      </c>
      <c r="BY85">
        <v>7</v>
      </c>
      <c r="BZ85">
        <v>2007</v>
      </c>
      <c r="CA85" t="s">
        <v>172</v>
      </c>
      <c r="CB85" t="s">
        <v>110</v>
      </c>
      <c r="CC85">
        <v>126500</v>
      </c>
    </row>
    <row r="86" spans="1:81" x14ac:dyDescent="0.3">
      <c r="A86">
        <v>85</v>
      </c>
      <c r="B86">
        <v>80</v>
      </c>
      <c r="C86" t="s">
        <v>81</v>
      </c>
      <c r="E86">
        <v>8530</v>
      </c>
      <c r="F86" t="s">
        <v>82</v>
      </c>
      <c r="H86" t="s">
        <v>119</v>
      </c>
      <c r="I86" t="s">
        <v>84</v>
      </c>
      <c r="J86" t="s">
        <v>85</v>
      </c>
      <c r="K86" t="s">
        <v>86</v>
      </c>
      <c r="L86" t="s">
        <v>87</v>
      </c>
      <c r="M86" t="s">
        <v>192</v>
      </c>
      <c r="N86" t="s">
        <v>89</v>
      </c>
      <c r="O86" t="s">
        <v>89</v>
      </c>
      <c r="P86" t="s">
        <v>90</v>
      </c>
      <c r="Q86" t="s">
        <v>196</v>
      </c>
      <c r="R86">
        <v>7</v>
      </c>
      <c r="S86">
        <v>5</v>
      </c>
      <c r="T86">
        <v>1995</v>
      </c>
      <c r="U86">
        <v>1996</v>
      </c>
      <c r="V86" t="s">
        <v>92</v>
      </c>
      <c r="W86" t="s">
        <v>93</v>
      </c>
      <c r="X86" t="s">
        <v>139</v>
      </c>
      <c r="Y86" t="s">
        <v>139</v>
      </c>
      <c r="Z86" t="s">
        <v>95</v>
      </c>
      <c r="AA86">
        <v>22</v>
      </c>
      <c r="AB86" t="s">
        <v>97</v>
      </c>
      <c r="AC86" t="s">
        <v>97</v>
      </c>
      <c r="AD86" t="s">
        <v>98</v>
      </c>
      <c r="AE86" t="s">
        <v>96</v>
      </c>
      <c r="AF86" t="s">
        <v>97</v>
      </c>
      <c r="AG86" t="s">
        <v>99</v>
      </c>
      <c r="AH86" t="s">
        <v>101</v>
      </c>
      <c r="AI86">
        <v>0</v>
      </c>
      <c r="AJ86" t="s">
        <v>101</v>
      </c>
      <c r="AK86">
        <v>0</v>
      </c>
      <c r="AL86">
        <v>384</v>
      </c>
      <c r="AM86">
        <v>384</v>
      </c>
      <c r="AN86" t="s">
        <v>102</v>
      </c>
      <c r="AO86" t="s">
        <v>96</v>
      </c>
      <c r="AP86" t="s">
        <v>104</v>
      </c>
      <c r="AQ86" t="s">
        <v>105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97</v>
      </c>
      <c r="BC86">
        <v>7</v>
      </c>
      <c r="BD86" t="s">
        <v>106</v>
      </c>
      <c r="BE86">
        <v>1</v>
      </c>
      <c r="BF86" t="s">
        <v>97</v>
      </c>
      <c r="BG86" t="s">
        <v>155</v>
      </c>
      <c r="BH86">
        <v>1995</v>
      </c>
      <c r="BI86" t="s">
        <v>156</v>
      </c>
      <c r="BJ86">
        <v>2</v>
      </c>
      <c r="BK86">
        <v>400</v>
      </c>
      <c r="BL86" t="s">
        <v>97</v>
      </c>
      <c r="BM86" t="s">
        <v>97</v>
      </c>
      <c r="BN86" t="s">
        <v>104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W86" t="s">
        <v>134</v>
      </c>
      <c r="BX86">
        <v>700</v>
      </c>
      <c r="BY86">
        <v>5</v>
      </c>
      <c r="BZ86">
        <v>2009</v>
      </c>
      <c r="CA86" t="s">
        <v>109</v>
      </c>
      <c r="CB86" t="s">
        <v>110</v>
      </c>
      <c r="CC86">
        <v>168500</v>
      </c>
    </row>
    <row r="87" spans="1:81" x14ac:dyDescent="0.3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H87" t="s">
        <v>83</v>
      </c>
      <c r="I87" t="s">
        <v>84</v>
      </c>
      <c r="J87" t="s">
        <v>85</v>
      </c>
      <c r="K87" t="s">
        <v>121</v>
      </c>
      <c r="L87" t="s">
        <v>87</v>
      </c>
      <c r="M87" t="s">
        <v>128</v>
      </c>
      <c r="N87" t="s">
        <v>89</v>
      </c>
      <c r="O87" t="s">
        <v>89</v>
      </c>
      <c r="P87" t="s">
        <v>90</v>
      </c>
      <c r="Q87" t="s">
        <v>91</v>
      </c>
      <c r="R87">
        <v>8</v>
      </c>
      <c r="S87">
        <v>5</v>
      </c>
      <c r="T87">
        <v>1991</v>
      </c>
      <c r="U87">
        <v>1992</v>
      </c>
      <c r="V87" t="s">
        <v>151</v>
      </c>
      <c r="W87" t="s">
        <v>93</v>
      </c>
      <c r="X87" t="s">
        <v>139</v>
      </c>
      <c r="Y87" t="s">
        <v>139</v>
      </c>
      <c r="Z87" t="s">
        <v>95</v>
      </c>
      <c r="AA87">
        <v>284</v>
      </c>
      <c r="AB87" t="s">
        <v>96</v>
      </c>
      <c r="AC87" t="s">
        <v>97</v>
      </c>
      <c r="AD87" t="s">
        <v>117</v>
      </c>
      <c r="AE87" t="s">
        <v>96</v>
      </c>
      <c r="AF87" t="s">
        <v>97</v>
      </c>
      <c r="AG87" t="s">
        <v>99</v>
      </c>
      <c r="AH87" t="s">
        <v>101</v>
      </c>
      <c r="AI87">
        <v>0</v>
      </c>
      <c r="AJ87" t="s">
        <v>101</v>
      </c>
      <c r="AK87">
        <v>0</v>
      </c>
      <c r="AL87">
        <v>1288</v>
      </c>
      <c r="AM87">
        <v>1288</v>
      </c>
      <c r="AN87" t="s">
        <v>102</v>
      </c>
      <c r="AO87" t="s">
        <v>103</v>
      </c>
      <c r="AP87" t="s">
        <v>104</v>
      </c>
      <c r="AQ87" t="s">
        <v>105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96</v>
      </c>
      <c r="BC87">
        <v>9</v>
      </c>
      <c r="BD87" t="s">
        <v>106</v>
      </c>
      <c r="BE87">
        <v>1</v>
      </c>
      <c r="BF87" t="s">
        <v>97</v>
      </c>
      <c r="BG87" t="s">
        <v>107</v>
      </c>
      <c r="BH87">
        <v>1991</v>
      </c>
      <c r="BI87" t="s">
        <v>101</v>
      </c>
      <c r="BJ87">
        <v>2</v>
      </c>
      <c r="BK87">
        <v>462</v>
      </c>
      <c r="BL87" t="s">
        <v>97</v>
      </c>
      <c r="BM87" t="s">
        <v>97</v>
      </c>
      <c r="BN87" t="s">
        <v>104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4</v>
      </c>
      <c r="BZ87">
        <v>2006</v>
      </c>
      <c r="CA87" t="s">
        <v>109</v>
      </c>
      <c r="CB87" t="s">
        <v>110</v>
      </c>
      <c r="CC87">
        <v>260000</v>
      </c>
    </row>
    <row r="88" spans="1:81" x14ac:dyDescent="0.3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H88" t="s">
        <v>159</v>
      </c>
      <c r="I88" t="s">
        <v>84</v>
      </c>
      <c r="J88" t="s">
        <v>85</v>
      </c>
      <c r="K88" t="s">
        <v>86</v>
      </c>
      <c r="L88" t="s">
        <v>87</v>
      </c>
      <c r="M88" t="s">
        <v>192</v>
      </c>
      <c r="N88" t="s">
        <v>89</v>
      </c>
      <c r="O88" t="s">
        <v>89</v>
      </c>
      <c r="P88" t="s">
        <v>90</v>
      </c>
      <c r="Q88" t="s">
        <v>91</v>
      </c>
      <c r="R88">
        <v>6</v>
      </c>
      <c r="S88">
        <v>5</v>
      </c>
      <c r="T88">
        <v>2005</v>
      </c>
      <c r="U88">
        <v>2005</v>
      </c>
      <c r="V88" t="s">
        <v>92</v>
      </c>
      <c r="W88" t="s">
        <v>93</v>
      </c>
      <c r="X88" t="s">
        <v>94</v>
      </c>
      <c r="Y88" t="s">
        <v>94</v>
      </c>
      <c r="Z88" t="s">
        <v>116</v>
      </c>
      <c r="AA88">
        <v>0</v>
      </c>
      <c r="AB88" t="s">
        <v>96</v>
      </c>
      <c r="AC88" t="s">
        <v>97</v>
      </c>
      <c r="AD88" t="s">
        <v>98</v>
      </c>
      <c r="AE88" t="s">
        <v>96</v>
      </c>
      <c r="AF88" t="s">
        <v>97</v>
      </c>
      <c r="AG88" t="s">
        <v>129</v>
      </c>
      <c r="AH88" t="s">
        <v>101</v>
      </c>
      <c r="AI88">
        <v>0</v>
      </c>
      <c r="AJ88" t="s">
        <v>101</v>
      </c>
      <c r="AK88">
        <v>0</v>
      </c>
      <c r="AL88">
        <v>684</v>
      </c>
      <c r="AM88">
        <v>684</v>
      </c>
      <c r="AN88" t="s">
        <v>102</v>
      </c>
      <c r="AO88" t="s">
        <v>103</v>
      </c>
      <c r="AP88" t="s">
        <v>104</v>
      </c>
      <c r="AQ88" t="s">
        <v>105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96</v>
      </c>
      <c r="BC88">
        <v>6</v>
      </c>
      <c r="BD88" t="s">
        <v>106</v>
      </c>
      <c r="BE88">
        <v>1</v>
      </c>
      <c r="BF88" t="s">
        <v>96</v>
      </c>
      <c r="BG88" t="s">
        <v>155</v>
      </c>
      <c r="BH88">
        <v>2005</v>
      </c>
      <c r="BI88" t="s">
        <v>156</v>
      </c>
      <c r="BJ88">
        <v>2</v>
      </c>
      <c r="BK88">
        <v>400</v>
      </c>
      <c r="BL88" t="s">
        <v>97</v>
      </c>
      <c r="BM88" t="s">
        <v>97</v>
      </c>
      <c r="BN88" t="s">
        <v>104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X88">
        <v>0</v>
      </c>
      <c r="BY88">
        <v>3</v>
      </c>
      <c r="BZ88">
        <v>2009</v>
      </c>
      <c r="CA88" t="s">
        <v>109</v>
      </c>
      <c r="CB88" t="s">
        <v>110</v>
      </c>
      <c r="CC88">
        <v>174000</v>
      </c>
    </row>
    <row r="89" spans="1:81" x14ac:dyDescent="0.3">
      <c r="A89">
        <v>88</v>
      </c>
      <c r="B89">
        <v>160</v>
      </c>
      <c r="C89" t="s">
        <v>191</v>
      </c>
      <c r="D89">
        <v>40</v>
      </c>
      <c r="E89">
        <v>3951</v>
      </c>
      <c r="F89" t="s">
        <v>82</v>
      </c>
      <c r="G89" t="s">
        <v>82</v>
      </c>
      <c r="H89" t="s">
        <v>83</v>
      </c>
      <c r="I89" t="s">
        <v>84</v>
      </c>
      <c r="J89" t="s">
        <v>85</v>
      </c>
      <c r="K89" t="s">
        <v>121</v>
      </c>
      <c r="L89" t="s">
        <v>87</v>
      </c>
      <c r="M89" t="s">
        <v>135</v>
      </c>
      <c r="N89" t="s">
        <v>89</v>
      </c>
      <c r="O89" t="s">
        <v>89</v>
      </c>
      <c r="P89" t="s">
        <v>178</v>
      </c>
      <c r="Q89" t="s">
        <v>91</v>
      </c>
      <c r="R89">
        <v>6</v>
      </c>
      <c r="S89">
        <v>5</v>
      </c>
      <c r="T89">
        <v>2009</v>
      </c>
      <c r="U89">
        <v>2009</v>
      </c>
      <c r="V89" t="s">
        <v>92</v>
      </c>
      <c r="W89" t="s">
        <v>93</v>
      </c>
      <c r="X89" t="s">
        <v>94</v>
      </c>
      <c r="Y89" t="s">
        <v>94</v>
      </c>
      <c r="Z89" t="s">
        <v>136</v>
      </c>
      <c r="AA89">
        <v>76</v>
      </c>
      <c r="AB89" t="s">
        <v>96</v>
      </c>
      <c r="AC89" t="s">
        <v>97</v>
      </c>
      <c r="AD89" t="s">
        <v>98</v>
      </c>
      <c r="AE89" t="s">
        <v>96</v>
      </c>
      <c r="AF89" t="s">
        <v>97</v>
      </c>
      <c r="AG89" t="s">
        <v>129</v>
      </c>
      <c r="AH89" t="s">
        <v>101</v>
      </c>
      <c r="AI89">
        <v>0</v>
      </c>
      <c r="AJ89" t="s">
        <v>101</v>
      </c>
      <c r="AK89">
        <v>0</v>
      </c>
      <c r="AL89">
        <v>612</v>
      </c>
      <c r="AM89">
        <v>612</v>
      </c>
      <c r="AN89" t="s">
        <v>102</v>
      </c>
      <c r="AO89" t="s">
        <v>103</v>
      </c>
      <c r="AP89" t="s">
        <v>104</v>
      </c>
      <c r="AQ89" t="s">
        <v>105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96</v>
      </c>
      <c r="BC89">
        <v>4</v>
      </c>
      <c r="BD89" t="s">
        <v>106</v>
      </c>
      <c r="BE89">
        <v>0</v>
      </c>
      <c r="BG89" t="s">
        <v>126</v>
      </c>
      <c r="BH89">
        <v>2009</v>
      </c>
      <c r="BI89" t="s">
        <v>108</v>
      </c>
      <c r="BJ89">
        <v>2</v>
      </c>
      <c r="BK89">
        <v>528</v>
      </c>
      <c r="BL89" t="s">
        <v>97</v>
      </c>
      <c r="BM89" t="s">
        <v>97</v>
      </c>
      <c r="BN89" t="s">
        <v>104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X89">
        <v>0</v>
      </c>
      <c r="BY89">
        <v>6</v>
      </c>
      <c r="BZ89">
        <v>2009</v>
      </c>
      <c r="CA89" t="s">
        <v>157</v>
      </c>
      <c r="CB89" t="s">
        <v>158</v>
      </c>
      <c r="CC89">
        <v>164500</v>
      </c>
    </row>
    <row r="90" spans="1:81" x14ac:dyDescent="0.3">
      <c r="A90">
        <v>89</v>
      </c>
      <c r="B90">
        <v>50</v>
      </c>
      <c r="C90" t="s">
        <v>182</v>
      </c>
      <c r="D90">
        <v>105</v>
      </c>
      <c r="E90">
        <v>8470</v>
      </c>
      <c r="F90" t="s">
        <v>82</v>
      </c>
      <c r="H90" t="s">
        <v>119</v>
      </c>
      <c r="I90" t="s">
        <v>84</v>
      </c>
      <c r="J90" t="s">
        <v>85</v>
      </c>
      <c r="K90" t="s">
        <v>121</v>
      </c>
      <c r="L90" t="s">
        <v>87</v>
      </c>
      <c r="M90" t="s">
        <v>175</v>
      </c>
      <c r="N90" t="s">
        <v>113</v>
      </c>
      <c r="O90" t="s">
        <v>113</v>
      </c>
      <c r="P90" t="s">
        <v>90</v>
      </c>
      <c r="Q90" t="s">
        <v>131</v>
      </c>
      <c r="R90">
        <v>3</v>
      </c>
      <c r="S90">
        <v>2</v>
      </c>
      <c r="T90">
        <v>1915</v>
      </c>
      <c r="U90">
        <v>1982</v>
      </c>
      <c r="V90" t="s">
        <v>151</v>
      </c>
      <c r="W90" t="s">
        <v>93</v>
      </c>
      <c r="X90" t="s">
        <v>160</v>
      </c>
      <c r="Y90" t="s">
        <v>160</v>
      </c>
      <c r="Z90" t="s">
        <v>116</v>
      </c>
      <c r="AA90">
        <v>0</v>
      </c>
      <c r="AB90" t="s">
        <v>146</v>
      </c>
      <c r="AC90" t="s">
        <v>146</v>
      </c>
      <c r="AD90" t="s">
        <v>117</v>
      </c>
      <c r="AE90" t="s">
        <v>97</v>
      </c>
      <c r="AF90" t="s">
        <v>146</v>
      </c>
      <c r="AG90" t="s">
        <v>99</v>
      </c>
      <c r="AH90" t="s">
        <v>101</v>
      </c>
      <c r="AI90">
        <v>0</v>
      </c>
      <c r="AJ90" t="s">
        <v>101</v>
      </c>
      <c r="AK90">
        <v>0</v>
      </c>
      <c r="AL90">
        <v>1013</v>
      </c>
      <c r="AM90">
        <v>1013</v>
      </c>
      <c r="AN90" t="s">
        <v>102</v>
      </c>
      <c r="AO90" t="s">
        <v>97</v>
      </c>
      <c r="AP90" t="s">
        <v>176</v>
      </c>
      <c r="AQ90" t="s">
        <v>105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146</v>
      </c>
      <c r="BC90">
        <v>6</v>
      </c>
      <c r="BD90" t="s">
        <v>106</v>
      </c>
      <c r="BE90">
        <v>0</v>
      </c>
      <c r="BJ90">
        <v>0</v>
      </c>
      <c r="BK90">
        <v>0</v>
      </c>
      <c r="BN90" t="s">
        <v>176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V90" t="s">
        <v>133</v>
      </c>
      <c r="BX90">
        <v>0</v>
      </c>
      <c r="BY90">
        <v>10</v>
      </c>
      <c r="BZ90">
        <v>2009</v>
      </c>
      <c r="CA90" t="s">
        <v>207</v>
      </c>
      <c r="CB90" t="s">
        <v>127</v>
      </c>
      <c r="CC90">
        <v>85000</v>
      </c>
    </row>
    <row r="91" spans="1:81" x14ac:dyDescent="0.3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H91" t="s">
        <v>83</v>
      </c>
      <c r="I91" t="s">
        <v>84</v>
      </c>
      <c r="J91" t="s">
        <v>85</v>
      </c>
      <c r="K91" t="s">
        <v>86</v>
      </c>
      <c r="L91" t="s">
        <v>87</v>
      </c>
      <c r="M91" t="s">
        <v>88</v>
      </c>
      <c r="N91" t="s">
        <v>89</v>
      </c>
      <c r="O91" t="s">
        <v>89</v>
      </c>
      <c r="P91" t="s">
        <v>90</v>
      </c>
      <c r="Q91" t="s">
        <v>114</v>
      </c>
      <c r="R91">
        <v>4</v>
      </c>
      <c r="S91">
        <v>5</v>
      </c>
      <c r="T91">
        <v>1994</v>
      </c>
      <c r="U91">
        <v>1995</v>
      </c>
      <c r="V91" t="s">
        <v>92</v>
      </c>
      <c r="W91" t="s">
        <v>93</v>
      </c>
      <c r="X91" t="s">
        <v>94</v>
      </c>
      <c r="Y91" t="s">
        <v>94</v>
      </c>
      <c r="Z91" t="s">
        <v>116</v>
      </c>
      <c r="AA91">
        <v>0</v>
      </c>
      <c r="AB91" t="s">
        <v>97</v>
      </c>
      <c r="AC91" t="s">
        <v>97</v>
      </c>
      <c r="AD91" t="s">
        <v>98</v>
      </c>
      <c r="AE91" t="s">
        <v>96</v>
      </c>
      <c r="AF91" t="s">
        <v>97</v>
      </c>
      <c r="AG91" t="s">
        <v>99</v>
      </c>
      <c r="AH91" t="s">
        <v>100</v>
      </c>
      <c r="AI91">
        <v>588</v>
      </c>
      <c r="AJ91" t="s">
        <v>101</v>
      </c>
      <c r="AK91">
        <v>0</v>
      </c>
      <c r="AL91">
        <v>402</v>
      </c>
      <c r="AM91">
        <v>990</v>
      </c>
      <c r="AN91" t="s">
        <v>102</v>
      </c>
      <c r="AO91" t="s">
        <v>103</v>
      </c>
      <c r="AP91" t="s">
        <v>104</v>
      </c>
      <c r="AQ91" t="s">
        <v>105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97</v>
      </c>
      <c r="BC91">
        <v>5</v>
      </c>
      <c r="BD91" t="s">
        <v>106</v>
      </c>
      <c r="BE91">
        <v>0</v>
      </c>
      <c r="BJ91">
        <v>0</v>
      </c>
      <c r="BK91">
        <v>0</v>
      </c>
      <c r="BN91" t="s">
        <v>104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X91">
        <v>0</v>
      </c>
      <c r="BY91">
        <v>8</v>
      </c>
      <c r="BZ91">
        <v>2007</v>
      </c>
      <c r="CA91" t="s">
        <v>109</v>
      </c>
      <c r="CB91" t="s">
        <v>110</v>
      </c>
      <c r="CC91">
        <v>123600</v>
      </c>
    </row>
    <row r="92" spans="1:81" x14ac:dyDescent="0.3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H92" t="s">
        <v>83</v>
      </c>
      <c r="I92" t="s">
        <v>84</v>
      </c>
      <c r="J92" t="s">
        <v>85</v>
      </c>
      <c r="K92" t="s">
        <v>86</v>
      </c>
      <c r="L92" t="s">
        <v>87</v>
      </c>
      <c r="M92" t="s">
        <v>270</v>
      </c>
      <c r="N92" t="s">
        <v>89</v>
      </c>
      <c r="O92" t="s">
        <v>89</v>
      </c>
      <c r="P92" t="s">
        <v>90</v>
      </c>
      <c r="Q92" t="s">
        <v>114</v>
      </c>
      <c r="R92">
        <v>4</v>
      </c>
      <c r="S92">
        <v>5</v>
      </c>
      <c r="T92">
        <v>1950</v>
      </c>
      <c r="U92">
        <v>1950</v>
      </c>
      <c r="V92" t="s">
        <v>92</v>
      </c>
      <c r="W92" t="s">
        <v>93</v>
      </c>
      <c r="X92" t="s">
        <v>95</v>
      </c>
      <c r="Y92" t="s">
        <v>123</v>
      </c>
      <c r="Z92" t="s">
        <v>116</v>
      </c>
      <c r="AA92">
        <v>0</v>
      </c>
      <c r="AB92" t="s">
        <v>97</v>
      </c>
      <c r="AC92" t="s">
        <v>97</v>
      </c>
      <c r="AD92" t="s">
        <v>167</v>
      </c>
      <c r="AI92">
        <v>0</v>
      </c>
      <c r="AK92">
        <v>0</v>
      </c>
      <c r="AL92">
        <v>0</v>
      </c>
      <c r="AM92">
        <v>0</v>
      </c>
      <c r="AN92" t="s">
        <v>102</v>
      </c>
      <c r="AO92" t="s">
        <v>97</v>
      </c>
      <c r="AP92" t="s">
        <v>104</v>
      </c>
      <c r="AQ92" t="s">
        <v>163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97</v>
      </c>
      <c r="BC92">
        <v>4</v>
      </c>
      <c r="BD92" t="s">
        <v>106</v>
      </c>
      <c r="BE92">
        <v>0</v>
      </c>
      <c r="BG92" t="s">
        <v>126</v>
      </c>
      <c r="BH92">
        <v>1950</v>
      </c>
      <c r="BI92" t="s">
        <v>101</v>
      </c>
      <c r="BJ92">
        <v>2</v>
      </c>
      <c r="BK92">
        <v>420</v>
      </c>
      <c r="BL92" t="s">
        <v>97</v>
      </c>
      <c r="BM92" t="s">
        <v>97</v>
      </c>
      <c r="BN92" t="s">
        <v>104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X92">
        <v>0</v>
      </c>
      <c r="BY92">
        <v>7</v>
      </c>
      <c r="BZ92">
        <v>2006</v>
      </c>
      <c r="CA92" t="s">
        <v>109</v>
      </c>
      <c r="CB92" t="s">
        <v>110</v>
      </c>
      <c r="CC92">
        <v>109900</v>
      </c>
    </row>
    <row r="93" spans="1:81" x14ac:dyDescent="0.3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  <c r="M93" t="s">
        <v>270</v>
      </c>
      <c r="N93" t="s">
        <v>89</v>
      </c>
      <c r="O93" t="s">
        <v>89</v>
      </c>
      <c r="P93" t="s">
        <v>90</v>
      </c>
      <c r="Q93" t="s">
        <v>114</v>
      </c>
      <c r="R93">
        <v>5</v>
      </c>
      <c r="S93">
        <v>3</v>
      </c>
      <c r="T93">
        <v>1961</v>
      </c>
      <c r="U93">
        <v>1961</v>
      </c>
      <c r="V93" t="s">
        <v>151</v>
      </c>
      <c r="W93" t="s">
        <v>93</v>
      </c>
      <c r="X93" t="s">
        <v>139</v>
      </c>
      <c r="Y93" t="s">
        <v>139</v>
      </c>
      <c r="Z93" t="s">
        <v>206</v>
      </c>
      <c r="AA93">
        <v>203</v>
      </c>
      <c r="AB93" t="s">
        <v>97</v>
      </c>
      <c r="AC93" t="s">
        <v>97</v>
      </c>
      <c r="AD93" t="s">
        <v>117</v>
      </c>
      <c r="AE93" t="s">
        <v>97</v>
      </c>
      <c r="AF93" t="s">
        <v>97</v>
      </c>
      <c r="AG93" t="s">
        <v>99</v>
      </c>
      <c r="AH93" t="s">
        <v>152</v>
      </c>
      <c r="AI93">
        <v>600</v>
      </c>
      <c r="AJ93" t="s">
        <v>101</v>
      </c>
      <c r="AK93">
        <v>0</v>
      </c>
      <c r="AL93">
        <v>635</v>
      </c>
      <c r="AM93">
        <v>1235</v>
      </c>
      <c r="AN93" t="s">
        <v>102</v>
      </c>
      <c r="AO93" t="s">
        <v>97</v>
      </c>
      <c r="AP93" t="s">
        <v>104</v>
      </c>
      <c r="AQ93" t="s">
        <v>105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97</v>
      </c>
      <c r="BC93">
        <v>6</v>
      </c>
      <c r="BD93" t="s">
        <v>106</v>
      </c>
      <c r="BE93">
        <v>0</v>
      </c>
      <c r="BG93" t="s">
        <v>107</v>
      </c>
      <c r="BH93">
        <v>1961</v>
      </c>
      <c r="BI93" t="s">
        <v>101</v>
      </c>
      <c r="BJ93">
        <v>2</v>
      </c>
      <c r="BK93">
        <v>480</v>
      </c>
      <c r="BL93" t="s">
        <v>97</v>
      </c>
      <c r="BM93" t="s">
        <v>97</v>
      </c>
      <c r="BN93" t="s">
        <v>104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V93" t="s">
        <v>162</v>
      </c>
      <c r="BX93">
        <v>0</v>
      </c>
      <c r="BY93">
        <v>12</v>
      </c>
      <c r="BZ93">
        <v>2006</v>
      </c>
      <c r="CA93" t="s">
        <v>109</v>
      </c>
      <c r="CB93" t="s">
        <v>127</v>
      </c>
      <c r="CC93">
        <v>98600</v>
      </c>
    </row>
    <row r="94" spans="1:81" x14ac:dyDescent="0.3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173</v>
      </c>
      <c r="H94" t="s">
        <v>119</v>
      </c>
      <c r="I94" t="s">
        <v>198</v>
      </c>
      <c r="J94" t="s">
        <v>85</v>
      </c>
      <c r="K94" t="s">
        <v>86</v>
      </c>
      <c r="L94" t="s">
        <v>87</v>
      </c>
      <c r="M94" t="s">
        <v>122</v>
      </c>
      <c r="N94" t="s">
        <v>89</v>
      </c>
      <c r="O94" t="s">
        <v>89</v>
      </c>
      <c r="P94" t="s">
        <v>90</v>
      </c>
      <c r="Q94" t="s">
        <v>114</v>
      </c>
      <c r="R94">
        <v>5</v>
      </c>
      <c r="S94">
        <v>7</v>
      </c>
      <c r="T94">
        <v>1921</v>
      </c>
      <c r="U94">
        <v>2006</v>
      </c>
      <c r="V94" t="s">
        <v>92</v>
      </c>
      <c r="W94" t="s">
        <v>93</v>
      </c>
      <c r="X94" t="s">
        <v>123</v>
      </c>
      <c r="Y94" t="s">
        <v>123</v>
      </c>
      <c r="Z94" t="s">
        <v>116</v>
      </c>
      <c r="AA94">
        <v>0</v>
      </c>
      <c r="AB94" t="s">
        <v>97</v>
      </c>
      <c r="AC94" t="s">
        <v>96</v>
      </c>
      <c r="AD94" t="s">
        <v>125</v>
      </c>
      <c r="AE94" t="s">
        <v>96</v>
      </c>
      <c r="AF94" t="s">
        <v>97</v>
      </c>
      <c r="AG94" t="s">
        <v>99</v>
      </c>
      <c r="AH94" t="s">
        <v>118</v>
      </c>
      <c r="AI94">
        <v>713</v>
      </c>
      <c r="AJ94" t="s">
        <v>101</v>
      </c>
      <c r="AK94">
        <v>0</v>
      </c>
      <c r="AL94">
        <v>163</v>
      </c>
      <c r="AM94">
        <v>876</v>
      </c>
      <c r="AN94" t="s">
        <v>102</v>
      </c>
      <c r="AO94" t="s">
        <v>103</v>
      </c>
      <c r="AP94" t="s">
        <v>104</v>
      </c>
      <c r="AQ94" t="s">
        <v>105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97</v>
      </c>
      <c r="BC94">
        <v>5</v>
      </c>
      <c r="BD94" t="s">
        <v>106</v>
      </c>
      <c r="BE94">
        <v>0</v>
      </c>
      <c r="BG94" t="s">
        <v>126</v>
      </c>
      <c r="BH94">
        <v>1921</v>
      </c>
      <c r="BI94" t="s">
        <v>101</v>
      </c>
      <c r="BJ94">
        <v>2</v>
      </c>
      <c r="BK94">
        <v>432</v>
      </c>
      <c r="BL94" t="s">
        <v>97</v>
      </c>
      <c r="BM94" t="s">
        <v>97</v>
      </c>
      <c r="BN94" t="s">
        <v>104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X94">
        <v>0</v>
      </c>
      <c r="BY94">
        <v>8</v>
      </c>
      <c r="BZ94">
        <v>2009</v>
      </c>
      <c r="CA94" t="s">
        <v>109</v>
      </c>
      <c r="CB94" t="s">
        <v>110</v>
      </c>
      <c r="CC94">
        <v>163500</v>
      </c>
    </row>
    <row r="95" spans="1:81" x14ac:dyDescent="0.3">
      <c r="A95">
        <v>94</v>
      </c>
      <c r="B95">
        <v>190</v>
      </c>
      <c r="C95" t="s">
        <v>182</v>
      </c>
      <c r="D95">
        <v>60</v>
      </c>
      <c r="E95">
        <v>7200</v>
      </c>
      <c r="F95" t="s">
        <v>82</v>
      </c>
      <c r="H95" t="s">
        <v>83</v>
      </c>
      <c r="I95" t="s">
        <v>84</v>
      </c>
      <c r="J95" t="s">
        <v>85</v>
      </c>
      <c r="K95" t="s">
        <v>121</v>
      </c>
      <c r="L95" t="s">
        <v>87</v>
      </c>
      <c r="M95" t="s">
        <v>142</v>
      </c>
      <c r="N95" t="s">
        <v>89</v>
      </c>
      <c r="O95" t="s">
        <v>89</v>
      </c>
      <c r="P95" t="s">
        <v>148</v>
      </c>
      <c r="Q95" t="s">
        <v>200</v>
      </c>
      <c r="R95">
        <v>6</v>
      </c>
      <c r="S95">
        <v>6</v>
      </c>
      <c r="T95">
        <v>1910</v>
      </c>
      <c r="U95">
        <v>1998</v>
      </c>
      <c r="V95" t="s">
        <v>151</v>
      </c>
      <c r="W95" t="s">
        <v>93</v>
      </c>
      <c r="X95" t="s">
        <v>115</v>
      </c>
      <c r="Y95" t="s">
        <v>115</v>
      </c>
      <c r="Z95" t="s">
        <v>116</v>
      </c>
      <c r="AA95">
        <v>0</v>
      </c>
      <c r="AB95" t="s">
        <v>97</v>
      </c>
      <c r="AC95" t="s">
        <v>97</v>
      </c>
      <c r="AD95" t="s">
        <v>125</v>
      </c>
      <c r="AE95" t="s">
        <v>97</v>
      </c>
      <c r="AF95" t="s">
        <v>146</v>
      </c>
      <c r="AG95" t="s">
        <v>120</v>
      </c>
      <c r="AH95" t="s">
        <v>152</v>
      </c>
      <c r="AI95">
        <v>1046</v>
      </c>
      <c r="AJ95" t="s">
        <v>101</v>
      </c>
      <c r="AK95">
        <v>0</v>
      </c>
      <c r="AL95">
        <v>168</v>
      </c>
      <c r="AM95">
        <v>1214</v>
      </c>
      <c r="AN95" t="s">
        <v>205</v>
      </c>
      <c r="AO95" t="s">
        <v>103</v>
      </c>
      <c r="AP95" t="s">
        <v>176</v>
      </c>
      <c r="AQ95" t="s">
        <v>105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97</v>
      </c>
      <c r="BC95">
        <v>9</v>
      </c>
      <c r="BD95" t="s">
        <v>106</v>
      </c>
      <c r="BE95">
        <v>1</v>
      </c>
      <c r="BF95" t="s">
        <v>96</v>
      </c>
      <c r="BG95" t="s">
        <v>126</v>
      </c>
      <c r="BH95">
        <v>1900</v>
      </c>
      <c r="BI95" t="s">
        <v>101</v>
      </c>
      <c r="BJ95">
        <v>2</v>
      </c>
      <c r="BK95">
        <v>506</v>
      </c>
      <c r="BL95" t="s">
        <v>97</v>
      </c>
      <c r="BM95" t="s">
        <v>97</v>
      </c>
      <c r="BN95" t="s">
        <v>104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X95">
        <v>0</v>
      </c>
      <c r="BY95">
        <v>11</v>
      </c>
      <c r="BZ95">
        <v>2007</v>
      </c>
      <c r="CA95" t="s">
        <v>109</v>
      </c>
      <c r="CB95" t="s">
        <v>110</v>
      </c>
      <c r="CC95">
        <v>133900</v>
      </c>
    </row>
    <row r="96" spans="1:81" x14ac:dyDescent="0.3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H96" t="s">
        <v>119</v>
      </c>
      <c r="I96" t="s">
        <v>84</v>
      </c>
      <c r="J96" t="s">
        <v>85</v>
      </c>
      <c r="K96" t="s">
        <v>86</v>
      </c>
      <c r="L96" t="s">
        <v>87</v>
      </c>
      <c r="M96" t="s">
        <v>88</v>
      </c>
      <c r="N96" t="s">
        <v>89</v>
      </c>
      <c r="O96" t="s">
        <v>89</v>
      </c>
      <c r="P96" t="s">
        <v>90</v>
      </c>
      <c r="Q96" t="s">
        <v>91</v>
      </c>
      <c r="R96">
        <v>6</v>
      </c>
      <c r="S96">
        <v>5</v>
      </c>
      <c r="T96">
        <v>1997</v>
      </c>
      <c r="U96">
        <v>1997</v>
      </c>
      <c r="V96" t="s">
        <v>92</v>
      </c>
      <c r="W96" t="s">
        <v>93</v>
      </c>
      <c r="X96" t="s">
        <v>94</v>
      </c>
      <c r="Y96" t="s">
        <v>94</v>
      </c>
      <c r="Z96" t="s">
        <v>116</v>
      </c>
      <c r="AA96">
        <v>0</v>
      </c>
      <c r="AB96" t="s">
        <v>97</v>
      </c>
      <c r="AC96" t="s">
        <v>96</v>
      </c>
      <c r="AD96" t="s">
        <v>98</v>
      </c>
      <c r="AE96" t="s">
        <v>96</v>
      </c>
      <c r="AF96" t="s">
        <v>97</v>
      </c>
      <c r="AG96" t="s">
        <v>99</v>
      </c>
      <c r="AH96" t="s">
        <v>100</v>
      </c>
      <c r="AI96">
        <v>648</v>
      </c>
      <c r="AJ96" t="s">
        <v>101</v>
      </c>
      <c r="AK96">
        <v>0</v>
      </c>
      <c r="AL96">
        <v>176</v>
      </c>
      <c r="AM96">
        <v>824</v>
      </c>
      <c r="AN96" t="s">
        <v>102</v>
      </c>
      <c r="AO96" t="s">
        <v>103</v>
      </c>
      <c r="AP96" t="s">
        <v>104</v>
      </c>
      <c r="AQ96" t="s">
        <v>105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96</v>
      </c>
      <c r="BC96">
        <v>7</v>
      </c>
      <c r="BD96" t="s">
        <v>106</v>
      </c>
      <c r="BE96">
        <v>0</v>
      </c>
      <c r="BG96" t="s">
        <v>107</v>
      </c>
      <c r="BH96">
        <v>1997</v>
      </c>
      <c r="BI96" t="s">
        <v>108</v>
      </c>
      <c r="BJ96">
        <v>2</v>
      </c>
      <c r="BK96">
        <v>684</v>
      </c>
      <c r="BL96" t="s">
        <v>97</v>
      </c>
      <c r="BM96" t="s">
        <v>97</v>
      </c>
      <c r="BN96" t="s">
        <v>104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5</v>
      </c>
      <c r="BZ96">
        <v>2007</v>
      </c>
      <c r="CA96" t="s">
        <v>109</v>
      </c>
      <c r="CB96" t="s">
        <v>110</v>
      </c>
      <c r="CC96">
        <v>204750</v>
      </c>
    </row>
    <row r="97" spans="1:81" x14ac:dyDescent="0.3">
      <c r="A97">
        <v>96</v>
      </c>
      <c r="B97">
        <v>60</v>
      </c>
      <c r="C97" t="s">
        <v>81</v>
      </c>
      <c r="E97">
        <v>9765</v>
      </c>
      <c r="F97" t="s">
        <v>82</v>
      </c>
      <c r="H97" t="s">
        <v>159</v>
      </c>
      <c r="I97" t="s">
        <v>84</v>
      </c>
      <c r="J97" t="s">
        <v>85</v>
      </c>
      <c r="K97" t="s">
        <v>121</v>
      </c>
      <c r="L97" t="s">
        <v>87</v>
      </c>
      <c r="M97" t="s">
        <v>192</v>
      </c>
      <c r="N97" t="s">
        <v>89</v>
      </c>
      <c r="O97" t="s">
        <v>89</v>
      </c>
      <c r="P97" t="s">
        <v>90</v>
      </c>
      <c r="Q97" t="s">
        <v>91</v>
      </c>
      <c r="R97">
        <v>6</v>
      </c>
      <c r="S97">
        <v>8</v>
      </c>
      <c r="T97">
        <v>1993</v>
      </c>
      <c r="U97">
        <v>1993</v>
      </c>
      <c r="V97" t="s">
        <v>92</v>
      </c>
      <c r="W97" t="s">
        <v>93</v>
      </c>
      <c r="X97" t="s">
        <v>94</v>
      </c>
      <c r="Y97" t="s">
        <v>94</v>
      </c>
      <c r="Z97" t="s">
        <v>95</v>
      </c>
      <c r="AA97">
        <v>68</v>
      </c>
      <c r="AB97" t="s">
        <v>103</v>
      </c>
      <c r="AC97" t="s">
        <v>96</v>
      </c>
      <c r="AD97" t="s">
        <v>98</v>
      </c>
      <c r="AE97" t="s">
        <v>96</v>
      </c>
      <c r="AF97" t="s">
        <v>96</v>
      </c>
      <c r="AG97" t="s">
        <v>99</v>
      </c>
      <c r="AH97" t="s">
        <v>118</v>
      </c>
      <c r="AI97">
        <v>310</v>
      </c>
      <c r="AJ97" t="s">
        <v>101</v>
      </c>
      <c r="AK97">
        <v>0</v>
      </c>
      <c r="AL97">
        <v>370</v>
      </c>
      <c r="AM97">
        <v>680</v>
      </c>
      <c r="AN97" t="s">
        <v>102</v>
      </c>
      <c r="AO97" t="s">
        <v>96</v>
      </c>
      <c r="AP97" t="s">
        <v>104</v>
      </c>
      <c r="AQ97" t="s">
        <v>105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97</v>
      </c>
      <c r="BC97">
        <v>6</v>
      </c>
      <c r="BD97" t="s">
        <v>106</v>
      </c>
      <c r="BE97">
        <v>1</v>
      </c>
      <c r="BF97" t="s">
        <v>97</v>
      </c>
      <c r="BG97" t="s">
        <v>155</v>
      </c>
      <c r="BH97">
        <v>1993</v>
      </c>
      <c r="BI97" t="s">
        <v>156</v>
      </c>
      <c r="BJ97">
        <v>2</v>
      </c>
      <c r="BK97">
        <v>420</v>
      </c>
      <c r="BL97" t="s">
        <v>97</v>
      </c>
      <c r="BM97" t="s">
        <v>97</v>
      </c>
      <c r="BN97" t="s">
        <v>104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W97" t="s">
        <v>134</v>
      </c>
      <c r="BX97">
        <v>480</v>
      </c>
      <c r="BY97">
        <v>4</v>
      </c>
      <c r="BZ97">
        <v>2009</v>
      </c>
      <c r="CA97" t="s">
        <v>109</v>
      </c>
      <c r="CB97" t="s">
        <v>110</v>
      </c>
      <c r="CC97">
        <v>185000</v>
      </c>
    </row>
    <row r="98" spans="1:81" x14ac:dyDescent="0.3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H98" t="s">
        <v>119</v>
      </c>
      <c r="I98" t="s">
        <v>84</v>
      </c>
      <c r="J98" t="s">
        <v>85</v>
      </c>
      <c r="K98" t="s">
        <v>86</v>
      </c>
      <c r="L98" t="s">
        <v>87</v>
      </c>
      <c r="M98" t="s">
        <v>88</v>
      </c>
      <c r="N98" t="s">
        <v>89</v>
      </c>
      <c r="O98" t="s">
        <v>89</v>
      </c>
      <c r="P98" t="s">
        <v>90</v>
      </c>
      <c r="Q98" t="s">
        <v>114</v>
      </c>
      <c r="R98">
        <v>7</v>
      </c>
      <c r="S98">
        <v>5</v>
      </c>
      <c r="T98">
        <v>1999</v>
      </c>
      <c r="U98">
        <v>1999</v>
      </c>
      <c r="V98" t="s">
        <v>92</v>
      </c>
      <c r="W98" t="s">
        <v>93</v>
      </c>
      <c r="X98" t="s">
        <v>94</v>
      </c>
      <c r="Y98" t="s">
        <v>94</v>
      </c>
      <c r="Z98" t="s">
        <v>95</v>
      </c>
      <c r="AA98">
        <v>183</v>
      </c>
      <c r="AB98" t="s">
        <v>96</v>
      </c>
      <c r="AC98" t="s">
        <v>97</v>
      </c>
      <c r="AD98" t="s">
        <v>98</v>
      </c>
      <c r="AE98" t="s">
        <v>96</v>
      </c>
      <c r="AF98" t="s">
        <v>97</v>
      </c>
      <c r="AG98" t="s">
        <v>129</v>
      </c>
      <c r="AH98" t="s">
        <v>118</v>
      </c>
      <c r="AI98">
        <v>1162</v>
      </c>
      <c r="AJ98" t="s">
        <v>101</v>
      </c>
      <c r="AK98">
        <v>0</v>
      </c>
      <c r="AL98">
        <v>426</v>
      </c>
      <c r="AM98">
        <v>1588</v>
      </c>
      <c r="AN98" t="s">
        <v>102</v>
      </c>
      <c r="AO98" t="s">
        <v>103</v>
      </c>
      <c r="AP98" t="s">
        <v>104</v>
      </c>
      <c r="AQ98" t="s">
        <v>105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96</v>
      </c>
      <c r="BC98">
        <v>6</v>
      </c>
      <c r="BD98" t="s">
        <v>106</v>
      </c>
      <c r="BE98">
        <v>0</v>
      </c>
      <c r="BG98" t="s">
        <v>107</v>
      </c>
      <c r="BH98">
        <v>1999</v>
      </c>
      <c r="BI98" t="s">
        <v>108</v>
      </c>
      <c r="BJ98">
        <v>2</v>
      </c>
      <c r="BK98">
        <v>472</v>
      </c>
      <c r="BL98" t="s">
        <v>97</v>
      </c>
      <c r="BM98" t="s">
        <v>97</v>
      </c>
      <c r="BN98" t="s">
        <v>104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X98">
        <v>0</v>
      </c>
      <c r="BY98">
        <v>8</v>
      </c>
      <c r="BZ98">
        <v>2006</v>
      </c>
      <c r="CA98" t="s">
        <v>109</v>
      </c>
      <c r="CB98" t="s">
        <v>110</v>
      </c>
      <c r="CC98">
        <v>214000</v>
      </c>
    </row>
    <row r="99" spans="1:81" x14ac:dyDescent="0.3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H99" t="s">
        <v>83</v>
      </c>
      <c r="I99" t="s">
        <v>198</v>
      </c>
      <c r="J99" t="s">
        <v>85</v>
      </c>
      <c r="K99" t="s">
        <v>86</v>
      </c>
      <c r="L99" t="s">
        <v>87</v>
      </c>
      <c r="M99" t="s">
        <v>184</v>
      </c>
      <c r="N99" t="s">
        <v>89</v>
      </c>
      <c r="O99" t="s">
        <v>89</v>
      </c>
      <c r="P99" t="s">
        <v>90</v>
      </c>
      <c r="Q99" t="s">
        <v>114</v>
      </c>
      <c r="R99">
        <v>4</v>
      </c>
      <c r="S99">
        <v>5</v>
      </c>
      <c r="T99">
        <v>1965</v>
      </c>
      <c r="U99">
        <v>1965</v>
      </c>
      <c r="V99" t="s">
        <v>151</v>
      </c>
      <c r="W99" t="s">
        <v>93</v>
      </c>
      <c r="X99" t="s">
        <v>139</v>
      </c>
      <c r="Y99" t="s">
        <v>139</v>
      </c>
      <c r="Z99" t="s">
        <v>95</v>
      </c>
      <c r="AA99">
        <v>48</v>
      </c>
      <c r="AB99" t="s">
        <v>97</v>
      </c>
      <c r="AC99" t="s">
        <v>97</v>
      </c>
      <c r="AD99" t="s">
        <v>117</v>
      </c>
      <c r="AE99" t="s">
        <v>97</v>
      </c>
      <c r="AF99" t="s">
        <v>97</v>
      </c>
      <c r="AG99" t="s">
        <v>99</v>
      </c>
      <c r="AH99" t="s">
        <v>152</v>
      </c>
      <c r="AI99">
        <v>520</v>
      </c>
      <c r="AJ99" t="s">
        <v>101</v>
      </c>
      <c r="AK99">
        <v>0</v>
      </c>
      <c r="AL99">
        <v>440</v>
      </c>
      <c r="AM99">
        <v>960</v>
      </c>
      <c r="AN99" t="s">
        <v>102</v>
      </c>
      <c r="AO99" t="s">
        <v>97</v>
      </c>
      <c r="AP99" t="s">
        <v>104</v>
      </c>
      <c r="AQ99" t="s">
        <v>144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97</v>
      </c>
      <c r="BC99">
        <v>6</v>
      </c>
      <c r="BD99" t="s">
        <v>106</v>
      </c>
      <c r="BE99">
        <v>0</v>
      </c>
      <c r="BG99" t="s">
        <v>107</v>
      </c>
      <c r="BH99">
        <v>1965</v>
      </c>
      <c r="BI99" t="s">
        <v>156</v>
      </c>
      <c r="BJ99">
        <v>1</v>
      </c>
      <c r="BK99">
        <v>432</v>
      </c>
      <c r="BL99" t="s">
        <v>97</v>
      </c>
      <c r="BM99" t="s">
        <v>97</v>
      </c>
      <c r="BN99" t="s">
        <v>189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X99">
        <v>0</v>
      </c>
      <c r="BY99">
        <v>5</v>
      </c>
      <c r="BZ99">
        <v>2007</v>
      </c>
      <c r="CA99" t="s">
        <v>109</v>
      </c>
      <c r="CB99" t="s">
        <v>110</v>
      </c>
      <c r="CC99">
        <v>94750</v>
      </c>
    </row>
    <row r="100" spans="1:81" x14ac:dyDescent="0.3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H100" t="s">
        <v>83</v>
      </c>
      <c r="I100" t="s">
        <v>84</v>
      </c>
      <c r="J100" t="s">
        <v>85</v>
      </c>
      <c r="K100" t="s">
        <v>121</v>
      </c>
      <c r="L100" t="s">
        <v>87</v>
      </c>
      <c r="M100" t="s">
        <v>184</v>
      </c>
      <c r="N100" t="s">
        <v>89</v>
      </c>
      <c r="O100" t="s">
        <v>89</v>
      </c>
      <c r="P100" t="s">
        <v>90</v>
      </c>
      <c r="Q100" t="s">
        <v>114</v>
      </c>
      <c r="R100">
        <v>5</v>
      </c>
      <c r="S100">
        <v>5</v>
      </c>
      <c r="T100">
        <v>1920</v>
      </c>
      <c r="U100">
        <v>1950</v>
      </c>
      <c r="V100" t="s">
        <v>92</v>
      </c>
      <c r="W100" t="s">
        <v>93</v>
      </c>
      <c r="X100" t="s">
        <v>123</v>
      </c>
      <c r="Y100" t="s">
        <v>123</v>
      </c>
      <c r="Z100" t="s">
        <v>116</v>
      </c>
      <c r="AA100">
        <v>0</v>
      </c>
      <c r="AB100" t="s">
        <v>97</v>
      </c>
      <c r="AC100" t="s">
        <v>97</v>
      </c>
      <c r="AD100" t="s">
        <v>125</v>
      </c>
      <c r="AE100" t="s">
        <v>97</v>
      </c>
      <c r="AF100" t="s">
        <v>97</v>
      </c>
      <c r="AG100" t="s">
        <v>99</v>
      </c>
      <c r="AH100" t="s">
        <v>118</v>
      </c>
      <c r="AI100">
        <v>108</v>
      </c>
      <c r="AJ100" t="s">
        <v>101</v>
      </c>
      <c r="AK100">
        <v>0</v>
      </c>
      <c r="AL100">
        <v>350</v>
      </c>
      <c r="AM100">
        <v>458</v>
      </c>
      <c r="AN100" t="s">
        <v>102</v>
      </c>
      <c r="AO100" t="s">
        <v>146</v>
      </c>
      <c r="AP100" t="s">
        <v>176</v>
      </c>
      <c r="AQ100" t="s">
        <v>105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97</v>
      </c>
      <c r="BC100">
        <v>5</v>
      </c>
      <c r="BD100" t="s">
        <v>106</v>
      </c>
      <c r="BE100">
        <v>0</v>
      </c>
      <c r="BG100" t="s">
        <v>208</v>
      </c>
      <c r="BH100">
        <v>1920</v>
      </c>
      <c r="BI100" t="s">
        <v>101</v>
      </c>
      <c r="BJ100">
        <v>1</v>
      </c>
      <c r="BK100">
        <v>366</v>
      </c>
      <c r="BL100" t="s">
        <v>146</v>
      </c>
      <c r="BM100" t="s">
        <v>97</v>
      </c>
      <c r="BN100" t="s">
        <v>104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W100" t="s">
        <v>134</v>
      </c>
      <c r="BX100">
        <v>400</v>
      </c>
      <c r="BY100">
        <v>5</v>
      </c>
      <c r="BZ100">
        <v>2010</v>
      </c>
      <c r="CA100" t="s">
        <v>172</v>
      </c>
      <c r="CB100" t="s">
        <v>127</v>
      </c>
      <c r="CC100">
        <v>83000</v>
      </c>
    </row>
    <row r="101" spans="1:81" x14ac:dyDescent="0.3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H101" t="s">
        <v>119</v>
      </c>
      <c r="I101" t="s">
        <v>84</v>
      </c>
      <c r="J101" t="s">
        <v>85</v>
      </c>
      <c r="K101" t="s">
        <v>86</v>
      </c>
      <c r="L101" t="s">
        <v>87</v>
      </c>
      <c r="M101" t="s">
        <v>270</v>
      </c>
      <c r="N101" t="s">
        <v>89</v>
      </c>
      <c r="O101" t="s">
        <v>89</v>
      </c>
      <c r="P101" t="s">
        <v>90</v>
      </c>
      <c r="Q101" t="s">
        <v>114</v>
      </c>
      <c r="R101">
        <v>4</v>
      </c>
      <c r="S101">
        <v>5</v>
      </c>
      <c r="T101">
        <v>1959</v>
      </c>
      <c r="U101">
        <v>1959</v>
      </c>
      <c r="V101" t="s">
        <v>92</v>
      </c>
      <c r="W101" t="s">
        <v>93</v>
      </c>
      <c r="X101" t="s">
        <v>160</v>
      </c>
      <c r="Y101" t="s">
        <v>160</v>
      </c>
      <c r="Z101" t="s">
        <v>116</v>
      </c>
      <c r="AA101">
        <v>0</v>
      </c>
      <c r="AB101" t="s">
        <v>97</v>
      </c>
      <c r="AC101" t="s">
        <v>97</v>
      </c>
      <c r="AD101" t="s">
        <v>117</v>
      </c>
      <c r="AE101" t="s">
        <v>97</v>
      </c>
      <c r="AF101" t="s">
        <v>97</v>
      </c>
      <c r="AG101" t="s">
        <v>99</v>
      </c>
      <c r="AH101" t="s">
        <v>118</v>
      </c>
      <c r="AI101">
        <v>569</v>
      </c>
      <c r="AJ101" t="s">
        <v>101</v>
      </c>
      <c r="AK101">
        <v>0</v>
      </c>
      <c r="AL101">
        <v>381</v>
      </c>
      <c r="AM101">
        <v>950</v>
      </c>
      <c r="AN101" t="s">
        <v>102</v>
      </c>
      <c r="AO101" t="s">
        <v>146</v>
      </c>
      <c r="AP101" t="s">
        <v>104</v>
      </c>
      <c r="AQ101" t="s">
        <v>105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97</v>
      </c>
      <c r="BC101">
        <v>6</v>
      </c>
      <c r="BD101" t="s">
        <v>106</v>
      </c>
      <c r="BE101">
        <v>0</v>
      </c>
      <c r="BJ101">
        <v>0</v>
      </c>
      <c r="BK101">
        <v>0</v>
      </c>
      <c r="BN101" t="s">
        <v>104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W101" t="s">
        <v>134</v>
      </c>
      <c r="BX101">
        <v>400</v>
      </c>
      <c r="BY101">
        <v>1</v>
      </c>
      <c r="BZ101">
        <v>2010</v>
      </c>
      <c r="CA101" t="s">
        <v>109</v>
      </c>
      <c r="CB101" t="s">
        <v>110</v>
      </c>
      <c r="CC101">
        <v>128950</v>
      </c>
    </row>
    <row r="102" spans="1:81" x14ac:dyDescent="0.3">
      <c r="A102">
        <v>101</v>
      </c>
      <c r="B102">
        <v>20</v>
      </c>
      <c r="C102" t="s">
        <v>81</v>
      </c>
      <c r="E102">
        <v>10603</v>
      </c>
      <c r="F102" t="s">
        <v>82</v>
      </c>
      <c r="H102" t="s">
        <v>119</v>
      </c>
      <c r="I102" t="s">
        <v>84</v>
      </c>
      <c r="J102" t="s">
        <v>85</v>
      </c>
      <c r="K102" t="s">
        <v>86</v>
      </c>
      <c r="L102" t="s">
        <v>87</v>
      </c>
      <c r="M102" t="s">
        <v>137</v>
      </c>
      <c r="N102" t="s">
        <v>89</v>
      </c>
      <c r="O102" t="s">
        <v>89</v>
      </c>
      <c r="P102" t="s">
        <v>90</v>
      </c>
      <c r="Q102" t="s">
        <v>114</v>
      </c>
      <c r="R102">
        <v>6</v>
      </c>
      <c r="S102">
        <v>7</v>
      </c>
      <c r="T102">
        <v>1977</v>
      </c>
      <c r="U102">
        <v>2001</v>
      </c>
      <c r="V102" t="s">
        <v>92</v>
      </c>
      <c r="W102" t="s">
        <v>93</v>
      </c>
      <c r="X102" t="s">
        <v>160</v>
      </c>
      <c r="Y102" t="s">
        <v>160</v>
      </c>
      <c r="Z102" t="s">
        <v>95</v>
      </c>
      <c r="AA102">
        <v>28</v>
      </c>
      <c r="AB102" t="s">
        <v>97</v>
      </c>
      <c r="AC102" t="s">
        <v>97</v>
      </c>
      <c r="AD102" t="s">
        <v>98</v>
      </c>
      <c r="AE102" t="s">
        <v>97</v>
      </c>
      <c r="AF102" t="s">
        <v>97</v>
      </c>
      <c r="AG102" t="s">
        <v>120</v>
      </c>
      <c r="AH102" t="s">
        <v>118</v>
      </c>
      <c r="AI102">
        <v>1200</v>
      </c>
      <c r="AJ102" t="s">
        <v>101</v>
      </c>
      <c r="AK102">
        <v>0</v>
      </c>
      <c r="AL102">
        <v>410</v>
      </c>
      <c r="AM102">
        <v>1610</v>
      </c>
      <c r="AN102" t="s">
        <v>102</v>
      </c>
      <c r="AO102" t="s">
        <v>96</v>
      </c>
      <c r="AP102" t="s">
        <v>104</v>
      </c>
      <c r="AQ102" t="s">
        <v>105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96</v>
      </c>
      <c r="BC102">
        <v>6</v>
      </c>
      <c r="BD102" t="s">
        <v>106</v>
      </c>
      <c r="BE102">
        <v>2</v>
      </c>
      <c r="BF102" t="s">
        <v>97</v>
      </c>
      <c r="BG102" t="s">
        <v>107</v>
      </c>
      <c r="BH102">
        <v>1977</v>
      </c>
      <c r="BI102" t="s">
        <v>108</v>
      </c>
      <c r="BJ102">
        <v>2</v>
      </c>
      <c r="BK102">
        <v>480</v>
      </c>
      <c r="BL102" t="s">
        <v>97</v>
      </c>
      <c r="BM102" t="s">
        <v>97</v>
      </c>
      <c r="BN102" t="s">
        <v>104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2</v>
      </c>
      <c r="BZ102">
        <v>2010</v>
      </c>
      <c r="CA102" t="s">
        <v>109</v>
      </c>
      <c r="CB102" t="s">
        <v>110</v>
      </c>
      <c r="CC102">
        <v>205000</v>
      </c>
    </row>
    <row r="103" spans="1:81" x14ac:dyDescent="0.3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H103" t="s">
        <v>83</v>
      </c>
      <c r="I103" t="s">
        <v>84</v>
      </c>
      <c r="J103" t="s">
        <v>85</v>
      </c>
      <c r="K103" t="s">
        <v>86</v>
      </c>
      <c r="L103" t="s">
        <v>87</v>
      </c>
      <c r="M103" t="s">
        <v>169</v>
      </c>
      <c r="N103" t="s">
        <v>89</v>
      </c>
      <c r="O103" t="s">
        <v>89</v>
      </c>
      <c r="P103" t="s">
        <v>90</v>
      </c>
      <c r="Q103" t="s">
        <v>91</v>
      </c>
      <c r="R103">
        <v>6</v>
      </c>
      <c r="S103">
        <v>5</v>
      </c>
      <c r="T103">
        <v>1985</v>
      </c>
      <c r="U103">
        <v>1985</v>
      </c>
      <c r="V103" t="s">
        <v>92</v>
      </c>
      <c r="W103" t="s">
        <v>93</v>
      </c>
      <c r="X103" t="s">
        <v>139</v>
      </c>
      <c r="Y103" t="s">
        <v>139</v>
      </c>
      <c r="Z103" t="s">
        <v>95</v>
      </c>
      <c r="AA103">
        <v>336</v>
      </c>
      <c r="AB103" t="s">
        <v>96</v>
      </c>
      <c r="AC103" t="s">
        <v>97</v>
      </c>
      <c r="AD103" t="s">
        <v>117</v>
      </c>
      <c r="AE103" t="s">
        <v>96</v>
      </c>
      <c r="AF103" t="s">
        <v>97</v>
      </c>
      <c r="AG103" t="s">
        <v>99</v>
      </c>
      <c r="AH103" t="s">
        <v>101</v>
      </c>
      <c r="AI103">
        <v>0</v>
      </c>
      <c r="AJ103" t="s">
        <v>101</v>
      </c>
      <c r="AK103">
        <v>0</v>
      </c>
      <c r="AL103">
        <v>741</v>
      </c>
      <c r="AM103">
        <v>741</v>
      </c>
      <c r="AN103" t="s">
        <v>102</v>
      </c>
      <c r="AO103" t="s">
        <v>97</v>
      </c>
      <c r="AP103" t="s">
        <v>104</v>
      </c>
      <c r="AQ103" t="s">
        <v>105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96</v>
      </c>
      <c r="BC103">
        <v>7</v>
      </c>
      <c r="BD103" t="s">
        <v>106</v>
      </c>
      <c r="BE103">
        <v>1</v>
      </c>
      <c r="BF103" t="s">
        <v>97</v>
      </c>
      <c r="BG103" t="s">
        <v>107</v>
      </c>
      <c r="BH103">
        <v>1985</v>
      </c>
      <c r="BI103" t="s">
        <v>156</v>
      </c>
      <c r="BJ103">
        <v>2</v>
      </c>
      <c r="BK103">
        <v>476</v>
      </c>
      <c r="BL103" t="s">
        <v>97</v>
      </c>
      <c r="BM103" t="s">
        <v>97</v>
      </c>
      <c r="BN103" t="s">
        <v>104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6</v>
      </c>
      <c r="BZ103">
        <v>2010</v>
      </c>
      <c r="CA103" t="s">
        <v>109</v>
      </c>
      <c r="CB103" t="s">
        <v>110</v>
      </c>
      <c r="CC103">
        <v>178000</v>
      </c>
    </row>
    <row r="104" spans="1:81" x14ac:dyDescent="0.3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H104" t="s">
        <v>83</v>
      </c>
      <c r="I104" t="s">
        <v>174</v>
      </c>
      <c r="J104" t="s">
        <v>85</v>
      </c>
      <c r="K104" t="s">
        <v>86</v>
      </c>
      <c r="L104" t="s">
        <v>87</v>
      </c>
      <c r="M104" t="s">
        <v>169</v>
      </c>
      <c r="N104" t="s">
        <v>89</v>
      </c>
      <c r="O104" t="s">
        <v>89</v>
      </c>
      <c r="P104" t="s">
        <v>166</v>
      </c>
      <c r="Q104" t="s">
        <v>114</v>
      </c>
      <c r="R104">
        <v>5</v>
      </c>
      <c r="S104">
        <v>5</v>
      </c>
      <c r="T104">
        <v>1979</v>
      </c>
      <c r="U104">
        <v>1979</v>
      </c>
      <c r="V104" t="s">
        <v>92</v>
      </c>
      <c r="W104" t="s">
        <v>93</v>
      </c>
      <c r="X104" t="s">
        <v>139</v>
      </c>
      <c r="Y104" t="s">
        <v>139</v>
      </c>
      <c r="Z104" t="s">
        <v>116</v>
      </c>
      <c r="AA104">
        <v>0</v>
      </c>
      <c r="AB104" t="s">
        <v>97</v>
      </c>
      <c r="AC104" t="s">
        <v>146</v>
      </c>
      <c r="AD104" t="s">
        <v>167</v>
      </c>
      <c r="AI104">
        <v>0</v>
      </c>
      <c r="AK104">
        <v>0</v>
      </c>
      <c r="AL104">
        <v>0</v>
      </c>
      <c r="AM104">
        <v>0</v>
      </c>
      <c r="AN104" t="s">
        <v>102</v>
      </c>
      <c r="AO104" t="s">
        <v>97</v>
      </c>
      <c r="AP104" t="s">
        <v>104</v>
      </c>
      <c r="AQ104" t="s">
        <v>105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97</v>
      </c>
      <c r="BC104">
        <v>8</v>
      </c>
      <c r="BD104" t="s">
        <v>106</v>
      </c>
      <c r="BE104">
        <v>0</v>
      </c>
      <c r="BG104" t="s">
        <v>107</v>
      </c>
      <c r="BH104">
        <v>1979</v>
      </c>
      <c r="BI104" t="s">
        <v>101</v>
      </c>
      <c r="BJ104">
        <v>2</v>
      </c>
      <c r="BK104">
        <v>410</v>
      </c>
      <c r="BL104" t="s">
        <v>97</v>
      </c>
      <c r="BM104" t="s">
        <v>97</v>
      </c>
      <c r="BN104" t="s">
        <v>104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6</v>
      </c>
      <c r="BZ104">
        <v>2009</v>
      </c>
      <c r="CA104" t="s">
        <v>109</v>
      </c>
      <c r="CB104" t="s">
        <v>209</v>
      </c>
      <c r="CC104">
        <v>118964</v>
      </c>
    </row>
    <row r="105" spans="1:81" x14ac:dyDescent="0.3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H105" t="s">
        <v>119</v>
      </c>
      <c r="I105" t="s">
        <v>84</v>
      </c>
      <c r="J105" t="s">
        <v>85</v>
      </c>
      <c r="K105" t="s">
        <v>121</v>
      </c>
      <c r="L105" t="s">
        <v>87</v>
      </c>
      <c r="M105" t="s">
        <v>88</v>
      </c>
      <c r="N105" t="s">
        <v>89</v>
      </c>
      <c r="O105" t="s">
        <v>89</v>
      </c>
      <c r="P105" t="s">
        <v>90</v>
      </c>
      <c r="Q105" t="s">
        <v>114</v>
      </c>
      <c r="R105">
        <v>7</v>
      </c>
      <c r="S105">
        <v>5</v>
      </c>
      <c r="T105">
        <v>2009</v>
      </c>
      <c r="U105">
        <v>2009</v>
      </c>
      <c r="V105" t="s">
        <v>92</v>
      </c>
      <c r="W105" t="s">
        <v>93</v>
      </c>
      <c r="X105" t="s">
        <v>94</v>
      </c>
      <c r="Y105" t="s">
        <v>94</v>
      </c>
      <c r="Z105" t="s">
        <v>116</v>
      </c>
      <c r="AA105">
        <v>0</v>
      </c>
      <c r="AB105" t="s">
        <v>97</v>
      </c>
      <c r="AC105" t="s">
        <v>97</v>
      </c>
      <c r="AD105" t="s">
        <v>98</v>
      </c>
      <c r="AE105" t="s">
        <v>96</v>
      </c>
      <c r="AF105" t="s">
        <v>97</v>
      </c>
      <c r="AG105" t="s">
        <v>99</v>
      </c>
      <c r="AH105" t="s">
        <v>101</v>
      </c>
      <c r="AI105">
        <v>0</v>
      </c>
      <c r="AJ105" t="s">
        <v>101</v>
      </c>
      <c r="AK105">
        <v>0</v>
      </c>
      <c r="AL105">
        <v>1226</v>
      </c>
      <c r="AM105">
        <v>1226</v>
      </c>
      <c r="AN105" t="s">
        <v>102</v>
      </c>
      <c r="AO105" t="s">
        <v>103</v>
      </c>
      <c r="AP105" t="s">
        <v>104</v>
      </c>
      <c r="AQ105" t="s">
        <v>105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96</v>
      </c>
      <c r="BC105">
        <v>6</v>
      </c>
      <c r="BD105" t="s">
        <v>106</v>
      </c>
      <c r="BE105">
        <v>0</v>
      </c>
      <c r="BG105" t="s">
        <v>107</v>
      </c>
      <c r="BH105">
        <v>2009</v>
      </c>
      <c r="BI105" t="s">
        <v>108</v>
      </c>
      <c r="BJ105">
        <v>3</v>
      </c>
      <c r="BK105">
        <v>740</v>
      </c>
      <c r="BL105" t="s">
        <v>97</v>
      </c>
      <c r="BM105" t="s">
        <v>97</v>
      </c>
      <c r="BN105" t="s">
        <v>104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5</v>
      </c>
      <c r="BZ105">
        <v>2010</v>
      </c>
      <c r="CA105" t="s">
        <v>109</v>
      </c>
      <c r="CB105" t="s">
        <v>110</v>
      </c>
      <c r="CC105">
        <v>198900</v>
      </c>
    </row>
    <row r="106" spans="1:81" x14ac:dyDescent="0.3">
      <c r="A106">
        <v>105</v>
      </c>
      <c r="B106">
        <v>50</v>
      </c>
      <c r="C106" t="s">
        <v>141</v>
      </c>
      <c r="E106">
        <v>7758</v>
      </c>
      <c r="F106" t="s">
        <v>82</v>
      </c>
      <c r="H106" t="s">
        <v>83</v>
      </c>
      <c r="I106" t="s">
        <v>84</v>
      </c>
      <c r="J106" t="s">
        <v>85</v>
      </c>
      <c r="K106" t="s">
        <v>121</v>
      </c>
      <c r="L106" t="s">
        <v>87</v>
      </c>
      <c r="M106" t="s">
        <v>175</v>
      </c>
      <c r="N106" t="s">
        <v>89</v>
      </c>
      <c r="O106" t="s">
        <v>89</v>
      </c>
      <c r="P106" t="s">
        <v>90</v>
      </c>
      <c r="Q106" t="s">
        <v>131</v>
      </c>
      <c r="R106">
        <v>7</v>
      </c>
      <c r="S106">
        <v>4</v>
      </c>
      <c r="T106">
        <v>1931</v>
      </c>
      <c r="U106">
        <v>1950</v>
      </c>
      <c r="V106" t="s">
        <v>92</v>
      </c>
      <c r="W106" t="s">
        <v>93</v>
      </c>
      <c r="X106" t="s">
        <v>202</v>
      </c>
      <c r="Y106" t="s">
        <v>202</v>
      </c>
      <c r="Z106" t="s">
        <v>95</v>
      </c>
      <c r="AA106">
        <v>600</v>
      </c>
      <c r="AB106" t="s">
        <v>97</v>
      </c>
      <c r="AC106" t="s">
        <v>146</v>
      </c>
      <c r="AD106" t="s">
        <v>98</v>
      </c>
      <c r="AE106" t="s">
        <v>97</v>
      </c>
      <c r="AF106" t="s">
        <v>97</v>
      </c>
      <c r="AG106" t="s">
        <v>99</v>
      </c>
      <c r="AH106" t="s">
        <v>171</v>
      </c>
      <c r="AI106">
        <v>224</v>
      </c>
      <c r="AJ106" t="s">
        <v>101</v>
      </c>
      <c r="AK106">
        <v>0</v>
      </c>
      <c r="AL106">
        <v>816</v>
      </c>
      <c r="AM106">
        <v>1040</v>
      </c>
      <c r="AN106" t="s">
        <v>102</v>
      </c>
      <c r="AO106" t="s">
        <v>103</v>
      </c>
      <c r="AP106" t="s">
        <v>104</v>
      </c>
      <c r="AQ106" t="s">
        <v>144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97</v>
      </c>
      <c r="BC106">
        <v>7</v>
      </c>
      <c r="BD106" t="s">
        <v>106</v>
      </c>
      <c r="BE106">
        <v>2</v>
      </c>
      <c r="BF106" t="s">
        <v>97</v>
      </c>
      <c r="BG106" t="s">
        <v>126</v>
      </c>
      <c r="BH106">
        <v>1951</v>
      </c>
      <c r="BI106" t="s">
        <v>101</v>
      </c>
      <c r="BJ106">
        <v>1</v>
      </c>
      <c r="BK106">
        <v>240</v>
      </c>
      <c r="BL106" t="s">
        <v>97</v>
      </c>
      <c r="BM106" t="s">
        <v>97</v>
      </c>
      <c r="BN106" t="s">
        <v>104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X106">
        <v>0</v>
      </c>
      <c r="BY106">
        <v>6</v>
      </c>
      <c r="BZ106">
        <v>2007</v>
      </c>
      <c r="CA106" t="s">
        <v>109</v>
      </c>
      <c r="CB106" t="s">
        <v>110</v>
      </c>
      <c r="CC106">
        <v>169500</v>
      </c>
    </row>
    <row r="107" spans="1:81" x14ac:dyDescent="0.3">
      <c r="A107">
        <v>106</v>
      </c>
      <c r="B107">
        <v>60</v>
      </c>
      <c r="C107" t="s">
        <v>191</v>
      </c>
      <c r="D107">
        <v>75</v>
      </c>
      <c r="E107">
        <v>9375</v>
      </c>
      <c r="F107" t="s">
        <v>82</v>
      </c>
      <c r="H107" t="s">
        <v>83</v>
      </c>
      <c r="I107" t="s">
        <v>84</v>
      </c>
      <c r="J107" t="s">
        <v>85</v>
      </c>
      <c r="K107" t="s">
        <v>86</v>
      </c>
      <c r="L107" t="s">
        <v>87</v>
      </c>
      <c r="M107" t="s">
        <v>135</v>
      </c>
      <c r="N107" t="s">
        <v>89</v>
      </c>
      <c r="O107" t="s">
        <v>89</v>
      </c>
      <c r="P107" t="s">
        <v>90</v>
      </c>
      <c r="Q107" t="s">
        <v>91</v>
      </c>
      <c r="R107">
        <v>8</v>
      </c>
      <c r="S107">
        <v>5</v>
      </c>
      <c r="T107">
        <v>2003</v>
      </c>
      <c r="U107">
        <v>2004</v>
      </c>
      <c r="V107" t="s">
        <v>151</v>
      </c>
      <c r="W107" t="s">
        <v>93</v>
      </c>
      <c r="X107" t="s">
        <v>94</v>
      </c>
      <c r="Y107" t="s">
        <v>94</v>
      </c>
      <c r="Z107" t="s">
        <v>95</v>
      </c>
      <c r="AA107">
        <v>768</v>
      </c>
      <c r="AB107" t="s">
        <v>96</v>
      </c>
      <c r="AC107" t="s">
        <v>97</v>
      </c>
      <c r="AD107" t="s">
        <v>98</v>
      </c>
      <c r="AE107" t="s">
        <v>103</v>
      </c>
      <c r="AF107" t="s">
        <v>97</v>
      </c>
      <c r="AG107" t="s">
        <v>99</v>
      </c>
      <c r="AH107" t="s">
        <v>101</v>
      </c>
      <c r="AI107">
        <v>0</v>
      </c>
      <c r="AJ107" t="s">
        <v>101</v>
      </c>
      <c r="AK107">
        <v>0</v>
      </c>
      <c r="AL107">
        <v>1053</v>
      </c>
      <c r="AM107">
        <v>1053</v>
      </c>
      <c r="AN107" t="s">
        <v>102</v>
      </c>
      <c r="AO107" t="s">
        <v>103</v>
      </c>
      <c r="AP107" t="s">
        <v>104</v>
      </c>
      <c r="AQ107" t="s">
        <v>105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96</v>
      </c>
      <c r="BC107">
        <v>9</v>
      </c>
      <c r="BD107" t="s">
        <v>106</v>
      </c>
      <c r="BE107">
        <v>1</v>
      </c>
      <c r="BF107" t="s">
        <v>96</v>
      </c>
      <c r="BG107" t="s">
        <v>107</v>
      </c>
      <c r="BH107">
        <v>2003</v>
      </c>
      <c r="BI107" t="s">
        <v>108</v>
      </c>
      <c r="BJ107">
        <v>2</v>
      </c>
      <c r="BK107">
        <v>648</v>
      </c>
      <c r="BL107" t="s">
        <v>97</v>
      </c>
      <c r="BM107" t="s">
        <v>97</v>
      </c>
      <c r="BN107" t="s">
        <v>104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X107">
        <v>0</v>
      </c>
      <c r="BY107">
        <v>8</v>
      </c>
      <c r="BZ107">
        <v>2008</v>
      </c>
      <c r="CA107" t="s">
        <v>109</v>
      </c>
      <c r="CB107" t="s">
        <v>110</v>
      </c>
      <c r="CC107">
        <v>250000</v>
      </c>
    </row>
    <row r="108" spans="1:81" x14ac:dyDescent="0.3">
      <c r="A108">
        <v>107</v>
      </c>
      <c r="B108">
        <v>30</v>
      </c>
      <c r="C108" t="s">
        <v>141</v>
      </c>
      <c r="D108">
        <v>60</v>
      </c>
      <c r="E108">
        <v>10800</v>
      </c>
      <c r="F108" t="s">
        <v>82</v>
      </c>
      <c r="G108" t="s">
        <v>173</v>
      </c>
      <c r="H108" t="s">
        <v>83</v>
      </c>
      <c r="I108" t="s">
        <v>84</v>
      </c>
      <c r="J108" t="s">
        <v>85</v>
      </c>
      <c r="K108" t="s">
        <v>86</v>
      </c>
      <c r="L108" t="s">
        <v>87</v>
      </c>
      <c r="M108" t="s">
        <v>142</v>
      </c>
      <c r="N108" t="s">
        <v>89</v>
      </c>
      <c r="O108" t="s">
        <v>89</v>
      </c>
      <c r="P108" t="s">
        <v>90</v>
      </c>
      <c r="Q108" t="s">
        <v>114</v>
      </c>
      <c r="R108">
        <v>4</v>
      </c>
      <c r="S108">
        <v>7</v>
      </c>
      <c r="T108">
        <v>1885</v>
      </c>
      <c r="U108">
        <v>1995</v>
      </c>
      <c r="V108" t="s">
        <v>210</v>
      </c>
      <c r="W108" t="s">
        <v>93</v>
      </c>
      <c r="X108" t="s">
        <v>94</v>
      </c>
      <c r="Y108" t="s">
        <v>94</v>
      </c>
      <c r="Z108" t="s">
        <v>116</v>
      </c>
      <c r="AA108">
        <v>0</v>
      </c>
      <c r="AB108" t="s">
        <v>97</v>
      </c>
      <c r="AC108" t="s">
        <v>97</v>
      </c>
      <c r="AD108" t="s">
        <v>125</v>
      </c>
      <c r="AE108" t="s">
        <v>146</v>
      </c>
      <c r="AF108" t="s">
        <v>97</v>
      </c>
      <c r="AG108" t="s">
        <v>99</v>
      </c>
      <c r="AH108" t="s">
        <v>101</v>
      </c>
      <c r="AI108">
        <v>0</v>
      </c>
      <c r="AJ108" t="s">
        <v>101</v>
      </c>
      <c r="AK108">
        <v>0</v>
      </c>
      <c r="AL108">
        <v>641</v>
      </c>
      <c r="AM108">
        <v>641</v>
      </c>
      <c r="AN108" t="s">
        <v>102</v>
      </c>
      <c r="AO108" t="s">
        <v>96</v>
      </c>
      <c r="AP108" t="s">
        <v>104</v>
      </c>
      <c r="AQ108" t="s">
        <v>105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97</v>
      </c>
      <c r="BC108">
        <v>6</v>
      </c>
      <c r="BD108" t="s">
        <v>106</v>
      </c>
      <c r="BE108">
        <v>0</v>
      </c>
      <c r="BG108" t="s">
        <v>126</v>
      </c>
      <c r="BH108">
        <v>1954</v>
      </c>
      <c r="BI108" t="s">
        <v>101</v>
      </c>
      <c r="BJ108">
        <v>1</v>
      </c>
      <c r="BK108">
        <v>273</v>
      </c>
      <c r="BL108" t="s">
        <v>146</v>
      </c>
      <c r="BM108" t="s">
        <v>146</v>
      </c>
      <c r="BN108" t="s">
        <v>176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">
        <v>134</v>
      </c>
      <c r="BX108">
        <v>450</v>
      </c>
      <c r="BY108">
        <v>8</v>
      </c>
      <c r="BZ108">
        <v>2007</v>
      </c>
      <c r="CA108" t="s">
        <v>109</v>
      </c>
      <c r="CB108" t="s">
        <v>110</v>
      </c>
      <c r="CC108">
        <v>100000</v>
      </c>
    </row>
    <row r="109" spans="1:81" x14ac:dyDescent="0.3">
      <c r="A109">
        <v>108</v>
      </c>
      <c r="B109">
        <v>20</v>
      </c>
      <c r="C109" t="s">
        <v>141</v>
      </c>
      <c r="D109">
        <v>50</v>
      </c>
      <c r="E109">
        <v>6000</v>
      </c>
      <c r="F109" t="s">
        <v>82</v>
      </c>
      <c r="H109" t="s">
        <v>83</v>
      </c>
      <c r="I109" t="s">
        <v>84</v>
      </c>
      <c r="J109" t="s">
        <v>85</v>
      </c>
      <c r="K109" t="s">
        <v>86</v>
      </c>
      <c r="L109" t="s">
        <v>87</v>
      </c>
      <c r="M109" t="s">
        <v>142</v>
      </c>
      <c r="N109" t="s">
        <v>89</v>
      </c>
      <c r="O109" t="s">
        <v>89</v>
      </c>
      <c r="P109" t="s">
        <v>90</v>
      </c>
      <c r="Q109" t="s">
        <v>114</v>
      </c>
      <c r="R109">
        <v>5</v>
      </c>
      <c r="S109">
        <v>5</v>
      </c>
      <c r="T109">
        <v>1948</v>
      </c>
      <c r="U109">
        <v>1950</v>
      </c>
      <c r="V109" t="s">
        <v>92</v>
      </c>
      <c r="W109" t="s">
        <v>93</v>
      </c>
      <c r="X109" t="s">
        <v>94</v>
      </c>
      <c r="Y109" t="s">
        <v>94</v>
      </c>
      <c r="Z109" t="s">
        <v>116</v>
      </c>
      <c r="AA109">
        <v>0</v>
      </c>
      <c r="AB109" t="s">
        <v>97</v>
      </c>
      <c r="AC109" t="s">
        <v>97</v>
      </c>
      <c r="AD109" t="s">
        <v>117</v>
      </c>
      <c r="AE109" t="s">
        <v>97</v>
      </c>
      <c r="AF109" t="s">
        <v>97</v>
      </c>
      <c r="AG109" t="s">
        <v>99</v>
      </c>
      <c r="AH109" t="s">
        <v>118</v>
      </c>
      <c r="AI109">
        <v>104</v>
      </c>
      <c r="AJ109" t="s">
        <v>140</v>
      </c>
      <c r="AK109">
        <v>169</v>
      </c>
      <c r="AL109">
        <v>516</v>
      </c>
      <c r="AM109">
        <v>789</v>
      </c>
      <c r="AN109" t="s">
        <v>102</v>
      </c>
      <c r="AO109" t="s">
        <v>103</v>
      </c>
      <c r="AP109" t="s">
        <v>104</v>
      </c>
      <c r="AQ109" t="s">
        <v>105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97</v>
      </c>
      <c r="BC109">
        <v>5</v>
      </c>
      <c r="BD109" t="s">
        <v>106</v>
      </c>
      <c r="BE109">
        <v>0</v>
      </c>
      <c r="BG109" t="s">
        <v>126</v>
      </c>
      <c r="BH109">
        <v>1948</v>
      </c>
      <c r="BI109" t="s">
        <v>101</v>
      </c>
      <c r="BJ109">
        <v>1</v>
      </c>
      <c r="BK109">
        <v>250</v>
      </c>
      <c r="BL109" t="s">
        <v>97</v>
      </c>
      <c r="BM109" t="s">
        <v>97</v>
      </c>
      <c r="BN109" t="s">
        <v>104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X109">
        <v>0</v>
      </c>
      <c r="BY109">
        <v>4</v>
      </c>
      <c r="BZ109">
        <v>2008</v>
      </c>
      <c r="CA109" t="s">
        <v>109</v>
      </c>
      <c r="CB109" t="s">
        <v>158</v>
      </c>
      <c r="CC109">
        <v>115000</v>
      </c>
    </row>
    <row r="110" spans="1:81" x14ac:dyDescent="0.3">
      <c r="A110">
        <v>109</v>
      </c>
      <c r="B110">
        <v>50</v>
      </c>
      <c r="C110" t="s">
        <v>141</v>
      </c>
      <c r="D110">
        <v>85</v>
      </c>
      <c r="E110">
        <v>8500</v>
      </c>
      <c r="F110" t="s">
        <v>82</v>
      </c>
      <c r="H110" t="s">
        <v>83</v>
      </c>
      <c r="I110" t="s">
        <v>84</v>
      </c>
      <c r="J110" t="s">
        <v>85</v>
      </c>
      <c r="K110" t="s">
        <v>121</v>
      </c>
      <c r="L110" t="s">
        <v>87</v>
      </c>
      <c r="M110" t="s">
        <v>175</v>
      </c>
      <c r="N110" t="s">
        <v>143</v>
      </c>
      <c r="O110" t="s">
        <v>89</v>
      </c>
      <c r="P110" t="s">
        <v>90</v>
      </c>
      <c r="Q110" t="s">
        <v>131</v>
      </c>
      <c r="R110">
        <v>5</v>
      </c>
      <c r="S110">
        <v>7</v>
      </c>
      <c r="T110">
        <v>1919</v>
      </c>
      <c r="U110">
        <v>2005</v>
      </c>
      <c r="V110" t="s">
        <v>92</v>
      </c>
      <c r="W110" t="s">
        <v>93</v>
      </c>
      <c r="X110" t="s">
        <v>179</v>
      </c>
      <c r="Y110" t="s">
        <v>180</v>
      </c>
      <c r="Z110" t="s">
        <v>116</v>
      </c>
      <c r="AA110">
        <v>0</v>
      </c>
      <c r="AB110" t="s">
        <v>97</v>
      </c>
      <c r="AC110" t="s">
        <v>97</v>
      </c>
      <c r="AD110" t="s">
        <v>117</v>
      </c>
      <c r="AE110" t="s">
        <v>97</v>
      </c>
      <c r="AF110" t="s">
        <v>97</v>
      </c>
      <c r="AG110" t="s">
        <v>99</v>
      </c>
      <c r="AH110" t="s">
        <v>101</v>
      </c>
      <c r="AI110">
        <v>0</v>
      </c>
      <c r="AJ110" t="s">
        <v>101</v>
      </c>
      <c r="AK110">
        <v>0</v>
      </c>
      <c r="AL110">
        <v>793</v>
      </c>
      <c r="AM110">
        <v>793</v>
      </c>
      <c r="AN110" t="s">
        <v>205</v>
      </c>
      <c r="AO110" t="s">
        <v>97</v>
      </c>
      <c r="AP110" t="s">
        <v>176</v>
      </c>
      <c r="AQ110" t="s">
        <v>144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146</v>
      </c>
      <c r="BC110">
        <v>7</v>
      </c>
      <c r="BD110" t="s">
        <v>106</v>
      </c>
      <c r="BE110">
        <v>0</v>
      </c>
      <c r="BJ110">
        <v>0</v>
      </c>
      <c r="BK110">
        <v>0</v>
      </c>
      <c r="BN110" t="s">
        <v>176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X110">
        <v>0</v>
      </c>
      <c r="BY110">
        <v>8</v>
      </c>
      <c r="BZ110">
        <v>2007</v>
      </c>
      <c r="CA110" t="s">
        <v>109</v>
      </c>
      <c r="CB110" t="s">
        <v>110</v>
      </c>
      <c r="CC110">
        <v>115000</v>
      </c>
    </row>
    <row r="111" spans="1:81" x14ac:dyDescent="0.3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H111" t="s">
        <v>119</v>
      </c>
      <c r="I111" t="s">
        <v>84</v>
      </c>
      <c r="J111" t="s">
        <v>85</v>
      </c>
      <c r="K111" t="s">
        <v>86</v>
      </c>
      <c r="L111" t="s">
        <v>87</v>
      </c>
      <c r="M111" t="s">
        <v>137</v>
      </c>
      <c r="N111" t="s">
        <v>89</v>
      </c>
      <c r="O111" t="s">
        <v>89</v>
      </c>
      <c r="P111" t="s">
        <v>90</v>
      </c>
      <c r="Q111" t="s">
        <v>114</v>
      </c>
      <c r="R111">
        <v>6</v>
      </c>
      <c r="S111">
        <v>6</v>
      </c>
      <c r="T111">
        <v>1977</v>
      </c>
      <c r="U111">
        <v>1977</v>
      </c>
      <c r="V111" t="s">
        <v>151</v>
      </c>
      <c r="W111" t="s">
        <v>93</v>
      </c>
      <c r="X111" t="s">
        <v>160</v>
      </c>
      <c r="Y111" t="s">
        <v>160</v>
      </c>
      <c r="Z111" t="s">
        <v>95</v>
      </c>
      <c r="AA111">
        <v>480</v>
      </c>
      <c r="AB111" t="s">
        <v>97</v>
      </c>
      <c r="AC111" t="s">
        <v>97</v>
      </c>
      <c r="AD111" t="s">
        <v>117</v>
      </c>
      <c r="AE111" t="s">
        <v>96</v>
      </c>
      <c r="AF111" t="s">
        <v>97</v>
      </c>
      <c r="AG111" t="s">
        <v>99</v>
      </c>
      <c r="AH111" t="s">
        <v>140</v>
      </c>
      <c r="AI111">
        <v>705</v>
      </c>
      <c r="AJ111" t="s">
        <v>101</v>
      </c>
      <c r="AK111">
        <v>0</v>
      </c>
      <c r="AL111">
        <v>1139</v>
      </c>
      <c r="AM111">
        <v>1844</v>
      </c>
      <c r="AN111" t="s">
        <v>102</v>
      </c>
      <c r="AO111" t="s">
        <v>103</v>
      </c>
      <c r="AP111" t="s">
        <v>104</v>
      </c>
      <c r="AQ111" t="s">
        <v>105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97</v>
      </c>
      <c r="BC111">
        <v>7</v>
      </c>
      <c r="BD111" t="s">
        <v>106</v>
      </c>
      <c r="BE111">
        <v>1</v>
      </c>
      <c r="BF111" t="s">
        <v>97</v>
      </c>
      <c r="BG111" t="s">
        <v>107</v>
      </c>
      <c r="BH111">
        <v>1977</v>
      </c>
      <c r="BI111" t="s">
        <v>108</v>
      </c>
      <c r="BJ111">
        <v>2</v>
      </c>
      <c r="BK111">
        <v>546</v>
      </c>
      <c r="BL111" t="s">
        <v>97</v>
      </c>
      <c r="BM111" t="s">
        <v>97</v>
      </c>
      <c r="BN111" t="s">
        <v>104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V111" t="s">
        <v>133</v>
      </c>
      <c r="BX111">
        <v>0</v>
      </c>
      <c r="BY111">
        <v>1</v>
      </c>
      <c r="BZ111">
        <v>2010</v>
      </c>
      <c r="CA111" t="s">
        <v>172</v>
      </c>
      <c r="CB111" t="s">
        <v>110</v>
      </c>
      <c r="CC111">
        <v>190000</v>
      </c>
    </row>
    <row r="112" spans="1:81" x14ac:dyDescent="0.3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H112" t="s">
        <v>83</v>
      </c>
      <c r="I112" t="s">
        <v>84</v>
      </c>
      <c r="J112" t="s">
        <v>85</v>
      </c>
      <c r="K112" t="s">
        <v>86</v>
      </c>
      <c r="L112" t="s">
        <v>87</v>
      </c>
      <c r="M112" t="s">
        <v>184</v>
      </c>
      <c r="N112" t="s">
        <v>89</v>
      </c>
      <c r="O112" t="s">
        <v>89</v>
      </c>
      <c r="P112" t="s">
        <v>90</v>
      </c>
      <c r="Q112" t="s">
        <v>131</v>
      </c>
      <c r="R112">
        <v>6</v>
      </c>
      <c r="S112">
        <v>4</v>
      </c>
      <c r="T112">
        <v>1954</v>
      </c>
      <c r="U112">
        <v>1972</v>
      </c>
      <c r="V112" t="s">
        <v>92</v>
      </c>
      <c r="W112" t="s">
        <v>93</v>
      </c>
      <c r="X112" t="s">
        <v>123</v>
      </c>
      <c r="Y112" t="s">
        <v>123</v>
      </c>
      <c r="Z112" t="s">
        <v>116</v>
      </c>
      <c r="AA112">
        <v>0</v>
      </c>
      <c r="AB112" t="s">
        <v>97</v>
      </c>
      <c r="AC112" t="s">
        <v>97</v>
      </c>
      <c r="AD112" t="s">
        <v>117</v>
      </c>
      <c r="AE112" t="s">
        <v>97</v>
      </c>
      <c r="AF112" t="s">
        <v>146</v>
      </c>
      <c r="AG112" t="s">
        <v>99</v>
      </c>
      <c r="AH112" t="s">
        <v>152</v>
      </c>
      <c r="AI112">
        <v>444</v>
      </c>
      <c r="AJ112" t="s">
        <v>101</v>
      </c>
      <c r="AK112">
        <v>0</v>
      </c>
      <c r="AL112">
        <v>550</v>
      </c>
      <c r="AM112">
        <v>994</v>
      </c>
      <c r="AN112" t="s">
        <v>102</v>
      </c>
      <c r="AO112" t="s">
        <v>96</v>
      </c>
      <c r="AP112" t="s">
        <v>104</v>
      </c>
      <c r="AQ112" t="s">
        <v>105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97</v>
      </c>
      <c r="BC112">
        <v>7</v>
      </c>
      <c r="BD112" t="s">
        <v>106</v>
      </c>
      <c r="BE112">
        <v>0</v>
      </c>
      <c r="BG112" t="s">
        <v>107</v>
      </c>
      <c r="BH112">
        <v>1954</v>
      </c>
      <c r="BI112" t="s">
        <v>101</v>
      </c>
      <c r="BJ112">
        <v>1</v>
      </c>
      <c r="BK112">
        <v>325</v>
      </c>
      <c r="BL112" t="s">
        <v>97</v>
      </c>
      <c r="BM112" t="s">
        <v>97</v>
      </c>
      <c r="BN112" t="s">
        <v>104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X112">
        <v>0</v>
      </c>
      <c r="BY112">
        <v>10</v>
      </c>
      <c r="BZ112">
        <v>2006</v>
      </c>
      <c r="CA112" t="s">
        <v>109</v>
      </c>
      <c r="CB112" t="s">
        <v>110</v>
      </c>
      <c r="CC112">
        <v>136900</v>
      </c>
    </row>
    <row r="113" spans="1:81" x14ac:dyDescent="0.3">
      <c r="A113">
        <v>112</v>
      </c>
      <c r="B113">
        <v>80</v>
      </c>
      <c r="C113" t="s">
        <v>81</v>
      </c>
      <c r="E113">
        <v>7750</v>
      </c>
      <c r="F113" t="s">
        <v>82</v>
      </c>
      <c r="H113" t="s">
        <v>119</v>
      </c>
      <c r="I113" t="s">
        <v>84</v>
      </c>
      <c r="J113" t="s">
        <v>85</v>
      </c>
      <c r="K113" t="s">
        <v>86</v>
      </c>
      <c r="L113" t="s">
        <v>87</v>
      </c>
      <c r="M113" t="s">
        <v>192</v>
      </c>
      <c r="N113" t="s">
        <v>89</v>
      </c>
      <c r="O113" t="s">
        <v>89</v>
      </c>
      <c r="P113" t="s">
        <v>90</v>
      </c>
      <c r="Q113" t="s">
        <v>196</v>
      </c>
      <c r="R113">
        <v>7</v>
      </c>
      <c r="S113">
        <v>5</v>
      </c>
      <c r="T113">
        <v>2000</v>
      </c>
      <c r="U113">
        <v>2000</v>
      </c>
      <c r="V113" t="s">
        <v>92</v>
      </c>
      <c r="W113" t="s">
        <v>93</v>
      </c>
      <c r="X113" t="s">
        <v>94</v>
      </c>
      <c r="Y113" t="s">
        <v>94</v>
      </c>
      <c r="Z113" t="s">
        <v>116</v>
      </c>
      <c r="AA113">
        <v>0</v>
      </c>
      <c r="AB113" t="s">
        <v>97</v>
      </c>
      <c r="AC113" t="s">
        <v>97</v>
      </c>
      <c r="AD113" t="s">
        <v>98</v>
      </c>
      <c r="AE113" t="s">
        <v>96</v>
      </c>
      <c r="AF113" t="s">
        <v>97</v>
      </c>
      <c r="AG113" t="s">
        <v>99</v>
      </c>
      <c r="AH113" t="s">
        <v>100</v>
      </c>
      <c r="AI113">
        <v>250</v>
      </c>
      <c r="AJ113" t="s">
        <v>101</v>
      </c>
      <c r="AK113">
        <v>0</v>
      </c>
      <c r="AL113">
        <v>134</v>
      </c>
      <c r="AM113">
        <v>384</v>
      </c>
      <c r="AN113" t="s">
        <v>102</v>
      </c>
      <c r="AO113" t="s">
        <v>103</v>
      </c>
      <c r="AP113" t="s">
        <v>104</v>
      </c>
      <c r="AQ113" t="s">
        <v>105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97</v>
      </c>
      <c r="BC113">
        <v>7</v>
      </c>
      <c r="BD113" t="s">
        <v>106</v>
      </c>
      <c r="BE113">
        <v>1</v>
      </c>
      <c r="BF113" t="s">
        <v>97</v>
      </c>
      <c r="BG113" t="s">
        <v>155</v>
      </c>
      <c r="BH113">
        <v>2000</v>
      </c>
      <c r="BI113" t="s">
        <v>156</v>
      </c>
      <c r="BJ113">
        <v>2</v>
      </c>
      <c r="BK113">
        <v>400</v>
      </c>
      <c r="BL113" t="s">
        <v>97</v>
      </c>
      <c r="BM113" t="s">
        <v>97</v>
      </c>
      <c r="BN113" t="s">
        <v>104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X113">
        <v>0</v>
      </c>
      <c r="BY113">
        <v>4</v>
      </c>
      <c r="BZ113">
        <v>2010</v>
      </c>
      <c r="CA113" t="s">
        <v>109</v>
      </c>
      <c r="CB113" t="s">
        <v>110</v>
      </c>
      <c r="CC113">
        <v>180000</v>
      </c>
    </row>
    <row r="114" spans="1:81" x14ac:dyDescent="0.3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H114" t="s">
        <v>83</v>
      </c>
      <c r="I114" t="s">
        <v>84</v>
      </c>
      <c r="J114" t="s">
        <v>85</v>
      </c>
      <c r="K114" t="s">
        <v>86</v>
      </c>
      <c r="L114" t="s">
        <v>87</v>
      </c>
      <c r="M114" t="s">
        <v>88</v>
      </c>
      <c r="N114" t="s">
        <v>89</v>
      </c>
      <c r="O114" t="s">
        <v>89</v>
      </c>
      <c r="P114" t="s">
        <v>90</v>
      </c>
      <c r="Q114" t="s">
        <v>91</v>
      </c>
      <c r="R114">
        <v>7</v>
      </c>
      <c r="S114">
        <v>5</v>
      </c>
      <c r="T114">
        <v>2007</v>
      </c>
      <c r="U114">
        <v>2007</v>
      </c>
      <c r="V114" t="s">
        <v>92</v>
      </c>
      <c r="W114" t="s">
        <v>93</v>
      </c>
      <c r="X114" t="s">
        <v>94</v>
      </c>
      <c r="Y114" t="s">
        <v>94</v>
      </c>
      <c r="Z114" t="s">
        <v>136</v>
      </c>
      <c r="AA114">
        <v>220</v>
      </c>
      <c r="AB114" t="s">
        <v>96</v>
      </c>
      <c r="AC114" t="s">
        <v>97</v>
      </c>
      <c r="AD114" t="s">
        <v>98</v>
      </c>
      <c r="AE114" t="s">
        <v>103</v>
      </c>
      <c r="AF114" t="s">
        <v>97</v>
      </c>
      <c r="AG114" t="s">
        <v>129</v>
      </c>
      <c r="AH114" t="s">
        <v>100</v>
      </c>
      <c r="AI114">
        <v>984</v>
      </c>
      <c r="AJ114" t="s">
        <v>101</v>
      </c>
      <c r="AK114">
        <v>0</v>
      </c>
      <c r="AL114">
        <v>280</v>
      </c>
      <c r="AM114">
        <v>1264</v>
      </c>
      <c r="AN114" t="s">
        <v>102</v>
      </c>
      <c r="AO114" t="s">
        <v>103</v>
      </c>
      <c r="AP114" t="s">
        <v>104</v>
      </c>
      <c r="AQ114" t="s">
        <v>105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103</v>
      </c>
      <c r="BC114">
        <v>10</v>
      </c>
      <c r="BD114" t="s">
        <v>106</v>
      </c>
      <c r="BE114">
        <v>1</v>
      </c>
      <c r="BF114" t="s">
        <v>96</v>
      </c>
      <c r="BG114" t="s">
        <v>155</v>
      </c>
      <c r="BH114">
        <v>2007</v>
      </c>
      <c r="BI114" t="s">
        <v>156</v>
      </c>
      <c r="BJ114">
        <v>3</v>
      </c>
      <c r="BK114">
        <v>792</v>
      </c>
      <c r="BL114" t="s">
        <v>97</v>
      </c>
      <c r="BM114" t="s">
        <v>97</v>
      </c>
      <c r="BN114" t="s">
        <v>104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X114">
        <v>0</v>
      </c>
      <c r="BY114">
        <v>10</v>
      </c>
      <c r="BZ114">
        <v>2007</v>
      </c>
      <c r="CA114" t="s">
        <v>157</v>
      </c>
      <c r="CB114" t="s">
        <v>158</v>
      </c>
      <c r="CC114">
        <v>383970</v>
      </c>
    </row>
    <row r="115" spans="1:81" x14ac:dyDescent="0.3">
      <c r="A115">
        <v>114</v>
      </c>
      <c r="B115">
        <v>20</v>
      </c>
      <c r="C115" t="s">
        <v>81</v>
      </c>
      <c r="E115">
        <v>21000</v>
      </c>
      <c r="F115" t="s">
        <v>82</v>
      </c>
      <c r="H115" t="s">
        <v>83</v>
      </c>
      <c r="I115" t="s">
        <v>174</v>
      </c>
      <c r="J115" t="s">
        <v>85</v>
      </c>
      <c r="K115" t="s">
        <v>121</v>
      </c>
      <c r="L115" t="s">
        <v>87</v>
      </c>
      <c r="M115" t="s">
        <v>122</v>
      </c>
      <c r="N115" t="s">
        <v>89</v>
      </c>
      <c r="O115" t="s">
        <v>89</v>
      </c>
      <c r="P115" t="s">
        <v>90</v>
      </c>
      <c r="Q115" t="s">
        <v>114</v>
      </c>
      <c r="R115">
        <v>6</v>
      </c>
      <c r="S115">
        <v>5</v>
      </c>
      <c r="T115">
        <v>1953</v>
      </c>
      <c r="U115">
        <v>1953</v>
      </c>
      <c r="V115" t="s">
        <v>151</v>
      </c>
      <c r="W115" t="s">
        <v>93</v>
      </c>
      <c r="X115" t="s">
        <v>123</v>
      </c>
      <c r="Y115" t="s">
        <v>123</v>
      </c>
      <c r="Z115" t="s">
        <v>95</v>
      </c>
      <c r="AA115">
        <v>184</v>
      </c>
      <c r="AB115" t="s">
        <v>97</v>
      </c>
      <c r="AC115" t="s">
        <v>96</v>
      </c>
      <c r="AD115" t="s">
        <v>117</v>
      </c>
      <c r="AE115" t="s">
        <v>96</v>
      </c>
      <c r="AF115" t="s">
        <v>97</v>
      </c>
      <c r="AG115" t="s">
        <v>120</v>
      </c>
      <c r="AH115" t="s">
        <v>118</v>
      </c>
      <c r="AI115">
        <v>35</v>
      </c>
      <c r="AJ115" t="s">
        <v>152</v>
      </c>
      <c r="AK115">
        <v>869</v>
      </c>
      <c r="AL115">
        <v>905</v>
      </c>
      <c r="AM115">
        <v>1809</v>
      </c>
      <c r="AN115" t="s">
        <v>102</v>
      </c>
      <c r="AO115" t="s">
        <v>97</v>
      </c>
      <c r="AP115" t="s">
        <v>104</v>
      </c>
      <c r="AQ115" t="s">
        <v>105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96</v>
      </c>
      <c r="BC115">
        <v>7</v>
      </c>
      <c r="BD115" t="s">
        <v>106</v>
      </c>
      <c r="BE115">
        <v>2</v>
      </c>
      <c r="BF115" t="s">
        <v>96</v>
      </c>
      <c r="BG115" t="s">
        <v>208</v>
      </c>
      <c r="BH115">
        <v>1953</v>
      </c>
      <c r="BI115" t="s">
        <v>101</v>
      </c>
      <c r="BJ115">
        <v>2</v>
      </c>
      <c r="BK115">
        <v>450</v>
      </c>
      <c r="BL115" t="s">
        <v>97</v>
      </c>
      <c r="BM115" t="s">
        <v>97</v>
      </c>
      <c r="BN115" t="s">
        <v>104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V115" t="s">
        <v>133</v>
      </c>
      <c r="BX115">
        <v>0</v>
      </c>
      <c r="BY115">
        <v>10</v>
      </c>
      <c r="BZ115">
        <v>2007</v>
      </c>
      <c r="CA115" t="s">
        <v>172</v>
      </c>
      <c r="CB115" t="s">
        <v>127</v>
      </c>
      <c r="CC115">
        <v>217000</v>
      </c>
    </row>
    <row r="116" spans="1:81" x14ac:dyDescent="0.3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H116" t="s">
        <v>119</v>
      </c>
      <c r="I116" t="s">
        <v>84</v>
      </c>
      <c r="J116" t="s">
        <v>85</v>
      </c>
      <c r="K116" t="s">
        <v>86</v>
      </c>
      <c r="L116" t="s">
        <v>193</v>
      </c>
      <c r="M116" t="s">
        <v>122</v>
      </c>
      <c r="N116" t="s">
        <v>89</v>
      </c>
      <c r="O116" t="s">
        <v>89</v>
      </c>
      <c r="P116" t="s">
        <v>90</v>
      </c>
      <c r="Q116" t="s">
        <v>91</v>
      </c>
      <c r="R116">
        <v>6</v>
      </c>
      <c r="S116">
        <v>8</v>
      </c>
      <c r="T116">
        <v>1945</v>
      </c>
      <c r="U116">
        <v>2002</v>
      </c>
      <c r="V116" t="s">
        <v>183</v>
      </c>
      <c r="W116" t="s">
        <v>93</v>
      </c>
      <c r="X116" t="s">
        <v>123</v>
      </c>
      <c r="Y116" t="s">
        <v>123</v>
      </c>
      <c r="Z116" t="s">
        <v>116</v>
      </c>
      <c r="AA116">
        <v>0</v>
      </c>
      <c r="AB116" t="s">
        <v>97</v>
      </c>
      <c r="AC116" t="s">
        <v>97</v>
      </c>
      <c r="AD116" t="s">
        <v>117</v>
      </c>
      <c r="AE116" t="s">
        <v>97</v>
      </c>
      <c r="AF116" t="s">
        <v>97</v>
      </c>
      <c r="AG116" t="s">
        <v>99</v>
      </c>
      <c r="AH116" t="s">
        <v>118</v>
      </c>
      <c r="AI116">
        <v>774</v>
      </c>
      <c r="AJ116" t="s">
        <v>171</v>
      </c>
      <c r="AK116">
        <v>150</v>
      </c>
      <c r="AL116">
        <v>104</v>
      </c>
      <c r="AM116">
        <v>1028</v>
      </c>
      <c r="AN116" t="s">
        <v>102</v>
      </c>
      <c r="AO116" t="s">
        <v>103</v>
      </c>
      <c r="AP116" t="s">
        <v>104</v>
      </c>
      <c r="AQ116" t="s">
        <v>105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96</v>
      </c>
      <c r="BC116">
        <v>9</v>
      </c>
      <c r="BD116" t="s">
        <v>106</v>
      </c>
      <c r="BE116">
        <v>1</v>
      </c>
      <c r="BF116" t="s">
        <v>97</v>
      </c>
      <c r="BG116" t="s">
        <v>126</v>
      </c>
      <c r="BH116">
        <v>1945</v>
      </c>
      <c r="BI116" t="s">
        <v>101</v>
      </c>
      <c r="BJ116">
        <v>1</v>
      </c>
      <c r="BK116">
        <v>180</v>
      </c>
      <c r="BL116" t="s">
        <v>97</v>
      </c>
      <c r="BM116" t="s">
        <v>97</v>
      </c>
      <c r="BN116" t="s">
        <v>104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V116" t="s">
        <v>133</v>
      </c>
      <c r="BX116">
        <v>0</v>
      </c>
      <c r="BY116">
        <v>7</v>
      </c>
      <c r="BZ116">
        <v>2007</v>
      </c>
      <c r="CA116" t="s">
        <v>109</v>
      </c>
      <c r="CB116" t="s">
        <v>110</v>
      </c>
      <c r="CC116">
        <v>259500</v>
      </c>
    </row>
    <row r="117" spans="1:81" x14ac:dyDescent="0.3">
      <c r="A117">
        <v>116</v>
      </c>
      <c r="B117">
        <v>160</v>
      </c>
      <c r="C117" t="s">
        <v>191</v>
      </c>
      <c r="D117">
        <v>34</v>
      </c>
      <c r="E117">
        <v>3230</v>
      </c>
      <c r="F117" t="s">
        <v>82</v>
      </c>
      <c r="G117" t="s">
        <v>82</v>
      </c>
      <c r="H117" t="s">
        <v>83</v>
      </c>
      <c r="I117" t="s">
        <v>84</v>
      </c>
      <c r="J117" t="s">
        <v>85</v>
      </c>
      <c r="K117" t="s">
        <v>121</v>
      </c>
      <c r="L117" t="s">
        <v>87</v>
      </c>
      <c r="M117" t="s">
        <v>135</v>
      </c>
      <c r="N117" t="s">
        <v>89</v>
      </c>
      <c r="O117" t="s">
        <v>89</v>
      </c>
      <c r="P117" t="s">
        <v>178</v>
      </c>
      <c r="Q117" t="s">
        <v>91</v>
      </c>
      <c r="R117">
        <v>6</v>
      </c>
      <c r="S117">
        <v>5</v>
      </c>
      <c r="T117">
        <v>1999</v>
      </c>
      <c r="U117">
        <v>1999</v>
      </c>
      <c r="V117" t="s">
        <v>92</v>
      </c>
      <c r="W117" t="s">
        <v>93</v>
      </c>
      <c r="X117" t="s">
        <v>115</v>
      </c>
      <c r="Y117" t="s">
        <v>115</v>
      </c>
      <c r="Z117" t="s">
        <v>95</v>
      </c>
      <c r="AA117">
        <v>1129</v>
      </c>
      <c r="AB117" t="s">
        <v>97</v>
      </c>
      <c r="AC117" t="s">
        <v>97</v>
      </c>
      <c r="AD117" t="s">
        <v>98</v>
      </c>
      <c r="AE117" t="s">
        <v>96</v>
      </c>
      <c r="AF117" t="s">
        <v>97</v>
      </c>
      <c r="AG117" t="s">
        <v>99</v>
      </c>
      <c r="AH117" t="s">
        <v>100</v>
      </c>
      <c r="AI117">
        <v>419</v>
      </c>
      <c r="AJ117" t="s">
        <v>101</v>
      </c>
      <c r="AK117">
        <v>0</v>
      </c>
      <c r="AL117">
        <v>310</v>
      </c>
      <c r="AM117">
        <v>729</v>
      </c>
      <c r="AN117" t="s">
        <v>102</v>
      </c>
      <c r="AO117" t="s">
        <v>96</v>
      </c>
      <c r="AP117" t="s">
        <v>104</v>
      </c>
      <c r="AQ117" t="s">
        <v>105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97</v>
      </c>
      <c r="BC117">
        <v>5</v>
      </c>
      <c r="BD117" t="s">
        <v>106</v>
      </c>
      <c r="BE117">
        <v>1</v>
      </c>
      <c r="BF117" t="s">
        <v>146</v>
      </c>
      <c r="BG117" t="s">
        <v>126</v>
      </c>
      <c r="BH117">
        <v>1999</v>
      </c>
      <c r="BI117" t="s">
        <v>101</v>
      </c>
      <c r="BJ117">
        <v>2</v>
      </c>
      <c r="BK117">
        <v>440</v>
      </c>
      <c r="BL117" t="s">
        <v>97</v>
      </c>
      <c r="BM117" t="s">
        <v>97</v>
      </c>
      <c r="BN117" t="s">
        <v>104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X117">
        <v>0</v>
      </c>
      <c r="BY117">
        <v>6</v>
      </c>
      <c r="BZ117">
        <v>2007</v>
      </c>
      <c r="CA117" t="s">
        <v>109</v>
      </c>
      <c r="CB117" t="s">
        <v>110</v>
      </c>
      <c r="CC117">
        <v>176000</v>
      </c>
    </row>
    <row r="118" spans="1:81" x14ac:dyDescent="0.3">
      <c r="A118">
        <v>117</v>
      </c>
      <c r="B118">
        <v>20</v>
      </c>
      <c r="C118" t="s">
        <v>81</v>
      </c>
      <c r="E118">
        <v>11616</v>
      </c>
      <c r="F118" t="s">
        <v>82</v>
      </c>
      <c r="H118" t="s">
        <v>83</v>
      </c>
      <c r="I118" t="s">
        <v>84</v>
      </c>
      <c r="J118" t="s">
        <v>85</v>
      </c>
      <c r="K118" t="s">
        <v>86</v>
      </c>
      <c r="L118" t="s">
        <v>87</v>
      </c>
      <c r="M118" t="s">
        <v>150</v>
      </c>
      <c r="N118" t="s">
        <v>89</v>
      </c>
      <c r="O118" t="s">
        <v>89</v>
      </c>
      <c r="P118" t="s">
        <v>90</v>
      </c>
      <c r="Q118" t="s">
        <v>114</v>
      </c>
      <c r="R118">
        <v>5</v>
      </c>
      <c r="S118">
        <v>5</v>
      </c>
      <c r="T118">
        <v>1962</v>
      </c>
      <c r="U118">
        <v>1962</v>
      </c>
      <c r="V118" t="s">
        <v>92</v>
      </c>
      <c r="W118" t="s">
        <v>93</v>
      </c>
      <c r="X118" t="s">
        <v>123</v>
      </c>
      <c r="Y118" t="s">
        <v>123</v>
      </c>
      <c r="Z118" t="s">
        <v>95</v>
      </c>
      <c r="AA118">
        <v>116</v>
      </c>
      <c r="AB118" t="s">
        <v>97</v>
      </c>
      <c r="AC118" t="s">
        <v>97</v>
      </c>
      <c r="AD118" t="s">
        <v>117</v>
      </c>
      <c r="AE118" t="s">
        <v>97</v>
      </c>
      <c r="AF118" t="s">
        <v>97</v>
      </c>
      <c r="AG118" t="s">
        <v>99</v>
      </c>
      <c r="AH118" t="s">
        <v>171</v>
      </c>
      <c r="AI118">
        <v>170</v>
      </c>
      <c r="AJ118" t="s">
        <v>140</v>
      </c>
      <c r="AK118">
        <v>670</v>
      </c>
      <c r="AL118">
        <v>252</v>
      </c>
      <c r="AM118">
        <v>1092</v>
      </c>
      <c r="AN118" t="s">
        <v>102</v>
      </c>
      <c r="AO118" t="s">
        <v>97</v>
      </c>
      <c r="AP118" t="s">
        <v>104</v>
      </c>
      <c r="AQ118" t="s">
        <v>105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97</v>
      </c>
      <c r="BC118">
        <v>6</v>
      </c>
      <c r="BD118" t="s">
        <v>106</v>
      </c>
      <c r="BE118">
        <v>1</v>
      </c>
      <c r="BF118" t="s">
        <v>211</v>
      </c>
      <c r="BG118" t="s">
        <v>107</v>
      </c>
      <c r="BH118">
        <v>1962</v>
      </c>
      <c r="BI118" t="s">
        <v>101</v>
      </c>
      <c r="BJ118">
        <v>1</v>
      </c>
      <c r="BK118">
        <v>288</v>
      </c>
      <c r="BL118" t="s">
        <v>97</v>
      </c>
      <c r="BM118" t="s">
        <v>97</v>
      </c>
      <c r="BN118" t="s">
        <v>104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X118">
        <v>0</v>
      </c>
      <c r="BY118">
        <v>9</v>
      </c>
      <c r="BZ118">
        <v>2009</v>
      </c>
      <c r="CA118" t="s">
        <v>109</v>
      </c>
      <c r="CB118" t="s">
        <v>110</v>
      </c>
      <c r="CC118">
        <v>139000</v>
      </c>
    </row>
    <row r="119" spans="1:81" x14ac:dyDescent="0.3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H119" t="s">
        <v>83</v>
      </c>
      <c r="I119" t="s">
        <v>84</v>
      </c>
      <c r="J119" t="s">
        <v>85</v>
      </c>
      <c r="K119" t="s">
        <v>121</v>
      </c>
      <c r="L119" t="s">
        <v>87</v>
      </c>
      <c r="M119" t="s">
        <v>184</v>
      </c>
      <c r="N119" t="s">
        <v>89</v>
      </c>
      <c r="O119" t="s">
        <v>89</v>
      </c>
      <c r="P119" t="s">
        <v>90</v>
      </c>
      <c r="Q119" t="s">
        <v>114</v>
      </c>
      <c r="R119">
        <v>5</v>
      </c>
      <c r="S119">
        <v>5</v>
      </c>
      <c r="T119">
        <v>2006</v>
      </c>
      <c r="U119">
        <v>2007</v>
      </c>
      <c r="V119" t="s">
        <v>92</v>
      </c>
      <c r="W119" t="s">
        <v>93</v>
      </c>
      <c r="X119" t="s">
        <v>94</v>
      </c>
      <c r="Y119" t="s">
        <v>94</v>
      </c>
      <c r="Z119" t="s">
        <v>116</v>
      </c>
      <c r="AA119">
        <v>0</v>
      </c>
      <c r="AB119" t="s">
        <v>97</v>
      </c>
      <c r="AC119" t="s">
        <v>97</v>
      </c>
      <c r="AD119" t="s">
        <v>98</v>
      </c>
      <c r="AE119" t="s">
        <v>96</v>
      </c>
      <c r="AF119" t="s">
        <v>97</v>
      </c>
      <c r="AG119" t="s">
        <v>99</v>
      </c>
      <c r="AH119" t="s">
        <v>101</v>
      </c>
      <c r="AI119">
        <v>0</v>
      </c>
      <c r="AJ119" t="s">
        <v>101</v>
      </c>
      <c r="AK119">
        <v>0</v>
      </c>
      <c r="AL119">
        <v>1125</v>
      </c>
      <c r="AM119">
        <v>1125</v>
      </c>
      <c r="AN119" t="s">
        <v>102</v>
      </c>
      <c r="AO119" t="s">
        <v>96</v>
      </c>
      <c r="AP119" t="s">
        <v>104</v>
      </c>
      <c r="AQ119" t="s">
        <v>105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97</v>
      </c>
      <c r="BC119">
        <v>5</v>
      </c>
      <c r="BD119" t="s">
        <v>106</v>
      </c>
      <c r="BE119">
        <v>0</v>
      </c>
      <c r="BG119" t="s">
        <v>107</v>
      </c>
      <c r="BH119">
        <v>2007</v>
      </c>
      <c r="BI119" t="s">
        <v>101</v>
      </c>
      <c r="BJ119">
        <v>2</v>
      </c>
      <c r="BK119">
        <v>430</v>
      </c>
      <c r="BL119" t="s">
        <v>97</v>
      </c>
      <c r="BM119" t="s">
        <v>97</v>
      </c>
      <c r="BN119" t="s">
        <v>104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4</v>
      </c>
      <c r="BZ119">
        <v>2007</v>
      </c>
      <c r="CA119" t="s">
        <v>157</v>
      </c>
      <c r="CB119" t="s">
        <v>158</v>
      </c>
      <c r="CC119">
        <v>155000</v>
      </c>
    </row>
    <row r="120" spans="1:81" x14ac:dyDescent="0.3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H120" t="s">
        <v>83</v>
      </c>
      <c r="I120" t="s">
        <v>84</v>
      </c>
      <c r="J120" t="s">
        <v>85</v>
      </c>
      <c r="K120" t="s">
        <v>121</v>
      </c>
      <c r="L120" t="s">
        <v>87</v>
      </c>
      <c r="M120" t="s">
        <v>169</v>
      </c>
      <c r="N120" t="s">
        <v>89</v>
      </c>
      <c r="O120" t="s">
        <v>89</v>
      </c>
      <c r="P120" t="s">
        <v>90</v>
      </c>
      <c r="Q120" t="s">
        <v>91</v>
      </c>
      <c r="R120">
        <v>7</v>
      </c>
      <c r="S120">
        <v>5</v>
      </c>
      <c r="T120">
        <v>1990</v>
      </c>
      <c r="U120">
        <v>1990</v>
      </c>
      <c r="V120" t="s">
        <v>151</v>
      </c>
      <c r="W120" t="s">
        <v>93</v>
      </c>
      <c r="X120" t="s">
        <v>160</v>
      </c>
      <c r="Y120" t="s">
        <v>160</v>
      </c>
      <c r="Z120" t="s">
        <v>116</v>
      </c>
      <c r="AA120">
        <v>0</v>
      </c>
      <c r="AB120" t="s">
        <v>97</v>
      </c>
      <c r="AC120" t="s">
        <v>97</v>
      </c>
      <c r="AD120" t="s">
        <v>98</v>
      </c>
      <c r="AE120" t="s">
        <v>96</v>
      </c>
      <c r="AF120" t="s">
        <v>97</v>
      </c>
      <c r="AG120" t="s">
        <v>120</v>
      </c>
      <c r="AH120" t="s">
        <v>100</v>
      </c>
      <c r="AI120">
        <v>1470</v>
      </c>
      <c r="AJ120" t="s">
        <v>101</v>
      </c>
      <c r="AK120">
        <v>0</v>
      </c>
      <c r="AL120">
        <v>203</v>
      </c>
      <c r="AM120">
        <v>1673</v>
      </c>
      <c r="AN120" t="s">
        <v>102</v>
      </c>
      <c r="AO120" t="s">
        <v>96</v>
      </c>
      <c r="AP120" t="s">
        <v>104</v>
      </c>
      <c r="AQ120" t="s">
        <v>105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96</v>
      </c>
      <c r="BC120">
        <v>11</v>
      </c>
      <c r="BD120" t="s">
        <v>106</v>
      </c>
      <c r="BE120">
        <v>2</v>
      </c>
      <c r="BF120" t="s">
        <v>97</v>
      </c>
      <c r="BG120" t="s">
        <v>107</v>
      </c>
      <c r="BH120">
        <v>1990</v>
      </c>
      <c r="BI120" t="s">
        <v>101</v>
      </c>
      <c r="BJ120">
        <v>3</v>
      </c>
      <c r="BK120">
        <v>594</v>
      </c>
      <c r="BL120" t="s">
        <v>97</v>
      </c>
      <c r="BM120" t="s">
        <v>97</v>
      </c>
      <c r="BN120" t="s">
        <v>104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X120">
        <v>0</v>
      </c>
      <c r="BY120">
        <v>5</v>
      </c>
      <c r="BZ120">
        <v>2010</v>
      </c>
      <c r="CA120" t="s">
        <v>109</v>
      </c>
      <c r="CB120" t="s">
        <v>110</v>
      </c>
      <c r="CC120">
        <v>320000</v>
      </c>
    </row>
    <row r="121" spans="1:81" x14ac:dyDescent="0.3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H121" t="s">
        <v>83</v>
      </c>
      <c r="I121" t="s">
        <v>84</v>
      </c>
      <c r="J121" t="s">
        <v>85</v>
      </c>
      <c r="K121" t="s">
        <v>86</v>
      </c>
      <c r="L121" t="s">
        <v>87</v>
      </c>
      <c r="M121" t="s">
        <v>88</v>
      </c>
      <c r="N121" t="s">
        <v>89</v>
      </c>
      <c r="O121" t="s">
        <v>89</v>
      </c>
      <c r="P121" t="s">
        <v>90</v>
      </c>
      <c r="Q121" t="s">
        <v>91</v>
      </c>
      <c r="R121">
        <v>6</v>
      </c>
      <c r="S121">
        <v>5</v>
      </c>
      <c r="T121">
        <v>2005</v>
      </c>
      <c r="U121">
        <v>2006</v>
      </c>
      <c r="V121" t="s">
        <v>92</v>
      </c>
      <c r="W121" t="s">
        <v>93</v>
      </c>
      <c r="X121" t="s">
        <v>94</v>
      </c>
      <c r="Y121" t="s">
        <v>94</v>
      </c>
      <c r="Z121" t="s">
        <v>116</v>
      </c>
      <c r="AA121">
        <v>0</v>
      </c>
      <c r="AB121" t="s">
        <v>96</v>
      </c>
      <c r="AC121" t="s">
        <v>97</v>
      </c>
      <c r="AD121" t="s">
        <v>98</v>
      </c>
      <c r="AE121" t="s">
        <v>96</v>
      </c>
      <c r="AF121" t="s">
        <v>97</v>
      </c>
      <c r="AG121" t="s">
        <v>99</v>
      </c>
      <c r="AH121" t="s">
        <v>101</v>
      </c>
      <c r="AI121">
        <v>0</v>
      </c>
      <c r="AJ121" t="s">
        <v>101</v>
      </c>
      <c r="AK121">
        <v>0</v>
      </c>
      <c r="AL121">
        <v>728</v>
      </c>
      <c r="AM121">
        <v>728</v>
      </c>
      <c r="AN121" t="s">
        <v>102</v>
      </c>
      <c r="AO121" t="s">
        <v>103</v>
      </c>
      <c r="AP121" t="s">
        <v>104</v>
      </c>
      <c r="AQ121" t="s">
        <v>105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96</v>
      </c>
      <c r="BC121">
        <v>8</v>
      </c>
      <c r="BD121" t="s">
        <v>106</v>
      </c>
      <c r="BE121">
        <v>1</v>
      </c>
      <c r="BF121" t="s">
        <v>96</v>
      </c>
      <c r="BG121" t="s">
        <v>107</v>
      </c>
      <c r="BH121">
        <v>2005</v>
      </c>
      <c r="BI121" t="s">
        <v>156</v>
      </c>
      <c r="BJ121">
        <v>2</v>
      </c>
      <c r="BK121">
        <v>390</v>
      </c>
      <c r="BL121" t="s">
        <v>97</v>
      </c>
      <c r="BM121" t="s">
        <v>97</v>
      </c>
      <c r="BN121" t="s">
        <v>104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7</v>
      </c>
      <c r="BZ121">
        <v>2006</v>
      </c>
      <c r="CA121" t="s">
        <v>157</v>
      </c>
      <c r="CB121" t="s">
        <v>158</v>
      </c>
      <c r="CC121">
        <v>163990</v>
      </c>
    </row>
    <row r="122" spans="1:81" x14ac:dyDescent="0.3">
      <c r="A122">
        <v>121</v>
      </c>
      <c r="B122">
        <v>80</v>
      </c>
      <c r="C122" t="s">
        <v>81</v>
      </c>
      <c r="E122">
        <v>21453</v>
      </c>
      <c r="F122" t="s">
        <v>82</v>
      </c>
      <c r="H122" t="s">
        <v>119</v>
      </c>
      <c r="I122" t="s">
        <v>194</v>
      </c>
      <c r="J122" t="s">
        <v>85</v>
      </c>
      <c r="K122" t="s">
        <v>165</v>
      </c>
      <c r="L122" t="s">
        <v>212</v>
      </c>
      <c r="M122" t="s">
        <v>204</v>
      </c>
      <c r="N122" t="s">
        <v>89</v>
      </c>
      <c r="O122" t="s">
        <v>89</v>
      </c>
      <c r="P122" t="s">
        <v>90</v>
      </c>
      <c r="Q122" t="s">
        <v>196</v>
      </c>
      <c r="R122">
        <v>6</v>
      </c>
      <c r="S122">
        <v>5</v>
      </c>
      <c r="T122">
        <v>1969</v>
      </c>
      <c r="U122">
        <v>1969</v>
      </c>
      <c r="V122" t="s">
        <v>213</v>
      </c>
      <c r="W122" t="s">
        <v>214</v>
      </c>
      <c r="X122" t="s">
        <v>160</v>
      </c>
      <c r="Y122" t="s">
        <v>160</v>
      </c>
      <c r="Z122" t="s">
        <v>116</v>
      </c>
      <c r="AA122">
        <v>0</v>
      </c>
      <c r="AB122" t="s">
        <v>97</v>
      </c>
      <c r="AC122" t="s">
        <v>97</v>
      </c>
      <c r="AD122" t="s">
        <v>117</v>
      </c>
      <c r="AE122" t="s">
        <v>97</v>
      </c>
      <c r="AF122" t="s">
        <v>97</v>
      </c>
      <c r="AG122" t="s">
        <v>96</v>
      </c>
      <c r="AH122" t="s">
        <v>118</v>
      </c>
      <c r="AI122">
        <v>938</v>
      </c>
      <c r="AJ122" t="s">
        <v>101</v>
      </c>
      <c r="AK122">
        <v>0</v>
      </c>
      <c r="AL122">
        <v>0</v>
      </c>
      <c r="AM122">
        <v>938</v>
      </c>
      <c r="AN122" t="s">
        <v>102</v>
      </c>
      <c r="AO122" t="s">
        <v>103</v>
      </c>
      <c r="AP122" t="s">
        <v>104</v>
      </c>
      <c r="AQ122" t="s">
        <v>105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97</v>
      </c>
      <c r="BC122">
        <v>4</v>
      </c>
      <c r="BD122" t="s">
        <v>106</v>
      </c>
      <c r="BE122">
        <v>2</v>
      </c>
      <c r="BF122" t="s">
        <v>97</v>
      </c>
      <c r="BG122" t="s">
        <v>107</v>
      </c>
      <c r="BH122">
        <v>1969</v>
      </c>
      <c r="BI122" t="s">
        <v>101</v>
      </c>
      <c r="BJ122">
        <v>2</v>
      </c>
      <c r="BK122">
        <v>540</v>
      </c>
      <c r="BL122" t="s">
        <v>97</v>
      </c>
      <c r="BM122" t="s">
        <v>97</v>
      </c>
      <c r="BN122" t="s">
        <v>104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X122">
        <v>0</v>
      </c>
      <c r="BY122">
        <v>10</v>
      </c>
      <c r="BZ122">
        <v>2006</v>
      </c>
      <c r="CA122" t="s">
        <v>109</v>
      </c>
      <c r="CB122" t="s">
        <v>110</v>
      </c>
      <c r="CC122">
        <v>180000</v>
      </c>
    </row>
    <row r="123" spans="1:81" x14ac:dyDescent="0.3">
      <c r="A123">
        <v>122</v>
      </c>
      <c r="B123">
        <v>50</v>
      </c>
      <c r="C123" t="s">
        <v>141</v>
      </c>
      <c r="D123">
        <v>50</v>
      </c>
      <c r="E123">
        <v>6060</v>
      </c>
      <c r="F123" t="s">
        <v>82</v>
      </c>
      <c r="H123" t="s">
        <v>83</v>
      </c>
      <c r="I123" t="s">
        <v>84</v>
      </c>
      <c r="J123" t="s">
        <v>85</v>
      </c>
      <c r="K123" t="s">
        <v>86</v>
      </c>
      <c r="L123" t="s">
        <v>87</v>
      </c>
      <c r="M123" t="s">
        <v>175</v>
      </c>
      <c r="N123" t="s">
        <v>89</v>
      </c>
      <c r="O123" t="s">
        <v>89</v>
      </c>
      <c r="P123" t="s">
        <v>90</v>
      </c>
      <c r="Q123" t="s">
        <v>131</v>
      </c>
      <c r="R123">
        <v>4</v>
      </c>
      <c r="S123">
        <v>5</v>
      </c>
      <c r="T123">
        <v>1939</v>
      </c>
      <c r="U123">
        <v>1950</v>
      </c>
      <c r="V123" t="s">
        <v>92</v>
      </c>
      <c r="W123" t="s">
        <v>93</v>
      </c>
      <c r="X123" t="s">
        <v>185</v>
      </c>
      <c r="Y123" t="s">
        <v>185</v>
      </c>
      <c r="Z123" t="s">
        <v>116</v>
      </c>
      <c r="AA123">
        <v>0</v>
      </c>
      <c r="AB123" t="s">
        <v>97</v>
      </c>
      <c r="AC123" t="s">
        <v>97</v>
      </c>
      <c r="AD123" t="s">
        <v>98</v>
      </c>
      <c r="AE123" t="s">
        <v>97</v>
      </c>
      <c r="AF123" t="s">
        <v>97</v>
      </c>
      <c r="AG123" t="s">
        <v>99</v>
      </c>
      <c r="AH123" t="s">
        <v>101</v>
      </c>
      <c r="AI123">
        <v>0</v>
      </c>
      <c r="AJ123" t="s">
        <v>101</v>
      </c>
      <c r="AK123">
        <v>0</v>
      </c>
      <c r="AL123">
        <v>732</v>
      </c>
      <c r="AM123">
        <v>732</v>
      </c>
      <c r="AN123" t="s">
        <v>102</v>
      </c>
      <c r="AO123" t="s">
        <v>96</v>
      </c>
      <c r="AP123" t="s">
        <v>104</v>
      </c>
      <c r="AQ123" t="s">
        <v>105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97</v>
      </c>
      <c r="BC123">
        <v>4</v>
      </c>
      <c r="BD123" t="s">
        <v>106</v>
      </c>
      <c r="BE123">
        <v>0</v>
      </c>
      <c r="BG123" t="s">
        <v>126</v>
      </c>
      <c r="BH123">
        <v>1979</v>
      </c>
      <c r="BI123" t="s">
        <v>101</v>
      </c>
      <c r="BJ123">
        <v>1</v>
      </c>
      <c r="BK123">
        <v>264</v>
      </c>
      <c r="BL123" t="s">
        <v>97</v>
      </c>
      <c r="BM123" t="s">
        <v>97</v>
      </c>
      <c r="BN123" t="s">
        <v>189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V123" t="s">
        <v>133</v>
      </c>
      <c r="BX123">
        <v>0</v>
      </c>
      <c r="BY123">
        <v>6</v>
      </c>
      <c r="BZ123">
        <v>2007</v>
      </c>
      <c r="CA123" t="s">
        <v>109</v>
      </c>
      <c r="CB123" t="s">
        <v>110</v>
      </c>
      <c r="CC123">
        <v>100000</v>
      </c>
    </row>
    <row r="124" spans="1:81" x14ac:dyDescent="0.3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H124" t="s">
        <v>83</v>
      </c>
      <c r="I124" t="s">
        <v>84</v>
      </c>
      <c r="J124" t="s">
        <v>85</v>
      </c>
      <c r="K124" t="s">
        <v>121</v>
      </c>
      <c r="L124" t="s">
        <v>87</v>
      </c>
      <c r="M124" t="s">
        <v>270</v>
      </c>
      <c r="N124" t="s">
        <v>89</v>
      </c>
      <c r="O124" t="s">
        <v>89</v>
      </c>
      <c r="P124" t="s">
        <v>90</v>
      </c>
      <c r="Q124" t="s">
        <v>114</v>
      </c>
      <c r="R124">
        <v>6</v>
      </c>
      <c r="S124">
        <v>7</v>
      </c>
      <c r="T124">
        <v>1958</v>
      </c>
      <c r="U124">
        <v>1958</v>
      </c>
      <c r="V124" t="s">
        <v>151</v>
      </c>
      <c r="W124" t="s">
        <v>93</v>
      </c>
      <c r="X124" t="s">
        <v>115</v>
      </c>
      <c r="Y124" t="s">
        <v>115</v>
      </c>
      <c r="Z124" t="s">
        <v>95</v>
      </c>
      <c r="AA124">
        <v>135</v>
      </c>
      <c r="AB124" t="s">
        <v>97</v>
      </c>
      <c r="AC124" t="s">
        <v>96</v>
      </c>
      <c r="AD124" t="s">
        <v>117</v>
      </c>
      <c r="AE124" t="s">
        <v>97</v>
      </c>
      <c r="AF124" t="s">
        <v>97</v>
      </c>
      <c r="AG124" t="s">
        <v>99</v>
      </c>
      <c r="AH124" t="s">
        <v>140</v>
      </c>
      <c r="AI124">
        <v>570</v>
      </c>
      <c r="AJ124" t="s">
        <v>101</v>
      </c>
      <c r="AK124">
        <v>0</v>
      </c>
      <c r="AL124">
        <v>510</v>
      </c>
      <c r="AM124">
        <v>1080</v>
      </c>
      <c r="AN124" t="s">
        <v>102</v>
      </c>
      <c r="AO124" t="s">
        <v>96</v>
      </c>
      <c r="AP124" t="s">
        <v>104</v>
      </c>
      <c r="AQ124" t="s">
        <v>105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97</v>
      </c>
      <c r="BC124">
        <v>5</v>
      </c>
      <c r="BD124" t="s">
        <v>106</v>
      </c>
      <c r="BE124">
        <v>0</v>
      </c>
      <c r="BG124" t="s">
        <v>107</v>
      </c>
      <c r="BH124">
        <v>1958</v>
      </c>
      <c r="BI124" t="s">
        <v>101</v>
      </c>
      <c r="BJ124">
        <v>1</v>
      </c>
      <c r="BK124">
        <v>288</v>
      </c>
      <c r="BL124" t="s">
        <v>97</v>
      </c>
      <c r="BM124" t="s">
        <v>97</v>
      </c>
      <c r="BN124" t="s">
        <v>104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X124">
        <v>0</v>
      </c>
      <c r="BY124">
        <v>6</v>
      </c>
      <c r="BZ124">
        <v>2008</v>
      </c>
      <c r="CA124" t="s">
        <v>109</v>
      </c>
      <c r="CB124" t="s">
        <v>110</v>
      </c>
      <c r="CC124">
        <v>136000</v>
      </c>
    </row>
    <row r="125" spans="1:81" x14ac:dyDescent="0.3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H125" t="s">
        <v>83</v>
      </c>
      <c r="I125" t="s">
        <v>84</v>
      </c>
      <c r="J125" t="s">
        <v>85</v>
      </c>
      <c r="K125" t="s">
        <v>86</v>
      </c>
      <c r="L125" t="s">
        <v>87</v>
      </c>
      <c r="M125" t="s">
        <v>169</v>
      </c>
      <c r="N125" t="s">
        <v>89</v>
      </c>
      <c r="O125" t="s">
        <v>89</v>
      </c>
      <c r="P125" t="s">
        <v>178</v>
      </c>
      <c r="Q125" t="s">
        <v>114</v>
      </c>
      <c r="R125">
        <v>6</v>
      </c>
      <c r="S125">
        <v>5</v>
      </c>
      <c r="T125">
        <v>1993</v>
      </c>
      <c r="U125">
        <v>1993</v>
      </c>
      <c r="V125" t="s">
        <v>92</v>
      </c>
      <c r="W125" t="s">
        <v>93</v>
      </c>
      <c r="X125" t="s">
        <v>160</v>
      </c>
      <c r="Y125" t="s">
        <v>160</v>
      </c>
      <c r="Z125" t="s">
        <v>116</v>
      </c>
      <c r="AA125">
        <v>0</v>
      </c>
      <c r="AB125" t="s">
        <v>96</v>
      </c>
      <c r="AC125" t="s">
        <v>97</v>
      </c>
      <c r="AD125" t="s">
        <v>98</v>
      </c>
      <c r="AE125" t="s">
        <v>96</v>
      </c>
      <c r="AF125" t="s">
        <v>97</v>
      </c>
      <c r="AG125" t="s">
        <v>99</v>
      </c>
      <c r="AH125" t="s">
        <v>100</v>
      </c>
      <c r="AI125">
        <v>300</v>
      </c>
      <c r="AJ125" t="s">
        <v>101</v>
      </c>
      <c r="AK125">
        <v>0</v>
      </c>
      <c r="AL125">
        <v>899</v>
      </c>
      <c r="AM125">
        <v>1199</v>
      </c>
      <c r="AN125" t="s">
        <v>102</v>
      </c>
      <c r="AO125" t="s">
        <v>103</v>
      </c>
      <c r="AP125" t="s">
        <v>104</v>
      </c>
      <c r="AQ125" t="s">
        <v>105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96</v>
      </c>
      <c r="BC125">
        <v>5</v>
      </c>
      <c r="BD125" t="s">
        <v>106</v>
      </c>
      <c r="BE125">
        <v>0</v>
      </c>
      <c r="BG125" t="s">
        <v>107</v>
      </c>
      <c r="BH125">
        <v>1993</v>
      </c>
      <c r="BI125" t="s">
        <v>108</v>
      </c>
      <c r="BJ125">
        <v>2</v>
      </c>
      <c r="BK125">
        <v>530</v>
      </c>
      <c r="BL125" t="s">
        <v>97</v>
      </c>
      <c r="BM125" t="s">
        <v>97</v>
      </c>
      <c r="BN125" t="s">
        <v>104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X125">
        <v>0</v>
      </c>
      <c r="BY125">
        <v>3</v>
      </c>
      <c r="BZ125">
        <v>2008</v>
      </c>
      <c r="CA125" t="s">
        <v>109</v>
      </c>
      <c r="CB125" t="s">
        <v>110</v>
      </c>
      <c r="CC125">
        <v>153900</v>
      </c>
    </row>
    <row r="126" spans="1:81" x14ac:dyDescent="0.3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H126" t="s">
        <v>119</v>
      </c>
      <c r="I126" t="s">
        <v>84</v>
      </c>
      <c r="J126" t="s">
        <v>85</v>
      </c>
      <c r="K126" t="s">
        <v>165</v>
      </c>
      <c r="L126" t="s">
        <v>87</v>
      </c>
      <c r="M126" t="s">
        <v>137</v>
      </c>
      <c r="N126" t="s">
        <v>89</v>
      </c>
      <c r="O126" t="s">
        <v>89</v>
      </c>
      <c r="P126" t="s">
        <v>90</v>
      </c>
      <c r="Q126" t="s">
        <v>114</v>
      </c>
      <c r="R126">
        <v>6</v>
      </c>
      <c r="S126">
        <v>5</v>
      </c>
      <c r="T126">
        <v>1979</v>
      </c>
      <c r="U126">
        <v>1998</v>
      </c>
      <c r="V126" t="s">
        <v>92</v>
      </c>
      <c r="W126" t="s">
        <v>93</v>
      </c>
      <c r="X126" t="s">
        <v>139</v>
      </c>
      <c r="Y126" t="s">
        <v>139</v>
      </c>
      <c r="Z126" t="s">
        <v>116</v>
      </c>
      <c r="AA126">
        <v>0</v>
      </c>
      <c r="AB126" t="s">
        <v>97</v>
      </c>
      <c r="AC126" t="s">
        <v>96</v>
      </c>
      <c r="AD126" t="s">
        <v>117</v>
      </c>
      <c r="AE126" t="s">
        <v>96</v>
      </c>
      <c r="AF126" t="s">
        <v>146</v>
      </c>
      <c r="AG126" t="s">
        <v>99</v>
      </c>
      <c r="AH126" t="s">
        <v>101</v>
      </c>
      <c r="AI126">
        <v>0</v>
      </c>
      <c r="AJ126" t="s">
        <v>101</v>
      </c>
      <c r="AK126">
        <v>0</v>
      </c>
      <c r="AL126">
        <v>1362</v>
      </c>
      <c r="AM126">
        <v>1362</v>
      </c>
      <c r="AN126" t="s">
        <v>102</v>
      </c>
      <c r="AO126" t="s">
        <v>97</v>
      </c>
      <c r="AP126" t="s">
        <v>104</v>
      </c>
      <c r="AQ126" t="s">
        <v>105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97</v>
      </c>
      <c r="BC126">
        <v>7</v>
      </c>
      <c r="BD126" t="s">
        <v>106</v>
      </c>
      <c r="BE126">
        <v>1</v>
      </c>
      <c r="BF126" t="s">
        <v>97</v>
      </c>
      <c r="BG126" t="s">
        <v>107</v>
      </c>
      <c r="BH126">
        <v>1979</v>
      </c>
      <c r="BI126" t="s">
        <v>101</v>
      </c>
      <c r="BJ126">
        <v>2</v>
      </c>
      <c r="BK126">
        <v>435</v>
      </c>
      <c r="BL126" t="s">
        <v>97</v>
      </c>
      <c r="BM126" t="s">
        <v>97</v>
      </c>
      <c r="BN126" t="s">
        <v>104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1</v>
      </c>
      <c r="BZ126">
        <v>2009</v>
      </c>
      <c r="CA126" t="s">
        <v>109</v>
      </c>
      <c r="CB126" t="s">
        <v>110</v>
      </c>
      <c r="CC126">
        <v>181000</v>
      </c>
    </row>
    <row r="127" spans="1:81" x14ac:dyDescent="0.3">
      <c r="A127">
        <v>126</v>
      </c>
      <c r="B127">
        <v>190</v>
      </c>
      <c r="C127" t="s">
        <v>141</v>
      </c>
      <c r="D127">
        <v>60</v>
      </c>
      <c r="E127">
        <v>6780</v>
      </c>
      <c r="F127" t="s">
        <v>82</v>
      </c>
      <c r="H127" t="s">
        <v>83</v>
      </c>
      <c r="I127" t="s">
        <v>84</v>
      </c>
      <c r="J127" t="s">
        <v>85</v>
      </c>
      <c r="K127" t="s">
        <v>86</v>
      </c>
      <c r="L127" t="s">
        <v>87</v>
      </c>
      <c r="M127" t="s">
        <v>175</v>
      </c>
      <c r="N127" t="s">
        <v>89</v>
      </c>
      <c r="O127" t="s">
        <v>89</v>
      </c>
      <c r="P127" t="s">
        <v>148</v>
      </c>
      <c r="Q127" t="s">
        <v>131</v>
      </c>
      <c r="R127">
        <v>6</v>
      </c>
      <c r="S127">
        <v>8</v>
      </c>
      <c r="T127">
        <v>1935</v>
      </c>
      <c r="U127">
        <v>1982</v>
      </c>
      <c r="V127" t="s">
        <v>92</v>
      </c>
      <c r="W127" t="s">
        <v>93</v>
      </c>
      <c r="X127" t="s">
        <v>123</v>
      </c>
      <c r="Y127" t="s">
        <v>123</v>
      </c>
      <c r="Z127" t="s">
        <v>116</v>
      </c>
      <c r="AA127">
        <v>0</v>
      </c>
      <c r="AB127" t="s">
        <v>97</v>
      </c>
      <c r="AC127" t="s">
        <v>146</v>
      </c>
      <c r="AD127" t="s">
        <v>117</v>
      </c>
      <c r="AE127" t="s">
        <v>97</v>
      </c>
      <c r="AF127" t="s">
        <v>97</v>
      </c>
      <c r="AG127" t="s">
        <v>129</v>
      </c>
      <c r="AH127" t="s">
        <v>100</v>
      </c>
      <c r="AI127">
        <v>490</v>
      </c>
      <c r="AJ127" t="s">
        <v>101</v>
      </c>
      <c r="AK127">
        <v>0</v>
      </c>
      <c r="AL127">
        <v>30</v>
      </c>
      <c r="AM127">
        <v>520</v>
      </c>
      <c r="AN127" t="s">
        <v>102</v>
      </c>
      <c r="AO127" t="s">
        <v>96</v>
      </c>
      <c r="AP127" t="s">
        <v>176</v>
      </c>
      <c r="AQ127" t="s">
        <v>105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97</v>
      </c>
      <c r="BC127">
        <v>5</v>
      </c>
      <c r="BD127" t="s">
        <v>106</v>
      </c>
      <c r="BE127">
        <v>0</v>
      </c>
      <c r="BJ127">
        <v>0</v>
      </c>
      <c r="BK127">
        <v>0</v>
      </c>
      <c r="BN127" t="s">
        <v>176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X127">
        <v>0</v>
      </c>
      <c r="BY127">
        <v>6</v>
      </c>
      <c r="BZ127">
        <v>2006</v>
      </c>
      <c r="CA127" t="s">
        <v>109</v>
      </c>
      <c r="CB127" t="s">
        <v>110</v>
      </c>
      <c r="CC127">
        <v>84500</v>
      </c>
    </row>
    <row r="128" spans="1:81" x14ac:dyDescent="0.3">
      <c r="A128">
        <v>127</v>
      </c>
      <c r="B128">
        <v>120</v>
      </c>
      <c r="C128" t="s">
        <v>81</v>
      </c>
      <c r="E128">
        <v>4928</v>
      </c>
      <c r="F128" t="s">
        <v>82</v>
      </c>
      <c r="H128" t="s">
        <v>119</v>
      </c>
      <c r="I128" t="s">
        <v>84</v>
      </c>
      <c r="J128" t="s">
        <v>85</v>
      </c>
      <c r="K128" t="s">
        <v>86</v>
      </c>
      <c r="L128" t="s">
        <v>87</v>
      </c>
      <c r="M128" t="s">
        <v>215</v>
      </c>
      <c r="N128" t="s">
        <v>89</v>
      </c>
      <c r="O128" t="s">
        <v>89</v>
      </c>
      <c r="P128" t="s">
        <v>178</v>
      </c>
      <c r="Q128" t="s">
        <v>114</v>
      </c>
      <c r="R128">
        <v>6</v>
      </c>
      <c r="S128">
        <v>5</v>
      </c>
      <c r="T128">
        <v>1976</v>
      </c>
      <c r="U128">
        <v>1976</v>
      </c>
      <c r="V128" t="s">
        <v>92</v>
      </c>
      <c r="W128" t="s">
        <v>93</v>
      </c>
      <c r="X128" t="s">
        <v>160</v>
      </c>
      <c r="Y128" t="s">
        <v>160</v>
      </c>
      <c r="Z128" t="s">
        <v>116</v>
      </c>
      <c r="AA128">
        <v>0</v>
      </c>
      <c r="AB128" t="s">
        <v>97</v>
      </c>
      <c r="AC128" t="s">
        <v>97</v>
      </c>
      <c r="AD128" t="s">
        <v>117</v>
      </c>
      <c r="AE128" t="s">
        <v>96</v>
      </c>
      <c r="AF128" t="s">
        <v>97</v>
      </c>
      <c r="AG128" t="s">
        <v>99</v>
      </c>
      <c r="AH128" t="s">
        <v>118</v>
      </c>
      <c r="AI128">
        <v>120</v>
      </c>
      <c r="AJ128" t="s">
        <v>101</v>
      </c>
      <c r="AK128">
        <v>0</v>
      </c>
      <c r="AL128">
        <v>958</v>
      </c>
      <c r="AM128">
        <v>1078</v>
      </c>
      <c r="AN128" t="s">
        <v>102</v>
      </c>
      <c r="AO128" t="s">
        <v>97</v>
      </c>
      <c r="AP128" t="s">
        <v>104</v>
      </c>
      <c r="AQ128" t="s">
        <v>105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97</v>
      </c>
      <c r="BC128">
        <v>5</v>
      </c>
      <c r="BD128" t="s">
        <v>106</v>
      </c>
      <c r="BE128">
        <v>1</v>
      </c>
      <c r="BF128" t="s">
        <v>97</v>
      </c>
      <c r="BG128" t="s">
        <v>107</v>
      </c>
      <c r="BH128">
        <v>1977</v>
      </c>
      <c r="BI128" t="s">
        <v>108</v>
      </c>
      <c r="BJ128">
        <v>2</v>
      </c>
      <c r="BK128">
        <v>440</v>
      </c>
      <c r="BL128" t="s">
        <v>97</v>
      </c>
      <c r="BM128" t="s">
        <v>97</v>
      </c>
      <c r="BN128" t="s">
        <v>104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X128">
        <v>0</v>
      </c>
      <c r="BY128">
        <v>2</v>
      </c>
      <c r="BZ128">
        <v>2007</v>
      </c>
      <c r="CA128" t="s">
        <v>109</v>
      </c>
      <c r="CB128" t="s">
        <v>110</v>
      </c>
      <c r="CC128">
        <v>128000</v>
      </c>
    </row>
    <row r="129" spans="1:81" x14ac:dyDescent="0.3">
      <c r="A129">
        <v>128</v>
      </c>
      <c r="B129">
        <v>45</v>
      </c>
      <c r="C129" t="s">
        <v>141</v>
      </c>
      <c r="D129">
        <v>55</v>
      </c>
      <c r="E129">
        <v>4388</v>
      </c>
      <c r="F129" t="s">
        <v>82</v>
      </c>
      <c r="H129" t="s">
        <v>119</v>
      </c>
      <c r="I129" t="s">
        <v>174</v>
      </c>
      <c r="J129" t="s">
        <v>85</v>
      </c>
      <c r="K129" t="s">
        <v>86</v>
      </c>
      <c r="L129" t="s">
        <v>87</v>
      </c>
      <c r="M129" t="s">
        <v>142</v>
      </c>
      <c r="N129" t="s">
        <v>113</v>
      </c>
      <c r="O129" t="s">
        <v>89</v>
      </c>
      <c r="P129" t="s">
        <v>90</v>
      </c>
      <c r="Q129" t="s">
        <v>149</v>
      </c>
      <c r="R129">
        <v>5</v>
      </c>
      <c r="S129">
        <v>7</v>
      </c>
      <c r="T129">
        <v>1930</v>
      </c>
      <c r="U129">
        <v>1950</v>
      </c>
      <c r="V129" t="s">
        <v>92</v>
      </c>
      <c r="W129" t="s">
        <v>93</v>
      </c>
      <c r="X129" t="s">
        <v>154</v>
      </c>
      <c r="Y129" t="s">
        <v>123</v>
      </c>
      <c r="Z129" t="s">
        <v>116</v>
      </c>
      <c r="AA129">
        <v>0</v>
      </c>
      <c r="AB129" t="s">
        <v>97</v>
      </c>
      <c r="AC129" t="s">
        <v>96</v>
      </c>
      <c r="AD129" t="s">
        <v>125</v>
      </c>
      <c r="AE129" t="s">
        <v>97</v>
      </c>
      <c r="AF129" t="s">
        <v>97</v>
      </c>
      <c r="AG129" t="s">
        <v>99</v>
      </c>
      <c r="AH129" t="s">
        <v>171</v>
      </c>
      <c r="AI129">
        <v>116</v>
      </c>
      <c r="AJ129" t="s">
        <v>101</v>
      </c>
      <c r="AK129">
        <v>0</v>
      </c>
      <c r="AL129">
        <v>556</v>
      </c>
      <c r="AM129">
        <v>672</v>
      </c>
      <c r="AN129" t="s">
        <v>102</v>
      </c>
      <c r="AO129" t="s">
        <v>103</v>
      </c>
      <c r="AP129" t="s">
        <v>104</v>
      </c>
      <c r="AQ129" t="s">
        <v>105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97</v>
      </c>
      <c r="BC129">
        <v>5</v>
      </c>
      <c r="BD129" t="s">
        <v>106</v>
      </c>
      <c r="BE129">
        <v>1</v>
      </c>
      <c r="BF129" t="s">
        <v>97</v>
      </c>
      <c r="BJ129">
        <v>0</v>
      </c>
      <c r="BK129">
        <v>0</v>
      </c>
      <c r="BN129" t="s">
        <v>176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X129">
        <v>0</v>
      </c>
      <c r="BY129">
        <v>6</v>
      </c>
      <c r="BZ129">
        <v>2007</v>
      </c>
      <c r="CA129" t="s">
        <v>109</v>
      </c>
      <c r="CB129" t="s">
        <v>110</v>
      </c>
      <c r="CC129">
        <v>87000</v>
      </c>
    </row>
    <row r="130" spans="1:81" x14ac:dyDescent="0.3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H130" t="s">
        <v>83</v>
      </c>
      <c r="I130" t="s">
        <v>84</v>
      </c>
      <c r="J130" t="s">
        <v>85</v>
      </c>
      <c r="K130" t="s">
        <v>86</v>
      </c>
      <c r="L130" t="s">
        <v>87</v>
      </c>
      <c r="M130" t="s">
        <v>270</v>
      </c>
      <c r="N130" t="s">
        <v>138</v>
      </c>
      <c r="O130" t="s">
        <v>89</v>
      </c>
      <c r="P130" t="s">
        <v>90</v>
      </c>
      <c r="Q130" t="s">
        <v>91</v>
      </c>
      <c r="R130">
        <v>6</v>
      </c>
      <c r="S130">
        <v>5</v>
      </c>
      <c r="T130">
        <v>1966</v>
      </c>
      <c r="U130">
        <v>1966</v>
      </c>
      <c r="V130" t="s">
        <v>92</v>
      </c>
      <c r="W130" t="s">
        <v>93</v>
      </c>
      <c r="X130" t="s">
        <v>94</v>
      </c>
      <c r="Y130" t="s">
        <v>94</v>
      </c>
      <c r="Z130" t="s">
        <v>95</v>
      </c>
      <c r="AA130">
        <v>266</v>
      </c>
      <c r="AB130" t="s">
        <v>97</v>
      </c>
      <c r="AC130" t="s">
        <v>97</v>
      </c>
      <c r="AD130" t="s">
        <v>117</v>
      </c>
      <c r="AE130" t="s">
        <v>97</v>
      </c>
      <c r="AF130" t="s">
        <v>97</v>
      </c>
      <c r="AG130" t="s">
        <v>99</v>
      </c>
      <c r="AH130" t="s">
        <v>140</v>
      </c>
      <c r="AI130">
        <v>512</v>
      </c>
      <c r="AJ130" t="s">
        <v>101</v>
      </c>
      <c r="AK130">
        <v>0</v>
      </c>
      <c r="AL130">
        <v>148</v>
      </c>
      <c r="AM130">
        <v>660</v>
      </c>
      <c r="AN130" t="s">
        <v>102</v>
      </c>
      <c r="AO130" t="s">
        <v>97</v>
      </c>
      <c r="AP130" t="s">
        <v>104</v>
      </c>
      <c r="AQ130" t="s">
        <v>105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97</v>
      </c>
      <c r="BC130">
        <v>6</v>
      </c>
      <c r="BD130" t="s">
        <v>106</v>
      </c>
      <c r="BE130">
        <v>1</v>
      </c>
      <c r="BF130" t="s">
        <v>146</v>
      </c>
      <c r="BG130" t="s">
        <v>107</v>
      </c>
      <c r="BH130">
        <v>1966</v>
      </c>
      <c r="BI130" t="s">
        <v>108</v>
      </c>
      <c r="BJ130">
        <v>2</v>
      </c>
      <c r="BK130">
        <v>453</v>
      </c>
      <c r="BL130" t="s">
        <v>97</v>
      </c>
      <c r="BM130" t="s">
        <v>97</v>
      </c>
      <c r="BN130" t="s">
        <v>104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X130">
        <v>0</v>
      </c>
      <c r="BY130">
        <v>7</v>
      </c>
      <c r="BZ130">
        <v>2006</v>
      </c>
      <c r="CA130" t="s">
        <v>109</v>
      </c>
      <c r="CB130" t="s">
        <v>110</v>
      </c>
      <c r="CC130">
        <v>155000</v>
      </c>
    </row>
    <row r="131" spans="1:81" x14ac:dyDescent="0.3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H131" t="s">
        <v>83</v>
      </c>
      <c r="I131" t="s">
        <v>84</v>
      </c>
      <c r="J131" t="s">
        <v>85</v>
      </c>
      <c r="K131" t="s">
        <v>86</v>
      </c>
      <c r="L131" t="s">
        <v>87</v>
      </c>
      <c r="M131" t="s">
        <v>270</v>
      </c>
      <c r="N131" t="s">
        <v>89</v>
      </c>
      <c r="O131" t="s">
        <v>89</v>
      </c>
      <c r="P131" t="s">
        <v>90</v>
      </c>
      <c r="Q131" t="s">
        <v>114</v>
      </c>
      <c r="R131">
        <v>5</v>
      </c>
      <c r="S131">
        <v>7</v>
      </c>
      <c r="T131">
        <v>1958</v>
      </c>
      <c r="U131">
        <v>1991</v>
      </c>
      <c r="V131" t="s">
        <v>92</v>
      </c>
      <c r="W131" t="s">
        <v>93</v>
      </c>
      <c r="X131" t="s">
        <v>160</v>
      </c>
      <c r="Y131" t="s">
        <v>160</v>
      </c>
      <c r="Z131" t="s">
        <v>95</v>
      </c>
      <c r="AA131">
        <v>85</v>
      </c>
      <c r="AB131" t="s">
        <v>97</v>
      </c>
      <c r="AC131" t="s">
        <v>97</v>
      </c>
      <c r="AD131" t="s">
        <v>117</v>
      </c>
      <c r="AE131" t="s">
        <v>97</v>
      </c>
      <c r="AF131" t="s">
        <v>97</v>
      </c>
      <c r="AG131" t="s">
        <v>99</v>
      </c>
      <c r="AH131" t="s">
        <v>152</v>
      </c>
      <c r="AI131">
        <v>567</v>
      </c>
      <c r="AJ131" t="s">
        <v>140</v>
      </c>
      <c r="AK131">
        <v>28</v>
      </c>
      <c r="AL131">
        <v>413</v>
      </c>
      <c r="AM131">
        <v>1008</v>
      </c>
      <c r="AN131" t="s">
        <v>102</v>
      </c>
      <c r="AO131" t="s">
        <v>97</v>
      </c>
      <c r="AP131" t="s">
        <v>104</v>
      </c>
      <c r="AQ131" t="s">
        <v>163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103</v>
      </c>
      <c r="BC131">
        <v>6</v>
      </c>
      <c r="BD131" t="s">
        <v>106</v>
      </c>
      <c r="BE131">
        <v>0</v>
      </c>
      <c r="BG131" t="s">
        <v>216</v>
      </c>
      <c r="BH131">
        <v>1998</v>
      </c>
      <c r="BI131" t="s">
        <v>108</v>
      </c>
      <c r="BJ131">
        <v>2</v>
      </c>
      <c r="BK131">
        <v>750</v>
      </c>
      <c r="BL131" t="s">
        <v>97</v>
      </c>
      <c r="BM131" t="s">
        <v>97</v>
      </c>
      <c r="BN131" t="s">
        <v>104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V131" t="s">
        <v>217</v>
      </c>
      <c r="BX131">
        <v>0</v>
      </c>
      <c r="BY131">
        <v>7</v>
      </c>
      <c r="BZ131">
        <v>2006</v>
      </c>
      <c r="CA131" t="s">
        <v>109</v>
      </c>
      <c r="CB131" t="s">
        <v>127</v>
      </c>
      <c r="CC131">
        <v>150000</v>
      </c>
    </row>
    <row r="132" spans="1:81" x14ac:dyDescent="0.3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H132" t="s">
        <v>83</v>
      </c>
      <c r="I132" t="s">
        <v>84</v>
      </c>
      <c r="J132" t="s">
        <v>85</v>
      </c>
      <c r="K132" t="s">
        <v>121</v>
      </c>
      <c r="L132" t="s">
        <v>87</v>
      </c>
      <c r="M132" t="s">
        <v>270</v>
      </c>
      <c r="N132" t="s">
        <v>89</v>
      </c>
      <c r="O132" t="s">
        <v>89</v>
      </c>
      <c r="P132" t="s">
        <v>90</v>
      </c>
      <c r="Q132" t="s">
        <v>91</v>
      </c>
      <c r="R132">
        <v>7</v>
      </c>
      <c r="S132">
        <v>6</v>
      </c>
      <c r="T132">
        <v>1966</v>
      </c>
      <c r="U132">
        <v>1966</v>
      </c>
      <c r="V132" t="s">
        <v>92</v>
      </c>
      <c r="W132" t="s">
        <v>93</v>
      </c>
      <c r="X132" t="s">
        <v>115</v>
      </c>
      <c r="Y132" t="s">
        <v>115</v>
      </c>
      <c r="Z132" t="s">
        <v>95</v>
      </c>
      <c r="AA132">
        <v>309</v>
      </c>
      <c r="AB132" t="s">
        <v>97</v>
      </c>
      <c r="AC132" t="s">
        <v>97</v>
      </c>
      <c r="AD132" t="s">
        <v>117</v>
      </c>
      <c r="AE132" t="s">
        <v>97</v>
      </c>
      <c r="AF132" t="s">
        <v>97</v>
      </c>
      <c r="AG132" t="s">
        <v>99</v>
      </c>
      <c r="AH132" t="s">
        <v>152</v>
      </c>
      <c r="AI132">
        <v>445</v>
      </c>
      <c r="AJ132" t="s">
        <v>101</v>
      </c>
      <c r="AK132">
        <v>0</v>
      </c>
      <c r="AL132">
        <v>479</v>
      </c>
      <c r="AM132">
        <v>924</v>
      </c>
      <c r="AN132" t="s">
        <v>102</v>
      </c>
      <c r="AO132" t="s">
        <v>103</v>
      </c>
      <c r="AP132" t="s">
        <v>104</v>
      </c>
      <c r="AQ132" t="s">
        <v>105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96</v>
      </c>
      <c r="BC132">
        <v>8</v>
      </c>
      <c r="BD132" t="s">
        <v>106</v>
      </c>
      <c r="BE132">
        <v>2</v>
      </c>
      <c r="BF132" t="s">
        <v>96</v>
      </c>
      <c r="BG132" t="s">
        <v>107</v>
      </c>
      <c r="BH132">
        <v>1966</v>
      </c>
      <c r="BI132" t="s">
        <v>156</v>
      </c>
      <c r="BJ132">
        <v>2</v>
      </c>
      <c r="BK132">
        <v>487</v>
      </c>
      <c r="BL132" t="s">
        <v>97</v>
      </c>
      <c r="BM132" t="s">
        <v>97</v>
      </c>
      <c r="BN132" t="s">
        <v>104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V132" t="s">
        <v>164</v>
      </c>
      <c r="BX132">
        <v>0</v>
      </c>
      <c r="BY132">
        <v>5</v>
      </c>
      <c r="BZ132">
        <v>2006</v>
      </c>
      <c r="CA132" t="s">
        <v>109</v>
      </c>
      <c r="CB132" t="s">
        <v>110</v>
      </c>
      <c r="CC132">
        <v>226000</v>
      </c>
    </row>
    <row r="133" spans="1:81" x14ac:dyDescent="0.3">
      <c r="A133">
        <v>132</v>
      </c>
      <c r="B133">
        <v>60</v>
      </c>
      <c r="C133" t="s">
        <v>81</v>
      </c>
      <c r="E133">
        <v>12224</v>
      </c>
      <c r="F133" t="s">
        <v>82</v>
      </c>
      <c r="H133" t="s">
        <v>119</v>
      </c>
      <c r="I133" t="s">
        <v>84</v>
      </c>
      <c r="J133" t="s">
        <v>85</v>
      </c>
      <c r="K133" t="s">
        <v>121</v>
      </c>
      <c r="L133" t="s">
        <v>87</v>
      </c>
      <c r="M133" t="s">
        <v>192</v>
      </c>
      <c r="N133" t="s">
        <v>89</v>
      </c>
      <c r="O133" t="s">
        <v>89</v>
      </c>
      <c r="P133" t="s">
        <v>90</v>
      </c>
      <c r="Q133" t="s">
        <v>91</v>
      </c>
      <c r="R133">
        <v>6</v>
      </c>
      <c r="S133">
        <v>5</v>
      </c>
      <c r="T133">
        <v>2000</v>
      </c>
      <c r="U133">
        <v>2000</v>
      </c>
      <c r="V133" t="s">
        <v>92</v>
      </c>
      <c r="W133" t="s">
        <v>93</v>
      </c>
      <c r="X133" t="s">
        <v>94</v>
      </c>
      <c r="Y133" t="s">
        <v>94</v>
      </c>
      <c r="Z133" t="s">
        <v>95</v>
      </c>
      <c r="AA133">
        <v>40</v>
      </c>
      <c r="AB133" t="s">
        <v>96</v>
      </c>
      <c r="AC133" t="s">
        <v>97</v>
      </c>
      <c r="AD133" t="s">
        <v>98</v>
      </c>
      <c r="AE133" t="s">
        <v>96</v>
      </c>
      <c r="AF133" t="s">
        <v>97</v>
      </c>
      <c r="AG133" t="s">
        <v>99</v>
      </c>
      <c r="AH133" t="s">
        <v>100</v>
      </c>
      <c r="AI133">
        <v>695</v>
      </c>
      <c r="AJ133" t="s">
        <v>101</v>
      </c>
      <c r="AK133">
        <v>0</v>
      </c>
      <c r="AL133">
        <v>297</v>
      </c>
      <c r="AM133">
        <v>992</v>
      </c>
      <c r="AN133" t="s">
        <v>102</v>
      </c>
      <c r="AO133" t="s">
        <v>103</v>
      </c>
      <c r="AP133" t="s">
        <v>104</v>
      </c>
      <c r="AQ133" t="s">
        <v>105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96</v>
      </c>
      <c r="BC133">
        <v>7</v>
      </c>
      <c r="BD133" t="s">
        <v>106</v>
      </c>
      <c r="BE133">
        <v>1</v>
      </c>
      <c r="BF133" t="s">
        <v>97</v>
      </c>
      <c r="BG133" t="s">
        <v>155</v>
      </c>
      <c r="BH133">
        <v>2000</v>
      </c>
      <c r="BI133" t="s">
        <v>108</v>
      </c>
      <c r="BJ133">
        <v>2</v>
      </c>
      <c r="BK133">
        <v>390</v>
      </c>
      <c r="BL133" t="s">
        <v>97</v>
      </c>
      <c r="BM133" t="s">
        <v>97</v>
      </c>
      <c r="BN133" t="s">
        <v>104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X133">
        <v>0</v>
      </c>
      <c r="BY133">
        <v>7</v>
      </c>
      <c r="BZ133">
        <v>2009</v>
      </c>
      <c r="CA133" t="s">
        <v>109</v>
      </c>
      <c r="CB133" t="s">
        <v>110</v>
      </c>
      <c r="CC133">
        <v>244000</v>
      </c>
    </row>
    <row r="134" spans="1:81" x14ac:dyDescent="0.3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H134" t="s">
        <v>83</v>
      </c>
      <c r="I134" t="s">
        <v>84</v>
      </c>
      <c r="J134" t="s">
        <v>85</v>
      </c>
      <c r="K134" t="s">
        <v>121</v>
      </c>
      <c r="L134" t="s">
        <v>87</v>
      </c>
      <c r="M134" t="s">
        <v>270</v>
      </c>
      <c r="N134" t="s">
        <v>89</v>
      </c>
      <c r="O134" t="s">
        <v>89</v>
      </c>
      <c r="P134" t="s">
        <v>90</v>
      </c>
      <c r="Q134" t="s">
        <v>114</v>
      </c>
      <c r="R134">
        <v>5</v>
      </c>
      <c r="S134">
        <v>6</v>
      </c>
      <c r="T134">
        <v>1959</v>
      </c>
      <c r="U134">
        <v>2002</v>
      </c>
      <c r="V134" t="s">
        <v>92</v>
      </c>
      <c r="W134" t="s">
        <v>93</v>
      </c>
      <c r="X134" t="s">
        <v>115</v>
      </c>
      <c r="Y134" t="s">
        <v>115</v>
      </c>
      <c r="Z134" t="s">
        <v>116</v>
      </c>
      <c r="AA134">
        <v>0</v>
      </c>
      <c r="AB134" t="s">
        <v>97</v>
      </c>
      <c r="AC134" t="s">
        <v>97</v>
      </c>
      <c r="AD134" t="s">
        <v>117</v>
      </c>
      <c r="AE134" t="s">
        <v>97</v>
      </c>
      <c r="AF134" t="s">
        <v>97</v>
      </c>
      <c r="AG134" t="s">
        <v>99</v>
      </c>
      <c r="AH134" t="s">
        <v>152</v>
      </c>
      <c r="AI134">
        <v>405</v>
      </c>
      <c r="AJ134" t="s">
        <v>101</v>
      </c>
      <c r="AK134">
        <v>0</v>
      </c>
      <c r="AL134">
        <v>658</v>
      </c>
      <c r="AM134">
        <v>1063</v>
      </c>
      <c r="AN134" t="s">
        <v>102</v>
      </c>
      <c r="AO134" t="s">
        <v>96</v>
      </c>
      <c r="AP134" t="s">
        <v>104</v>
      </c>
      <c r="AQ134" t="s">
        <v>105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96</v>
      </c>
      <c r="BC134">
        <v>7</v>
      </c>
      <c r="BD134" t="s">
        <v>106</v>
      </c>
      <c r="BE134">
        <v>0</v>
      </c>
      <c r="BG134" t="s">
        <v>126</v>
      </c>
      <c r="BH134">
        <v>1974</v>
      </c>
      <c r="BI134" t="s">
        <v>101</v>
      </c>
      <c r="BJ134">
        <v>2</v>
      </c>
      <c r="BK134">
        <v>624</v>
      </c>
      <c r="BL134" t="s">
        <v>97</v>
      </c>
      <c r="BM134" t="s">
        <v>97</v>
      </c>
      <c r="BN134" t="s">
        <v>104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X134">
        <v>0</v>
      </c>
      <c r="BY134">
        <v>7</v>
      </c>
      <c r="BZ134">
        <v>2007</v>
      </c>
      <c r="CA134" t="s">
        <v>109</v>
      </c>
      <c r="CB134" t="s">
        <v>110</v>
      </c>
      <c r="CC134">
        <v>150750</v>
      </c>
    </row>
    <row r="135" spans="1:81" x14ac:dyDescent="0.3">
      <c r="A135">
        <v>134</v>
      </c>
      <c r="B135">
        <v>20</v>
      </c>
      <c r="C135" t="s">
        <v>81</v>
      </c>
      <c r="E135">
        <v>6853</v>
      </c>
      <c r="F135" t="s">
        <v>82</v>
      </c>
      <c r="H135" t="s">
        <v>119</v>
      </c>
      <c r="I135" t="s">
        <v>84</v>
      </c>
      <c r="J135" t="s">
        <v>85</v>
      </c>
      <c r="K135" t="s">
        <v>86</v>
      </c>
      <c r="L135" t="s">
        <v>87</v>
      </c>
      <c r="M135" t="s">
        <v>188</v>
      </c>
      <c r="N135" t="s">
        <v>89</v>
      </c>
      <c r="O135" t="s">
        <v>89</v>
      </c>
      <c r="P135" t="s">
        <v>90</v>
      </c>
      <c r="Q135" t="s">
        <v>114</v>
      </c>
      <c r="R135">
        <v>8</v>
      </c>
      <c r="S135">
        <v>5</v>
      </c>
      <c r="T135">
        <v>2001</v>
      </c>
      <c r="U135">
        <v>2002</v>
      </c>
      <c r="V135" t="s">
        <v>92</v>
      </c>
      <c r="W135" t="s">
        <v>93</v>
      </c>
      <c r="X135" t="s">
        <v>94</v>
      </c>
      <c r="Y135" t="s">
        <v>94</v>
      </c>
      <c r="Z135" t="s">
        <v>95</v>
      </c>
      <c r="AA135">
        <v>136</v>
      </c>
      <c r="AB135" t="s">
        <v>96</v>
      </c>
      <c r="AC135" t="s">
        <v>97</v>
      </c>
      <c r="AD135" t="s">
        <v>98</v>
      </c>
      <c r="AE135" t="s">
        <v>103</v>
      </c>
      <c r="AF135" t="s">
        <v>97</v>
      </c>
      <c r="AG135" t="s">
        <v>99</v>
      </c>
      <c r="AH135" t="s">
        <v>100</v>
      </c>
      <c r="AI135">
        <v>1005</v>
      </c>
      <c r="AJ135" t="s">
        <v>101</v>
      </c>
      <c r="AK135">
        <v>0</v>
      </c>
      <c r="AL135">
        <v>262</v>
      </c>
      <c r="AM135">
        <v>1267</v>
      </c>
      <c r="AN135" t="s">
        <v>102</v>
      </c>
      <c r="AO135" t="s">
        <v>103</v>
      </c>
      <c r="AP135" t="s">
        <v>104</v>
      </c>
      <c r="AQ135" t="s">
        <v>105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96</v>
      </c>
      <c r="BC135">
        <v>6</v>
      </c>
      <c r="BD135" t="s">
        <v>106</v>
      </c>
      <c r="BE135">
        <v>0</v>
      </c>
      <c r="BG135" t="s">
        <v>107</v>
      </c>
      <c r="BH135">
        <v>2001</v>
      </c>
      <c r="BI135" t="s">
        <v>156</v>
      </c>
      <c r="BJ135">
        <v>2</v>
      </c>
      <c r="BK135">
        <v>471</v>
      </c>
      <c r="BL135" t="s">
        <v>97</v>
      </c>
      <c r="BM135" t="s">
        <v>97</v>
      </c>
      <c r="BN135" t="s">
        <v>104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X135">
        <v>0</v>
      </c>
      <c r="BY135">
        <v>6</v>
      </c>
      <c r="BZ135">
        <v>2009</v>
      </c>
      <c r="CA135" t="s">
        <v>109</v>
      </c>
      <c r="CB135" t="s">
        <v>110</v>
      </c>
      <c r="CC135">
        <v>220000</v>
      </c>
    </row>
    <row r="136" spans="1:81" x14ac:dyDescent="0.3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H136" t="s">
        <v>119</v>
      </c>
      <c r="I136" t="s">
        <v>84</v>
      </c>
      <c r="J136" t="s">
        <v>85</v>
      </c>
      <c r="K136" t="s">
        <v>86</v>
      </c>
      <c r="L136" t="s">
        <v>87</v>
      </c>
      <c r="M136" t="s">
        <v>150</v>
      </c>
      <c r="N136" t="s">
        <v>89</v>
      </c>
      <c r="O136" t="s">
        <v>89</v>
      </c>
      <c r="P136" t="s">
        <v>90</v>
      </c>
      <c r="Q136" t="s">
        <v>114</v>
      </c>
      <c r="R136">
        <v>5</v>
      </c>
      <c r="S136">
        <v>6</v>
      </c>
      <c r="T136">
        <v>1968</v>
      </c>
      <c r="U136">
        <v>1993</v>
      </c>
      <c r="V136" t="s">
        <v>92</v>
      </c>
      <c r="W136" t="s">
        <v>93</v>
      </c>
      <c r="X136" t="s">
        <v>160</v>
      </c>
      <c r="Y136" t="s">
        <v>160</v>
      </c>
      <c r="Z136" t="s">
        <v>116</v>
      </c>
      <c r="AA136">
        <v>0</v>
      </c>
      <c r="AB136" t="s">
        <v>97</v>
      </c>
      <c r="AC136" t="s">
        <v>97</v>
      </c>
      <c r="AD136" t="s">
        <v>117</v>
      </c>
      <c r="AE136" t="s">
        <v>97</v>
      </c>
      <c r="AF136" t="s">
        <v>97</v>
      </c>
      <c r="AG136" t="s">
        <v>99</v>
      </c>
      <c r="AH136" t="s">
        <v>152</v>
      </c>
      <c r="AI136">
        <v>570</v>
      </c>
      <c r="AJ136" t="s">
        <v>101</v>
      </c>
      <c r="AK136">
        <v>0</v>
      </c>
      <c r="AL136">
        <v>891</v>
      </c>
      <c r="AM136">
        <v>1461</v>
      </c>
      <c r="AN136" t="s">
        <v>102</v>
      </c>
      <c r="AO136" t="s">
        <v>96</v>
      </c>
      <c r="AP136" t="s">
        <v>104</v>
      </c>
      <c r="AQ136" t="s">
        <v>105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97</v>
      </c>
      <c r="BC136">
        <v>7</v>
      </c>
      <c r="BD136" t="s">
        <v>145</v>
      </c>
      <c r="BE136">
        <v>1</v>
      </c>
      <c r="BF136" t="s">
        <v>97</v>
      </c>
      <c r="BG136" t="s">
        <v>107</v>
      </c>
      <c r="BH136">
        <v>1968</v>
      </c>
      <c r="BI136" t="s">
        <v>108</v>
      </c>
      <c r="BJ136">
        <v>2</v>
      </c>
      <c r="BK136">
        <v>440</v>
      </c>
      <c r="BL136" t="s">
        <v>97</v>
      </c>
      <c r="BM136" t="s">
        <v>97</v>
      </c>
      <c r="BN136" t="s">
        <v>104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V136" t="s">
        <v>133</v>
      </c>
      <c r="BX136">
        <v>0</v>
      </c>
      <c r="BY136">
        <v>7</v>
      </c>
      <c r="BZ136">
        <v>2006</v>
      </c>
      <c r="CA136" t="s">
        <v>109</v>
      </c>
      <c r="CB136" t="s">
        <v>110</v>
      </c>
      <c r="CC136">
        <v>180000</v>
      </c>
    </row>
    <row r="137" spans="1:81" x14ac:dyDescent="0.3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H137" t="s">
        <v>83</v>
      </c>
      <c r="I137" t="s">
        <v>84</v>
      </c>
      <c r="J137" t="s">
        <v>85</v>
      </c>
      <c r="K137" t="s">
        <v>86</v>
      </c>
      <c r="L137" t="s">
        <v>87</v>
      </c>
      <c r="M137" t="s">
        <v>137</v>
      </c>
      <c r="N137" t="s">
        <v>89</v>
      </c>
      <c r="O137" t="s">
        <v>89</v>
      </c>
      <c r="P137" t="s">
        <v>90</v>
      </c>
      <c r="Q137" t="s">
        <v>114</v>
      </c>
      <c r="R137">
        <v>7</v>
      </c>
      <c r="S137">
        <v>6</v>
      </c>
      <c r="T137">
        <v>1970</v>
      </c>
      <c r="U137">
        <v>1970</v>
      </c>
      <c r="V137" t="s">
        <v>151</v>
      </c>
      <c r="W137" t="s">
        <v>93</v>
      </c>
      <c r="X137" t="s">
        <v>160</v>
      </c>
      <c r="Y137" t="s">
        <v>160</v>
      </c>
      <c r="Z137" t="s">
        <v>95</v>
      </c>
      <c r="AA137">
        <v>288</v>
      </c>
      <c r="AB137" t="s">
        <v>97</v>
      </c>
      <c r="AC137" t="s">
        <v>97</v>
      </c>
      <c r="AD137" t="s">
        <v>98</v>
      </c>
      <c r="AE137" t="s">
        <v>97</v>
      </c>
      <c r="AF137" t="s">
        <v>97</v>
      </c>
      <c r="AG137" t="s">
        <v>99</v>
      </c>
      <c r="AH137" t="s">
        <v>101</v>
      </c>
      <c r="AI137">
        <v>0</v>
      </c>
      <c r="AJ137" t="s">
        <v>101</v>
      </c>
      <c r="AK137">
        <v>0</v>
      </c>
      <c r="AL137">
        <v>1304</v>
      </c>
      <c r="AM137">
        <v>1304</v>
      </c>
      <c r="AN137" t="s">
        <v>102</v>
      </c>
      <c r="AO137" t="s">
        <v>96</v>
      </c>
      <c r="AP137" t="s">
        <v>104</v>
      </c>
      <c r="AQ137" t="s">
        <v>105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97</v>
      </c>
      <c r="BC137">
        <v>7</v>
      </c>
      <c r="BD137" t="s">
        <v>106</v>
      </c>
      <c r="BE137">
        <v>1</v>
      </c>
      <c r="BF137" t="s">
        <v>96</v>
      </c>
      <c r="BG137" t="s">
        <v>107</v>
      </c>
      <c r="BH137">
        <v>1970</v>
      </c>
      <c r="BI137" t="s">
        <v>101</v>
      </c>
      <c r="BJ137">
        <v>2</v>
      </c>
      <c r="BK137">
        <v>530</v>
      </c>
      <c r="BL137" t="s">
        <v>97</v>
      </c>
      <c r="BM137" t="s">
        <v>97</v>
      </c>
      <c r="BN137" t="s">
        <v>104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V137" t="s">
        <v>133</v>
      </c>
      <c r="BX137">
        <v>0</v>
      </c>
      <c r="BY137">
        <v>5</v>
      </c>
      <c r="BZ137">
        <v>2008</v>
      </c>
      <c r="CA137" t="s">
        <v>109</v>
      </c>
      <c r="CB137" t="s">
        <v>110</v>
      </c>
      <c r="CC137">
        <v>174000</v>
      </c>
    </row>
    <row r="138" spans="1:81" x14ac:dyDescent="0.3">
      <c r="A138">
        <v>137</v>
      </c>
      <c r="B138">
        <v>20</v>
      </c>
      <c r="C138" t="s">
        <v>81</v>
      </c>
      <c r="E138">
        <v>10355</v>
      </c>
      <c r="F138" t="s">
        <v>82</v>
      </c>
      <c r="H138" t="s">
        <v>119</v>
      </c>
      <c r="I138" t="s">
        <v>84</v>
      </c>
      <c r="J138" t="s">
        <v>85</v>
      </c>
      <c r="K138" t="s">
        <v>121</v>
      </c>
      <c r="L138" t="s">
        <v>87</v>
      </c>
      <c r="M138" t="s">
        <v>270</v>
      </c>
      <c r="N138" t="s">
        <v>89</v>
      </c>
      <c r="O138" t="s">
        <v>89</v>
      </c>
      <c r="P138" t="s">
        <v>90</v>
      </c>
      <c r="Q138" t="s">
        <v>114</v>
      </c>
      <c r="R138">
        <v>5</v>
      </c>
      <c r="S138">
        <v>5</v>
      </c>
      <c r="T138">
        <v>1967</v>
      </c>
      <c r="U138">
        <v>1967</v>
      </c>
      <c r="V138" t="s">
        <v>92</v>
      </c>
      <c r="W138" t="s">
        <v>93</v>
      </c>
      <c r="X138" t="s">
        <v>115</v>
      </c>
      <c r="Y138" t="s">
        <v>115</v>
      </c>
      <c r="Z138" t="s">
        <v>95</v>
      </c>
      <c r="AA138">
        <v>196</v>
      </c>
      <c r="AB138" t="s">
        <v>97</v>
      </c>
      <c r="AC138" t="s">
        <v>97</v>
      </c>
      <c r="AD138" t="s">
        <v>117</v>
      </c>
      <c r="AE138" t="s">
        <v>97</v>
      </c>
      <c r="AF138" t="s">
        <v>97</v>
      </c>
      <c r="AG138" t="s">
        <v>99</v>
      </c>
      <c r="AH138" t="s">
        <v>140</v>
      </c>
      <c r="AI138">
        <v>695</v>
      </c>
      <c r="AJ138" t="s">
        <v>101</v>
      </c>
      <c r="AK138">
        <v>0</v>
      </c>
      <c r="AL138">
        <v>519</v>
      </c>
      <c r="AM138">
        <v>1214</v>
      </c>
      <c r="AN138" t="s">
        <v>102</v>
      </c>
      <c r="AO138" t="s">
        <v>97</v>
      </c>
      <c r="AP138" t="s">
        <v>104</v>
      </c>
      <c r="AQ138" t="s">
        <v>105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97</v>
      </c>
      <c r="BC138">
        <v>5</v>
      </c>
      <c r="BD138" t="s">
        <v>106</v>
      </c>
      <c r="BE138">
        <v>1</v>
      </c>
      <c r="BF138" t="s">
        <v>146</v>
      </c>
      <c r="BG138" t="s">
        <v>107</v>
      </c>
      <c r="BH138">
        <v>1967</v>
      </c>
      <c r="BI138" t="s">
        <v>108</v>
      </c>
      <c r="BJ138">
        <v>1</v>
      </c>
      <c r="BK138">
        <v>318</v>
      </c>
      <c r="BL138" t="s">
        <v>97</v>
      </c>
      <c r="BM138" t="s">
        <v>97</v>
      </c>
      <c r="BN138" t="s">
        <v>104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X138">
        <v>0</v>
      </c>
      <c r="BY138">
        <v>7</v>
      </c>
      <c r="BZ138">
        <v>2007</v>
      </c>
      <c r="CA138" t="s">
        <v>109</v>
      </c>
      <c r="CB138" t="s">
        <v>110</v>
      </c>
      <c r="CC138">
        <v>143000</v>
      </c>
    </row>
    <row r="139" spans="1:81" x14ac:dyDescent="0.3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H139" t="s">
        <v>83</v>
      </c>
      <c r="I139" t="s">
        <v>84</v>
      </c>
      <c r="J139" t="s">
        <v>85</v>
      </c>
      <c r="K139" t="s">
        <v>86</v>
      </c>
      <c r="L139" t="s">
        <v>87</v>
      </c>
      <c r="M139" t="s">
        <v>130</v>
      </c>
      <c r="N139" t="s">
        <v>89</v>
      </c>
      <c r="O139" t="s">
        <v>89</v>
      </c>
      <c r="P139" t="s">
        <v>166</v>
      </c>
      <c r="Q139" t="s">
        <v>114</v>
      </c>
      <c r="R139">
        <v>7</v>
      </c>
      <c r="S139">
        <v>5</v>
      </c>
      <c r="T139">
        <v>1988</v>
      </c>
      <c r="U139">
        <v>1989</v>
      </c>
      <c r="V139" t="s">
        <v>92</v>
      </c>
      <c r="W139" t="s">
        <v>93</v>
      </c>
      <c r="X139" t="s">
        <v>94</v>
      </c>
      <c r="Y139" t="s">
        <v>94</v>
      </c>
      <c r="Z139" t="s">
        <v>95</v>
      </c>
      <c r="AA139">
        <v>70</v>
      </c>
      <c r="AB139" t="s">
        <v>97</v>
      </c>
      <c r="AC139" t="s">
        <v>97</v>
      </c>
      <c r="AD139" t="s">
        <v>117</v>
      </c>
      <c r="AE139" t="s">
        <v>97</v>
      </c>
      <c r="AF139" t="s">
        <v>97</v>
      </c>
      <c r="AG139" t="s">
        <v>99</v>
      </c>
      <c r="AH139" t="s">
        <v>101</v>
      </c>
      <c r="AI139">
        <v>0</v>
      </c>
      <c r="AJ139" t="s">
        <v>101</v>
      </c>
      <c r="AK139">
        <v>0</v>
      </c>
      <c r="AL139">
        <v>1907</v>
      </c>
      <c r="AM139">
        <v>1907</v>
      </c>
      <c r="AN139" t="s">
        <v>102</v>
      </c>
      <c r="AO139" t="s">
        <v>96</v>
      </c>
      <c r="AP139" t="s">
        <v>104</v>
      </c>
      <c r="AQ139" t="s">
        <v>105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97</v>
      </c>
      <c r="BC139">
        <v>9</v>
      </c>
      <c r="BD139" t="s">
        <v>106</v>
      </c>
      <c r="BE139">
        <v>0</v>
      </c>
      <c r="BG139" t="s">
        <v>216</v>
      </c>
      <c r="BH139">
        <v>1989</v>
      </c>
      <c r="BI139" t="s">
        <v>101</v>
      </c>
      <c r="BJ139">
        <v>3</v>
      </c>
      <c r="BK139">
        <v>766</v>
      </c>
      <c r="BL139" t="s">
        <v>97</v>
      </c>
      <c r="BM139" t="s">
        <v>97</v>
      </c>
      <c r="BN139" t="s">
        <v>104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X139">
        <v>0</v>
      </c>
      <c r="BY139">
        <v>7</v>
      </c>
      <c r="BZ139">
        <v>2006</v>
      </c>
      <c r="CA139" t="s">
        <v>109</v>
      </c>
      <c r="CB139" t="s">
        <v>218</v>
      </c>
      <c r="CC139">
        <v>171000</v>
      </c>
    </row>
    <row r="140" spans="1:81" x14ac:dyDescent="0.3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H140" t="s">
        <v>119</v>
      </c>
      <c r="I140" t="s">
        <v>84</v>
      </c>
      <c r="J140" t="s">
        <v>85</v>
      </c>
      <c r="K140" t="s">
        <v>86</v>
      </c>
      <c r="L140" t="s">
        <v>87</v>
      </c>
      <c r="M140" t="s">
        <v>88</v>
      </c>
      <c r="N140" t="s">
        <v>89</v>
      </c>
      <c r="O140" t="s">
        <v>89</v>
      </c>
      <c r="P140" t="s">
        <v>90</v>
      </c>
      <c r="Q140" t="s">
        <v>91</v>
      </c>
      <c r="R140">
        <v>8</v>
      </c>
      <c r="S140">
        <v>5</v>
      </c>
      <c r="T140">
        <v>1999</v>
      </c>
      <c r="U140">
        <v>2000</v>
      </c>
      <c r="V140" t="s">
        <v>92</v>
      </c>
      <c r="W140" t="s">
        <v>93</v>
      </c>
      <c r="X140" t="s">
        <v>94</v>
      </c>
      <c r="Y140" t="s">
        <v>94</v>
      </c>
      <c r="Z140" t="s">
        <v>95</v>
      </c>
      <c r="AA140">
        <v>320</v>
      </c>
      <c r="AB140" t="s">
        <v>96</v>
      </c>
      <c r="AC140" t="s">
        <v>97</v>
      </c>
      <c r="AD140" t="s">
        <v>98</v>
      </c>
      <c r="AE140" t="s">
        <v>96</v>
      </c>
      <c r="AF140" t="s">
        <v>97</v>
      </c>
      <c r="AG140" t="s">
        <v>120</v>
      </c>
      <c r="AH140" t="s">
        <v>100</v>
      </c>
      <c r="AI140">
        <v>668</v>
      </c>
      <c r="AJ140" t="s">
        <v>101</v>
      </c>
      <c r="AK140">
        <v>0</v>
      </c>
      <c r="AL140">
        <v>336</v>
      </c>
      <c r="AM140">
        <v>1004</v>
      </c>
      <c r="AN140" t="s">
        <v>102</v>
      </c>
      <c r="AO140" t="s">
        <v>103</v>
      </c>
      <c r="AP140" t="s">
        <v>104</v>
      </c>
      <c r="AQ140" t="s">
        <v>105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96</v>
      </c>
      <c r="BC140">
        <v>7</v>
      </c>
      <c r="BD140" t="s">
        <v>106</v>
      </c>
      <c r="BE140">
        <v>2</v>
      </c>
      <c r="BF140" t="s">
        <v>97</v>
      </c>
      <c r="BG140" t="s">
        <v>107</v>
      </c>
      <c r="BH140">
        <v>1999</v>
      </c>
      <c r="BI140" t="s">
        <v>156</v>
      </c>
      <c r="BJ140">
        <v>3</v>
      </c>
      <c r="BK140">
        <v>660</v>
      </c>
      <c r="BL140" t="s">
        <v>97</v>
      </c>
      <c r="BM140" t="s">
        <v>97</v>
      </c>
      <c r="BN140" t="s">
        <v>104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V140" t="s">
        <v>164</v>
      </c>
      <c r="BX140">
        <v>0</v>
      </c>
      <c r="BY140">
        <v>12</v>
      </c>
      <c r="BZ140">
        <v>2008</v>
      </c>
      <c r="CA140" t="s">
        <v>109</v>
      </c>
      <c r="CB140" t="s">
        <v>110</v>
      </c>
      <c r="CC140">
        <v>230000</v>
      </c>
    </row>
    <row r="141" spans="1:81" x14ac:dyDescent="0.3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H141" t="s">
        <v>119</v>
      </c>
      <c r="I141" t="s">
        <v>84</v>
      </c>
      <c r="J141" t="s">
        <v>85</v>
      </c>
      <c r="K141" t="s">
        <v>86</v>
      </c>
      <c r="L141" t="s">
        <v>87</v>
      </c>
      <c r="M141" t="s">
        <v>88</v>
      </c>
      <c r="N141" t="s">
        <v>89</v>
      </c>
      <c r="O141" t="s">
        <v>89</v>
      </c>
      <c r="P141" t="s">
        <v>90</v>
      </c>
      <c r="Q141" t="s">
        <v>91</v>
      </c>
      <c r="R141">
        <v>6</v>
      </c>
      <c r="S141">
        <v>5</v>
      </c>
      <c r="T141">
        <v>1997</v>
      </c>
      <c r="U141">
        <v>1997</v>
      </c>
      <c r="V141" t="s">
        <v>92</v>
      </c>
      <c r="W141" t="s">
        <v>93</v>
      </c>
      <c r="X141" t="s">
        <v>94</v>
      </c>
      <c r="Y141" t="s">
        <v>94</v>
      </c>
      <c r="Z141" t="s">
        <v>116</v>
      </c>
      <c r="AA141">
        <v>0</v>
      </c>
      <c r="AB141" t="s">
        <v>97</v>
      </c>
      <c r="AC141" t="s">
        <v>97</v>
      </c>
      <c r="AD141" t="s">
        <v>98</v>
      </c>
      <c r="AE141" t="s">
        <v>96</v>
      </c>
      <c r="AF141" t="s">
        <v>97</v>
      </c>
      <c r="AG141" t="s">
        <v>99</v>
      </c>
      <c r="AH141" t="s">
        <v>100</v>
      </c>
      <c r="AI141">
        <v>821</v>
      </c>
      <c r="AJ141" t="s">
        <v>101</v>
      </c>
      <c r="AK141">
        <v>0</v>
      </c>
      <c r="AL141">
        <v>107</v>
      </c>
      <c r="AM141">
        <v>928</v>
      </c>
      <c r="AN141" t="s">
        <v>102</v>
      </c>
      <c r="AO141" t="s">
        <v>103</v>
      </c>
      <c r="AP141" t="s">
        <v>104</v>
      </c>
      <c r="AQ141" t="s">
        <v>105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96</v>
      </c>
      <c r="BC141">
        <v>7</v>
      </c>
      <c r="BD141" t="s">
        <v>106</v>
      </c>
      <c r="BE141">
        <v>0</v>
      </c>
      <c r="BG141" t="s">
        <v>107</v>
      </c>
      <c r="BH141">
        <v>1997</v>
      </c>
      <c r="BI141" t="s">
        <v>108</v>
      </c>
      <c r="BJ141">
        <v>2</v>
      </c>
      <c r="BK141">
        <v>470</v>
      </c>
      <c r="BL141" t="s">
        <v>97</v>
      </c>
      <c r="BM141" t="s">
        <v>97</v>
      </c>
      <c r="BN141" t="s">
        <v>104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V141" t="s">
        <v>133</v>
      </c>
      <c r="BX141">
        <v>0</v>
      </c>
      <c r="BY141">
        <v>8</v>
      </c>
      <c r="BZ141">
        <v>2009</v>
      </c>
      <c r="CA141" t="s">
        <v>109</v>
      </c>
      <c r="CB141" t="s">
        <v>110</v>
      </c>
      <c r="CC141">
        <v>231500</v>
      </c>
    </row>
    <row r="142" spans="1:81" x14ac:dyDescent="0.3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H142" t="s">
        <v>83</v>
      </c>
      <c r="I142" t="s">
        <v>84</v>
      </c>
      <c r="J142" t="s">
        <v>85</v>
      </c>
      <c r="K142" t="s">
        <v>111</v>
      </c>
      <c r="L142" t="s">
        <v>87</v>
      </c>
      <c r="M142" t="s">
        <v>270</v>
      </c>
      <c r="N142" t="s">
        <v>89</v>
      </c>
      <c r="O142" t="s">
        <v>89</v>
      </c>
      <c r="P142" t="s">
        <v>90</v>
      </c>
      <c r="Q142" t="s">
        <v>114</v>
      </c>
      <c r="R142">
        <v>4</v>
      </c>
      <c r="S142">
        <v>5</v>
      </c>
      <c r="T142">
        <v>1971</v>
      </c>
      <c r="U142">
        <v>1971</v>
      </c>
      <c r="V142" t="s">
        <v>92</v>
      </c>
      <c r="W142" t="s">
        <v>93</v>
      </c>
      <c r="X142" t="s">
        <v>139</v>
      </c>
      <c r="Y142" t="s">
        <v>139</v>
      </c>
      <c r="Z142" t="s">
        <v>116</v>
      </c>
      <c r="AA142">
        <v>0</v>
      </c>
      <c r="AB142" t="s">
        <v>97</v>
      </c>
      <c r="AC142" t="s">
        <v>97</v>
      </c>
      <c r="AD142" t="s">
        <v>117</v>
      </c>
      <c r="AE142" t="s">
        <v>97</v>
      </c>
      <c r="AF142" t="s">
        <v>97</v>
      </c>
      <c r="AG142" t="s">
        <v>99</v>
      </c>
      <c r="AH142" t="s">
        <v>118</v>
      </c>
      <c r="AI142">
        <v>432</v>
      </c>
      <c r="AJ142" t="s">
        <v>101</v>
      </c>
      <c r="AK142">
        <v>0</v>
      </c>
      <c r="AL142">
        <v>432</v>
      </c>
      <c r="AM142">
        <v>864</v>
      </c>
      <c r="AN142" t="s">
        <v>102</v>
      </c>
      <c r="AO142" t="s">
        <v>97</v>
      </c>
      <c r="AP142" t="s">
        <v>104</v>
      </c>
      <c r="AQ142" t="s">
        <v>105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97</v>
      </c>
      <c r="BC142">
        <v>5</v>
      </c>
      <c r="BD142" t="s">
        <v>106</v>
      </c>
      <c r="BE142">
        <v>1</v>
      </c>
      <c r="BF142" t="s">
        <v>211</v>
      </c>
      <c r="BJ142">
        <v>0</v>
      </c>
      <c r="BK142">
        <v>0</v>
      </c>
      <c r="BN142" t="s">
        <v>104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X142">
        <v>0</v>
      </c>
      <c r="BY142">
        <v>4</v>
      </c>
      <c r="BZ142">
        <v>2010</v>
      </c>
      <c r="CA142" t="s">
        <v>219</v>
      </c>
      <c r="CB142" t="s">
        <v>110</v>
      </c>
      <c r="CC142">
        <v>115000</v>
      </c>
    </row>
    <row r="143" spans="1:81" x14ac:dyDescent="0.3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H143" t="s">
        <v>83</v>
      </c>
      <c r="I143" t="s">
        <v>84</v>
      </c>
      <c r="J143" t="s">
        <v>85</v>
      </c>
      <c r="K143" t="s">
        <v>86</v>
      </c>
      <c r="L143" t="s">
        <v>87</v>
      </c>
      <c r="M143" t="s">
        <v>88</v>
      </c>
      <c r="N143" t="s">
        <v>89</v>
      </c>
      <c r="O143" t="s">
        <v>89</v>
      </c>
      <c r="P143" t="s">
        <v>90</v>
      </c>
      <c r="Q143" t="s">
        <v>114</v>
      </c>
      <c r="R143">
        <v>7</v>
      </c>
      <c r="S143">
        <v>5</v>
      </c>
      <c r="T143">
        <v>2005</v>
      </c>
      <c r="U143">
        <v>2005</v>
      </c>
      <c r="V143" t="s">
        <v>92</v>
      </c>
      <c r="W143" t="s">
        <v>93</v>
      </c>
      <c r="X143" t="s">
        <v>94</v>
      </c>
      <c r="Y143" t="s">
        <v>94</v>
      </c>
      <c r="Z143" t="s">
        <v>116</v>
      </c>
      <c r="AA143">
        <v>0</v>
      </c>
      <c r="AB143" t="s">
        <v>96</v>
      </c>
      <c r="AC143" t="s">
        <v>97</v>
      </c>
      <c r="AD143" t="s">
        <v>98</v>
      </c>
      <c r="AE143" t="s">
        <v>96</v>
      </c>
      <c r="AF143" t="s">
        <v>97</v>
      </c>
      <c r="AG143" t="s">
        <v>129</v>
      </c>
      <c r="AH143" t="s">
        <v>100</v>
      </c>
      <c r="AI143">
        <v>1300</v>
      </c>
      <c r="AJ143" t="s">
        <v>101</v>
      </c>
      <c r="AK143">
        <v>0</v>
      </c>
      <c r="AL143">
        <v>434</v>
      </c>
      <c r="AM143">
        <v>1734</v>
      </c>
      <c r="AN143" t="s">
        <v>102</v>
      </c>
      <c r="AO143" t="s">
        <v>103</v>
      </c>
      <c r="AP143" t="s">
        <v>104</v>
      </c>
      <c r="AQ143" t="s">
        <v>105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96</v>
      </c>
      <c r="BC143">
        <v>7</v>
      </c>
      <c r="BD143" t="s">
        <v>106</v>
      </c>
      <c r="BE143">
        <v>0</v>
      </c>
      <c r="BG143" t="s">
        <v>107</v>
      </c>
      <c r="BH143">
        <v>2005</v>
      </c>
      <c r="BI143" t="s">
        <v>156</v>
      </c>
      <c r="BJ143">
        <v>2</v>
      </c>
      <c r="BK143">
        <v>660</v>
      </c>
      <c r="BL143" t="s">
        <v>97</v>
      </c>
      <c r="BM143" t="s">
        <v>97</v>
      </c>
      <c r="BN143" t="s">
        <v>104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X143">
        <v>0</v>
      </c>
      <c r="BY143">
        <v>1</v>
      </c>
      <c r="BZ143">
        <v>2006</v>
      </c>
      <c r="CA143" t="s">
        <v>109</v>
      </c>
      <c r="CB143" t="s">
        <v>110</v>
      </c>
      <c r="CC143">
        <v>260000</v>
      </c>
    </row>
    <row r="144" spans="1:81" x14ac:dyDescent="0.3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H144" t="s">
        <v>83</v>
      </c>
      <c r="I144" t="s">
        <v>84</v>
      </c>
      <c r="J144" t="s">
        <v>85</v>
      </c>
      <c r="K144" t="s">
        <v>121</v>
      </c>
      <c r="L144" t="s">
        <v>87</v>
      </c>
      <c r="M144" t="s">
        <v>270</v>
      </c>
      <c r="N144" t="s">
        <v>143</v>
      </c>
      <c r="O144" t="s">
        <v>89</v>
      </c>
      <c r="P144" t="s">
        <v>90</v>
      </c>
      <c r="Q144" t="s">
        <v>131</v>
      </c>
      <c r="R144">
        <v>5</v>
      </c>
      <c r="S144">
        <v>4</v>
      </c>
      <c r="T144">
        <v>1952</v>
      </c>
      <c r="U144">
        <v>1952</v>
      </c>
      <c r="V144" t="s">
        <v>92</v>
      </c>
      <c r="W144" t="s">
        <v>93</v>
      </c>
      <c r="X144" t="s">
        <v>95</v>
      </c>
      <c r="Y144" t="s">
        <v>123</v>
      </c>
      <c r="Z144" t="s">
        <v>116</v>
      </c>
      <c r="AA144">
        <v>0</v>
      </c>
      <c r="AB144" t="s">
        <v>97</v>
      </c>
      <c r="AC144" t="s">
        <v>146</v>
      </c>
      <c r="AD144" t="s">
        <v>117</v>
      </c>
      <c r="AE144" t="s">
        <v>97</v>
      </c>
      <c r="AF144" t="s">
        <v>97</v>
      </c>
      <c r="AG144" t="s">
        <v>99</v>
      </c>
      <c r="AH144" t="s">
        <v>152</v>
      </c>
      <c r="AI144">
        <v>507</v>
      </c>
      <c r="AJ144" t="s">
        <v>101</v>
      </c>
      <c r="AK144">
        <v>0</v>
      </c>
      <c r="AL144">
        <v>403</v>
      </c>
      <c r="AM144">
        <v>910</v>
      </c>
      <c r="AN144" t="s">
        <v>102</v>
      </c>
      <c r="AO144" t="s">
        <v>146</v>
      </c>
      <c r="AP144" t="s">
        <v>104</v>
      </c>
      <c r="AQ144" t="s">
        <v>105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97</v>
      </c>
      <c r="BC144">
        <v>6</v>
      </c>
      <c r="BD144" t="s">
        <v>106</v>
      </c>
      <c r="BE144">
        <v>0</v>
      </c>
      <c r="BG144" t="s">
        <v>126</v>
      </c>
      <c r="BH144">
        <v>2000</v>
      </c>
      <c r="BI144" t="s">
        <v>101</v>
      </c>
      <c r="BJ144">
        <v>2</v>
      </c>
      <c r="BK144">
        <v>720</v>
      </c>
      <c r="BL144" t="s">
        <v>97</v>
      </c>
      <c r="BM144" t="s">
        <v>97</v>
      </c>
      <c r="BN144" t="s">
        <v>104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V144" t="s">
        <v>133</v>
      </c>
      <c r="BX144">
        <v>0</v>
      </c>
      <c r="BY144">
        <v>6</v>
      </c>
      <c r="BZ144">
        <v>2010</v>
      </c>
      <c r="CA144" t="s">
        <v>109</v>
      </c>
      <c r="CB144" t="s">
        <v>110</v>
      </c>
      <c r="CC144">
        <v>166000</v>
      </c>
    </row>
    <row r="145" spans="1:81" x14ac:dyDescent="0.3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H145" t="s">
        <v>119</v>
      </c>
      <c r="I145" t="s">
        <v>84</v>
      </c>
      <c r="J145" t="s">
        <v>85</v>
      </c>
      <c r="K145" t="s">
        <v>86</v>
      </c>
      <c r="L145" t="s">
        <v>87</v>
      </c>
      <c r="M145" t="s">
        <v>88</v>
      </c>
      <c r="N145" t="s">
        <v>89</v>
      </c>
      <c r="O145" t="s">
        <v>89</v>
      </c>
      <c r="P145" t="s">
        <v>90</v>
      </c>
      <c r="Q145" t="s">
        <v>114</v>
      </c>
      <c r="R145">
        <v>7</v>
      </c>
      <c r="S145">
        <v>5</v>
      </c>
      <c r="T145">
        <v>1999</v>
      </c>
      <c r="U145">
        <v>1999</v>
      </c>
      <c r="V145" t="s">
        <v>92</v>
      </c>
      <c r="W145" t="s">
        <v>93</v>
      </c>
      <c r="X145" t="s">
        <v>94</v>
      </c>
      <c r="Y145" t="s">
        <v>94</v>
      </c>
      <c r="Z145" t="s">
        <v>95</v>
      </c>
      <c r="AA145">
        <v>183</v>
      </c>
      <c r="AB145" t="s">
        <v>96</v>
      </c>
      <c r="AC145" t="s">
        <v>97</v>
      </c>
      <c r="AD145" t="s">
        <v>98</v>
      </c>
      <c r="AE145" t="s">
        <v>96</v>
      </c>
      <c r="AF145" t="s">
        <v>97</v>
      </c>
      <c r="AG145" t="s">
        <v>96</v>
      </c>
      <c r="AH145" t="s">
        <v>100</v>
      </c>
      <c r="AI145">
        <v>679</v>
      </c>
      <c r="AJ145" t="s">
        <v>101</v>
      </c>
      <c r="AK145">
        <v>0</v>
      </c>
      <c r="AL145">
        <v>811</v>
      </c>
      <c r="AM145">
        <v>1490</v>
      </c>
      <c r="AN145" t="s">
        <v>102</v>
      </c>
      <c r="AO145" t="s">
        <v>103</v>
      </c>
      <c r="AP145" t="s">
        <v>104</v>
      </c>
      <c r="AQ145" t="s">
        <v>105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96</v>
      </c>
      <c r="BC145">
        <v>6</v>
      </c>
      <c r="BD145" t="s">
        <v>106</v>
      </c>
      <c r="BE145">
        <v>0</v>
      </c>
      <c r="BG145" t="s">
        <v>107</v>
      </c>
      <c r="BH145">
        <v>1999</v>
      </c>
      <c r="BI145" t="s">
        <v>108</v>
      </c>
      <c r="BJ145">
        <v>2</v>
      </c>
      <c r="BK145">
        <v>577</v>
      </c>
      <c r="BL145" t="s">
        <v>97</v>
      </c>
      <c r="BM145" t="s">
        <v>97</v>
      </c>
      <c r="BN145" t="s">
        <v>104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X145">
        <v>0</v>
      </c>
      <c r="BY145">
        <v>6</v>
      </c>
      <c r="BZ145">
        <v>2009</v>
      </c>
      <c r="CA145" t="s">
        <v>109</v>
      </c>
      <c r="CB145" t="s">
        <v>110</v>
      </c>
      <c r="CC145">
        <v>204000</v>
      </c>
    </row>
    <row r="146" spans="1:81" x14ac:dyDescent="0.3">
      <c r="A146">
        <v>145</v>
      </c>
      <c r="B146">
        <v>90</v>
      </c>
      <c r="C146" t="s">
        <v>141</v>
      </c>
      <c r="D146">
        <v>70</v>
      </c>
      <c r="E146">
        <v>9100</v>
      </c>
      <c r="F146" t="s">
        <v>82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150</v>
      </c>
      <c r="N146" t="s">
        <v>170</v>
      </c>
      <c r="O146" t="s">
        <v>89</v>
      </c>
      <c r="P146" t="s">
        <v>166</v>
      </c>
      <c r="Q146" t="s">
        <v>114</v>
      </c>
      <c r="R146">
        <v>5</v>
      </c>
      <c r="S146">
        <v>5</v>
      </c>
      <c r="T146">
        <v>1963</v>
      </c>
      <c r="U146">
        <v>1963</v>
      </c>
      <c r="V146" t="s">
        <v>92</v>
      </c>
      <c r="W146" t="s">
        <v>93</v>
      </c>
      <c r="X146" t="s">
        <v>139</v>
      </c>
      <c r="Y146" t="s">
        <v>139</v>
      </c>
      <c r="Z146" t="s">
        <v>95</v>
      </c>
      <c r="AA146">
        <v>336</v>
      </c>
      <c r="AB146" t="s">
        <v>97</v>
      </c>
      <c r="AC146" t="s">
        <v>97</v>
      </c>
      <c r="AD146" t="s">
        <v>117</v>
      </c>
      <c r="AE146" t="s">
        <v>97</v>
      </c>
      <c r="AF146" t="s">
        <v>97</v>
      </c>
      <c r="AG146" t="s">
        <v>99</v>
      </c>
      <c r="AH146" t="s">
        <v>152</v>
      </c>
      <c r="AI146">
        <v>1332</v>
      </c>
      <c r="AJ146" t="s">
        <v>101</v>
      </c>
      <c r="AK146">
        <v>0</v>
      </c>
      <c r="AL146">
        <v>396</v>
      </c>
      <c r="AM146">
        <v>1728</v>
      </c>
      <c r="AN146" t="s">
        <v>102</v>
      </c>
      <c r="AO146" t="s">
        <v>97</v>
      </c>
      <c r="AP146" t="s">
        <v>104</v>
      </c>
      <c r="AQ146" t="s">
        <v>105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97</v>
      </c>
      <c r="BC146">
        <v>10</v>
      </c>
      <c r="BD146" t="s">
        <v>106</v>
      </c>
      <c r="BE146">
        <v>0</v>
      </c>
      <c r="BG146" t="s">
        <v>126</v>
      </c>
      <c r="BH146">
        <v>1963</v>
      </c>
      <c r="BI146" t="s">
        <v>101</v>
      </c>
      <c r="BJ146">
        <v>2</v>
      </c>
      <c r="BK146">
        <v>504</v>
      </c>
      <c r="BL146" t="s">
        <v>97</v>
      </c>
      <c r="BM146" t="s">
        <v>97</v>
      </c>
      <c r="BN146" t="s">
        <v>104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X146">
        <v>0</v>
      </c>
      <c r="BY146">
        <v>11</v>
      </c>
      <c r="BZ146">
        <v>2006</v>
      </c>
      <c r="CA146" t="s">
        <v>219</v>
      </c>
      <c r="CB146" t="s">
        <v>127</v>
      </c>
      <c r="CC146">
        <v>125000</v>
      </c>
    </row>
    <row r="147" spans="1:81" x14ac:dyDescent="0.3">
      <c r="A147">
        <v>146</v>
      </c>
      <c r="B147">
        <v>160</v>
      </c>
      <c r="C147" t="s">
        <v>141</v>
      </c>
      <c r="D147">
        <v>24</v>
      </c>
      <c r="E147">
        <v>2522</v>
      </c>
      <c r="F147" t="s">
        <v>82</v>
      </c>
      <c r="H147" t="s">
        <v>83</v>
      </c>
      <c r="I147" t="s">
        <v>84</v>
      </c>
      <c r="J147" t="s">
        <v>85</v>
      </c>
      <c r="K147" t="s">
        <v>86</v>
      </c>
      <c r="L147" t="s">
        <v>87</v>
      </c>
      <c r="M147" t="s">
        <v>184</v>
      </c>
      <c r="N147" t="s">
        <v>89</v>
      </c>
      <c r="O147" t="s">
        <v>89</v>
      </c>
      <c r="P147" t="s">
        <v>197</v>
      </c>
      <c r="Q147" t="s">
        <v>91</v>
      </c>
      <c r="R147">
        <v>6</v>
      </c>
      <c r="S147">
        <v>5</v>
      </c>
      <c r="T147">
        <v>2004</v>
      </c>
      <c r="U147">
        <v>2006</v>
      </c>
      <c r="V147" t="s">
        <v>92</v>
      </c>
      <c r="W147" t="s">
        <v>93</v>
      </c>
      <c r="X147" t="s">
        <v>94</v>
      </c>
      <c r="Y147" t="s">
        <v>94</v>
      </c>
      <c r="Z147" t="s">
        <v>136</v>
      </c>
      <c r="AA147">
        <v>50</v>
      </c>
      <c r="AB147" t="s">
        <v>96</v>
      </c>
      <c r="AC147" t="s">
        <v>97</v>
      </c>
      <c r="AD147" t="s">
        <v>98</v>
      </c>
      <c r="AE147" t="s">
        <v>96</v>
      </c>
      <c r="AF147" t="s">
        <v>97</v>
      </c>
      <c r="AG147" t="s">
        <v>99</v>
      </c>
      <c r="AH147" t="s">
        <v>101</v>
      </c>
      <c r="AI147">
        <v>0</v>
      </c>
      <c r="AJ147" t="s">
        <v>101</v>
      </c>
      <c r="AK147">
        <v>0</v>
      </c>
      <c r="AL147">
        <v>970</v>
      </c>
      <c r="AM147">
        <v>970</v>
      </c>
      <c r="AN147" t="s">
        <v>102</v>
      </c>
      <c r="AO147" t="s">
        <v>103</v>
      </c>
      <c r="AP147" t="s">
        <v>104</v>
      </c>
      <c r="AQ147" t="s">
        <v>105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96</v>
      </c>
      <c r="BC147">
        <v>7</v>
      </c>
      <c r="BD147" t="s">
        <v>220</v>
      </c>
      <c r="BE147">
        <v>0</v>
      </c>
      <c r="BG147" t="s">
        <v>126</v>
      </c>
      <c r="BH147">
        <v>2004</v>
      </c>
      <c r="BI147" t="s">
        <v>101</v>
      </c>
      <c r="BJ147">
        <v>2</v>
      </c>
      <c r="BK147">
        <v>380</v>
      </c>
      <c r="BL147" t="s">
        <v>97</v>
      </c>
      <c r="BM147" t="s">
        <v>97</v>
      </c>
      <c r="BN147" t="s">
        <v>104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X147">
        <v>0</v>
      </c>
      <c r="BY147">
        <v>4</v>
      </c>
      <c r="BZ147">
        <v>2006</v>
      </c>
      <c r="CA147" t="s">
        <v>109</v>
      </c>
      <c r="CB147" t="s">
        <v>110</v>
      </c>
      <c r="CC147">
        <v>130000</v>
      </c>
    </row>
    <row r="148" spans="1:81" x14ac:dyDescent="0.3">
      <c r="A148">
        <v>147</v>
      </c>
      <c r="B148">
        <v>30</v>
      </c>
      <c r="C148" t="s">
        <v>141</v>
      </c>
      <c r="D148">
        <v>51</v>
      </c>
      <c r="E148">
        <v>6120</v>
      </c>
      <c r="F148" t="s">
        <v>82</v>
      </c>
      <c r="H148" t="s">
        <v>83</v>
      </c>
      <c r="I148" t="s">
        <v>84</v>
      </c>
      <c r="J148" t="s">
        <v>85</v>
      </c>
      <c r="K148" t="s">
        <v>121</v>
      </c>
      <c r="L148" t="s">
        <v>87</v>
      </c>
      <c r="M148" t="s">
        <v>147</v>
      </c>
      <c r="N148" t="s">
        <v>89</v>
      </c>
      <c r="O148" t="s">
        <v>89</v>
      </c>
      <c r="P148" t="s">
        <v>90</v>
      </c>
      <c r="Q148" t="s">
        <v>114</v>
      </c>
      <c r="R148">
        <v>5</v>
      </c>
      <c r="S148">
        <v>7</v>
      </c>
      <c r="T148">
        <v>1931</v>
      </c>
      <c r="U148">
        <v>1993</v>
      </c>
      <c r="V148" t="s">
        <v>92</v>
      </c>
      <c r="W148" t="s">
        <v>93</v>
      </c>
      <c r="X148" t="s">
        <v>123</v>
      </c>
      <c r="Y148" t="s">
        <v>123</v>
      </c>
      <c r="Z148" t="s">
        <v>116</v>
      </c>
      <c r="AA148">
        <v>0</v>
      </c>
      <c r="AB148" t="s">
        <v>97</v>
      </c>
      <c r="AC148" t="s">
        <v>97</v>
      </c>
      <c r="AD148" t="s">
        <v>125</v>
      </c>
      <c r="AE148" t="s">
        <v>97</v>
      </c>
      <c r="AF148" t="s">
        <v>97</v>
      </c>
      <c r="AG148" t="s">
        <v>99</v>
      </c>
      <c r="AH148" t="s">
        <v>140</v>
      </c>
      <c r="AI148">
        <v>209</v>
      </c>
      <c r="AJ148" t="s">
        <v>101</v>
      </c>
      <c r="AK148">
        <v>0</v>
      </c>
      <c r="AL148">
        <v>506</v>
      </c>
      <c r="AM148">
        <v>715</v>
      </c>
      <c r="AN148" t="s">
        <v>102</v>
      </c>
      <c r="AO148" t="s">
        <v>97</v>
      </c>
      <c r="AP148" t="s">
        <v>104</v>
      </c>
      <c r="AQ148" t="s">
        <v>163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97</v>
      </c>
      <c r="BC148">
        <v>5</v>
      </c>
      <c r="BD148" t="s">
        <v>106</v>
      </c>
      <c r="BE148">
        <v>0</v>
      </c>
      <c r="BG148" t="s">
        <v>126</v>
      </c>
      <c r="BH148">
        <v>1931</v>
      </c>
      <c r="BI148" t="s">
        <v>101</v>
      </c>
      <c r="BJ148">
        <v>1</v>
      </c>
      <c r="BK148">
        <v>180</v>
      </c>
      <c r="BL148" t="s">
        <v>146</v>
      </c>
      <c r="BM148" t="s">
        <v>97</v>
      </c>
      <c r="BN148" t="s">
        <v>104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X148">
        <v>0</v>
      </c>
      <c r="BY148">
        <v>11</v>
      </c>
      <c r="BZ148">
        <v>2009</v>
      </c>
      <c r="CA148" t="s">
        <v>109</v>
      </c>
      <c r="CB148" t="s">
        <v>110</v>
      </c>
      <c r="CC148">
        <v>105000</v>
      </c>
    </row>
    <row r="149" spans="1:81" x14ac:dyDescent="0.3">
      <c r="A149">
        <v>148</v>
      </c>
      <c r="B149">
        <v>60</v>
      </c>
      <c r="C149" t="s">
        <v>81</v>
      </c>
      <c r="E149">
        <v>9505</v>
      </c>
      <c r="F149" t="s">
        <v>82</v>
      </c>
      <c r="H149" t="s">
        <v>119</v>
      </c>
      <c r="I149" t="s">
        <v>84</v>
      </c>
      <c r="J149" t="s">
        <v>85</v>
      </c>
      <c r="K149" t="s">
        <v>165</v>
      </c>
      <c r="L149" t="s">
        <v>87</v>
      </c>
      <c r="M149" t="s">
        <v>192</v>
      </c>
      <c r="N149" t="s">
        <v>89</v>
      </c>
      <c r="O149" t="s">
        <v>89</v>
      </c>
      <c r="P149" t="s">
        <v>90</v>
      </c>
      <c r="Q149" t="s">
        <v>91</v>
      </c>
      <c r="R149">
        <v>7</v>
      </c>
      <c r="S149">
        <v>5</v>
      </c>
      <c r="T149">
        <v>2001</v>
      </c>
      <c r="U149">
        <v>2001</v>
      </c>
      <c r="V149" t="s">
        <v>92</v>
      </c>
      <c r="W149" t="s">
        <v>93</v>
      </c>
      <c r="X149" t="s">
        <v>94</v>
      </c>
      <c r="Y149" t="s">
        <v>94</v>
      </c>
      <c r="Z149" t="s">
        <v>95</v>
      </c>
      <c r="AA149">
        <v>180</v>
      </c>
      <c r="AB149" t="s">
        <v>96</v>
      </c>
      <c r="AC149" t="s">
        <v>97</v>
      </c>
      <c r="AD149" t="s">
        <v>98</v>
      </c>
      <c r="AE149" t="s">
        <v>96</v>
      </c>
      <c r="AF149" t="s">
        <v>97</v>
      </c>
      <c r="AG149" t="s">
        <v>99</v>
      </c>
      <c r="AH149" t="s">
        <v>101</v>
      </c>
      <c r="AI149">
        <v>0</v>
      </c>
      <c r="AJ149" t="s">
        <v>101</v>
      </c>
      <c r="AK149">
        <v>0</v>
      </c>
      <c r="AL149">
        <v>884</v>
      </c>
      <c r="AM149">
        <v>884</v>
      </c>
      <c r="AN149" t="s">
        <v>102</v>
      </c>
      <c r="AO149" t="s">
        <v>103</v>
      </c>
      <c r="AP149" t="s">
        <v>104</v>
      </c>
      <c r="AQ149" t="s">
        <v>105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96</v>
      </c>
      <c r="BC149">
        <v>8</v>
      </c>
      <c r="BD149" t="s">
        <v>106</v>
      </c>
      <c r="BE149">
        <v>1</v>
      </c>
      <c r="BF149" t="s">
        <v>96</v>
      </c>
      <c r="BG149" t="s">
        <v>155</v>
      </c>
      <c r="BH149">
        <v>2001</v>
      </c>
      <c r="BI149" t="s">
        <v>156</v>
      </c>
      <c r="BJ149">
        <v>2</v>
      </c>
      <c r="BK149">
        <v>434</v>
      </c>
      <c r="BL149" t="s">
        <v>97</v>
      </c>
      <c r="BM149" t="s">
        <v>97</v>
      </c>
      <c r="BN149" t="s">
        <v>104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X149">
        <v>0</v>
      </c>
      <c r="BY149">
        <v>5</v>
      </c>
      <c r="BZ149">
        <v>2010</v>
      </c>
      <c r="CA149" t="s">
        <v>109</v>
      </c>
      <c r="CB149" t="s">
        <v>110</v>
      </c>
      <c r="CC149">
        <v>222500</v>
      </c>
    </row>
    <row r="150" spans="1:81" x14ac:dyDescent="0.3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H150" t="s">
        <v>83</v>
      </c>
      <c r="I150" t="s">
        <v>84</v>
      </c>
      <c r="J150" t="s">
        <v>85</v>
      </c>
      <c r="K150" t="s">
        <v>86</v>
      </c>
      <c r="L150" t="s">
        <v>87</v>
      </c>
      <c r="M150" t="s">
        <v>169</v>
      </c>
      <c r="N150" t="s">
        <v>89</v>
      </c>
      <c r="O150" t="s">
        <v>89</v>
      </c>
      <c r="P150" t="s">
        <v>90</v>
      </c>
      <c r="Q150" t="s">
        <v>114</v>
      </c>
      <c r="R150">
        <v>7</v>
      </c>
      <c r="S150">
        <v>5</v>
      </c>
      <c r="T150">
        <v>2004</v>
      </c>
      <c r="U150">
        <v>2005</v>
      </c>
      <c r="V150" t="s">
        <v>92</v>
      </c>
      <c r="W150" t="s">
        <v>93</v>
      </c>
      <c r="X150" t="s">
        <v>94</v>
      </c>
      <c r="Y150" t="s">
        <v>94</v>
      </c>
      <c r="Z150" t="s">
        <v>95</v>
      </c>
      <c r="AA150">
        <v>120</v>
      </c>
      <c r="AB150" t="s">
        <v>97</v>
      </c>
      <c r="AC150" t="s">
        <v>97</v>
      </c>
      <c r="AD150" t="s">
        <v>98</v>
      </c>
      <c r="AE150" t="s">
        <v>96</v>
      </c>
      <c r="AF150" t="s">
        <v>97</v>
      </c>
      <c r="AG150" t="s">
        <v>99</v>
      </c>
      <c r="AH150" t="s">
        <v>100</v>
      </c>
      <c r="AI150">
        <v>680</v>
      </c>
      <c r="AJ150" t="s">
        <v>101</v>
      </c>
      <c r="AK150">
        <v>0</v>
      </c>
      <c r="AL150">
        <v>400</v>
      </c>
      <c r="AM150">
        <v>1080</v>
      </c>
      <c r="AN150" t="s">
        <v>102</v>
      </c>
      <c r="AO150" t="s">
        <v>103</v>
      </c>
      <c r="AP150" t="s">
        <v>104</v>
      </c>
      <c r="AQ150" t="s">
        <v>105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96</v>
      </c>
      <c r="BC150">
        <v>6</v>
      </c>
      <c r="BD150" t="s">
        <v>106</v>
      </c>
      <c r="BE150">
        <v>0</v>
      </c>
      <c r="BJ150">
        <v>0</v>
      </c>
      <c r="BK150">
        <v>0</v>
      </c>
      <c r="BN150" t="s">
        <v>104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X150">
        <v>0</v>
      </c>
      <c r="BY150">
        <v>4</v>
      </c>
      <c r="BZ150">
        <v>2008</v>
      </c>
      <c r="CA150" t="s">
        <v>109</v>
      </c>
      <c r="CB150" t="s">
        <v>110</v>
      </c>
      <c r="CC150">
        <v>141000</v>
      </c>
    </row>
    <row r="151" spans="1:81" x14ac:dyDescent="0.3">
      <c r="A151">
        <v>150</v>
      </c>
      <c r="B151">
        <v>50</v>
      </c>
      <c r="C151" t="s">
        <v>141</v>
      </c>
      <c r="E151">
        <v>6240</v>
      </c>
      <c r="F151" t="s">
        <v>82</v>
      </c>
      <c r="H151" t="s">
        <v>83</v>
      </c>
      <c r="I151" t="s">
        <v>84</v>
      </c>
      <c r="J151" t="s">
        <v>85</v>
      </c>
      <c r="K151" t="s">
        <v>86</v>
      </c>
      <c r="L151" t="s">
        <v>87</v>
      </c>
      <c r="M151" t="s">
        <v>147</v>
      </c>
      <c r="N151" t="s">
        <v>89</v>
      </c>
      <c r="O151" t="s">
        <v>89</v>
      </c>
      <c r="P151" t="s">
        <v>90</v>
      </c>
      <c r="Q151" t="s">
        <v>131</v>
      </c>
      <c r="R151">
        <v>5</v>
      </c>
      <c r="S151">
        <v>4</v>
      </c>
      <c r="T151">
        <v>1936</v>
      </c>
      <c r="U151">
        <v>1950</v>
      </c>
      <c r="V151" t="s">
        <v>92</v>
      </c>
      <c r="W151" t="s">
        <v>93</v>
      </c>
      <c r="X151" t="s">
        <v>115</v>
      </c>
      <c r="Y151" t="s">
        <v>115</v>
      </c>
      <c r="Z151" t="s">
        <v>116</v>
      </c>
      <c r="AA151">
        <v>0</v>
      </c>
      <c r="AB151" t="s">
        <v>97</v>
      </c>
      <c r="AC151" t="s">
        <v>97</v>
      </c>
      <c r="AD151" t="s">
        <v>125</v>
      </c>
      <c r="AE151" t="s">
        <v>96</v>
      </c>
      <c r="AF151" t="s">
        <v>97</v>
      </c>
      <c r="AG151" t="s">
        <v>99</v>
      </c>
      <c r="AH151" t="s">
        <v>101</v>
      </c>
      <c r="AI151">
        <v>0</v>
      </c>
      <c r="AJ151" t="s">
        <v>101</v>
      </c>
      <c r="AK151">
        <v>0</v>
      </c>
      <c r="AL151">
        <v>896</v>
      </c>
      <c r="AM151">
        <v>896</v>
      </c>
      <c r="AN151" t="s">
        <v>102</v>
      </c>
      <c r="AO151" t="s">
        <v>96</v>
      </c>
      <c r="AP151" t="s">
        <v>104</v>
      </c>
      <c r="AQ151" t="s">
        <v>163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97</v>
      </c>
      <c r="BC151">
        <v>7</v>
      </c>
      <c r="BD151" t="s">
        <v>106</v>
      </c>
      <c r="BE151">
        <v>0</v>
      </c>
      <c r="BG151" t="s">
        <v>126</v>
      </c>
      <c r="BH151">
        <v>1936</v>
      </c>
      <c r="BI151" t="s">
        <v>101</v>
      </c>
      <c r="BJ151">
        <v>1</v>
      </c>
      <c r="BK151">
        <v>240</v>
      </c>
      <c r="BL151" t="s">
        <v>146</v>
      </c>
      <c r="BM151" t="s">
        <v>97</v>
      </c>
      <c r="BN151" t="s">
        <v>104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X151">
        <v>0</v>
      </c>
      <c r="BY151">
        <v>4</v>
      </c>
      <c r="BZ151">
        <v>2006</v>
      </c>
      <c r="CA151" t="s">
        <v>109</v>
      </c>
      <c r="CB151" t="s">
        <v>110</v>
      </c>
      <c r="CC151">
        <v>115000</v>
      </c>
    </row>
    <row r="152" spans="1:81" x14ac:dyDescent="0.3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H152" t="s">
        <v>83</v>
      </c>
      <c r="I152" t="s">
        <v>84</v>
      </c>
      <c r="J152" t="s">
        <v>85</v>
      </c>
      <c r="K152" t="s">
        <v>121</v>
      </c>
      <c r="L152" t="s">
        <v>87</v>
      </c>
      <c r="M152" t="s">
        <v>88</v>
      </c>
      <c r="N152" t="s">
        <v>89</v>
      </c>
      <c r="O152" t="s">
        <v>89</v>
      </c>
      <c r="P152" t="s">
        <v>90</v>
      </c>
      <c r="Q152" t="s">
        <v>114</v>
      </c>
      <c r="R152">
        <v>5</v>
      </c>
      <c r="S152">
        <v>6</v>
      </c>
      <c r="T152">
        <v>1975</v>
      </c>
      <c r="U152">
        <v>1975</v>
      </c>
      <c r="V152" t="s">
        <v>92</v>
      </c>
      <c r="W152" t="s">
        <v>93</v>
      </c>
      <c r="X152" t="s">
        <v>139</v>
      </c>
      <c r="Y152" t="s">
        <v>139</v>
      </c>
      <c r="Z152" t="s">
        <v>116</v>
      </c>
      <c r="AA152">
        <v>0</v>
      </c>
      <c r="AB152" t="s">
        <v>97</v>
      </c>
      <c r="AC152" t="s">
        <v>97</v>
      </c>
      <c r="AD152" t="s">
        <v>117</v>
      </c>
      <c r="AE152" t="s">
        <v>97</v>
      </c>
      <c r="AF152" t="s">
        <v>97</v>
      </c>
      <c r="AG152" t="s">
        <v>129</v>
      </c>
      <c r="AH152" t="s">
        <v>140</v>
      </c>
      <c r="AI152">
        <v>716</v>
      </c>
      <c r="AJ152" t="s">
        <v>101</v>
      </c>
      <c r="AK152">
        <v>0</v>
      </c>
      <c r="AL152">
        <v>253</v>
      </c>
      <c r="AM152">
        <v>969</v>
      </c>
      <c r="AN152" t="s">
        <v>102</v>
      </c>
      <c r="AO152" t="s">
        <v>97</v>
      </c>
      <c r="AP152" t="s">
        <v>104</v>
      </c>
      <c r="AQ152" t="s">
        <v>105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97</v>
      </c>
      <c r="BC152">
        <v>5</v>
      </c>
      <c r="BD152" t="s">
        <v>106</v>
      </c>
      <c r="BE152">
        <v>0</v>
      </c>
      <c r="BG152" t="s">
        <v>107</v>
      </c>
      <c r="BH152">
        <v>1975</v>
      </c>
      <c r="BI152" t="s">
        <v>101</v>
      </c>
      <c r="BJ152">
        <v>2</v>
      </c>
      <c r="BK152">
        <v>440</v>
      </c>
      <c r="BL152" t="s">
        <v>97</v>
      </c>
      <c r="BM152" t="s">
        <v>97</v>
      </c>
      <c r="BN152" t="s">
        <v>104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V152" t="s">
        <v>133</v>
      </c>
      <c r="BX152">
        <v>0</v>
      </c>
      <c r="BY152">
        <v>1</v>
      </c>
      <c r="BZ152">
        <v>2007</v>
      </c>
      <c r="CA152" t="s">
        <v>109</v>
      </c>
      <c r="CB152" t="s">
        <v>110</v>
      </c>
      <c r="CC152">
        <v>122000</v>
      </c>
    </row>
    <row r="153" spans="1:81" x14ac:dyDescent="0.3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H153" t="s">
        <v>83</v>
      </c>
      <c r="I153" t="s">
        <v>84</v>
      </c>
      <c r="J153" t="s">
        <v>85</v>
      </c>
      <c r="K153" t="s">
        <v>86</v>
      </c>
      <c r="L153" t="s">
        <v>87</v>
      </c>
      <c r="M153" t="s">
        <v>153</v>
      </c>
      <c r="N153" t="s">
        <v>89</v>
      </c>
      <c r="O153" t="s">
        <v>89</v>
      </c>
      <c r="P153" t="s">
        <v>90</v>
      </c>
      <c r="Q153" t="s">
        <v>114</v>
      </c>
      <c r="R153">
        <v>8</v>
      </c>
      <c r="S153">
        <v>5</v>
      </c>
      <c r="T153">
        <v>2007</v>
      </c>
      <c r="U153">
        <v>2008</v>
      </c>
      <c r="V153" t="s">
        <v>151</v>
      </c>
      <c r="W153" t="s">
        <v>93</v>
      </c>
      <c r="X153" t="s">
        <v>94</v>
      </c>
      <c r="Y153" t="s">
        <v>94</v>
      </c>
      <c r="Z153" t="s">
        <v>136</v>
      </c>
      <c r="AA153">
        <v>436</v>
      </c>
      <c r="AB153" t="s">
        <v>96</v>
      </c>
      <c r="AC153" t="s">
        <v>97</v>
      </c>
      <c r="AD153" t="s">
        <v>98</v>
      </c>
      <c r="AE153" t="s">
        <v>103</v>
      </c>
      <c r="AF153" t="s">
        <v>97</v>
      </c>
      <c r="AG153" t="s">
        <v>96</v>
      </c>
      <c r="AH153" t="s">
        <v>100</v>
      </c>
      <c r="AI153">
        <v>1400</v>
      </c>
      <c r="AJ153" t="s">
        <v>101</v>
      </c>
      <c r="AK153">
        <v>0</v>
      </c>
      <c r="AL153">
        <v>310</v>
      </c>
      <c r="AM153">
        <v>1710</v>
      </c>
      <c r="AN153" t="s">
        <v>102</v>
      </c>
      <c r="AO153" t="s">
        <v>103</v>
      </c>
      <c r="AP153" t="s">
        <v>104</v>
      </c>
      <c r="AQ153" t="s">
        <v>105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96</v>
      </c>
      <c r="BC153">
        <v>6</v>
      </c>
      <c r="BD153" t="s">
        <v>106</v>
      </c>
      <c r="BE153">
        <v>1</v>
      </c>
      <c r="BF153" t="s">
        <v>96</v>
      </c>
      <c r="BG153" t="s">
        <v>107</v>
      </c>
      <c r="BH153">
        <v>2007</v>
      </c>
      <c r="BI153" t="s">
        <v>108</v>
      </c>
      <c r="BJ153">
        <v>3</v>
      </c>
      <c r="BK153">
        <v>866</v>
      </c>
      <c r="BL153" t="s">
        <v>97</v>
      </c>
      <c r="BM153" t="s">
        <v>97</v>
      </c>
      <c r="BN153" t="s">
        <v>104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2008</v>
      </c>
      <c r="CA153" t="s">
        <v>157</v>
      </c>
      <c r="CB153" t="s">
        <v>158</v>
      </c>
      <c r="CC153">
        <v>372402</v>
      </c>
    </row>
    <row r="154" spans="1:81" x14ac:dyDescent="0.3">
      <c r="A154">
        <v>153</v>
      </c>
      <c r="B154">
        <v>60</v>
      </c>
      <c r="C154" t="s">
        <v>81</v>
      </c>
      <c r="E154">
        <v>14803</v>
      </c>
      <c r="F154" t="s">
        <v>82</v>
      </c>
      <c r="H154" t="s">
        <v>119</v>
      </c>
      <c r="I154" t="s">
        <v>84</v>
      </c>
      <c r="J154" t="s">
        <v>85</v>
      </c>
      <c r="K154" t="s">
        <v>165</v>
      </c>
      <c r="L154" t="s">
        <v>87</v>
      </c>
      <c r="M154" t="s">
        <v>137</v>
      </c>
      <c r="N154" t="s">
        <v>89</v>
      </c>
      <c r="O154" t="s">
        <v>89</v>
      </c>
      <c r="P154" t="s">
        <v>90</v>
      </c>
      <c r="Q154" t="s">
        <v>91</v>
      </c>
      <c r="R154">
        <v>6</v>
      </c>
      <c r="S154">
        <v>5</v>
      </c>
      <c r="T154">
        <v>1971</v>
      </c>
      <c r="U154">
        <v>1971</v>
      </c>
      <c r="V154" t="s">
        <v>92</v>
      </c>
      <c r="W154" t="s">
        <v>93</v>
      </c>
      <c r="X154" t="s">
        <v>139</v>
      </c>
      <c r="Y154" t="s">
        <v>139</v>
      </c>
      <c r="Z154" t="s">
        <v>95</v>
      </c>
      <c r="AA154">
        <v>252</v>
      </c>
      <c r="AB154" t="s">
        <v>97</v>
      </c>
      <c r="AC154" t="s">
        <v>97</v>
      </c>
      <c r="AD154" t="s">
        <v>117</v>
      </c>
      <c r="AE154" t="s">
        <v>97</v>
      </c>
      <c r="AF154" t="s">
        <v>97</v>
      </c>
      <c r="AG154" t="s">
        <v>99</v>
      </c>
      <c r="AH154" t="s">
        <v>152</v>
      </c>
      <c r="AI154">
        <v>416</v>
      </c>
      <c r="AJ154" t="s">
        <v>101</v>
      </c>
      <c r="AK154">
        <v>0</v>
      </c>
      <c r="AL154">
        <v>409</v>
      </c>
      <c r="AM154">
        <v>825</v>
      </c>
      <c r="AN154" t="s">
        <v>102</v>
      </c>
      <c r="AO154" t="s">
        <v>96</v>
      </c>
      <c r="AP154" t="s">
        <v>104</v>
      </c>
      <c r="AQ154" t="s">
        <v>105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97</v>
      </c>
      <c r="BC154">
        <v>8</v>
      </c>
      <c r="BD154" t="s">
        <v>106</v>
      </c>
      <c r="BE154">
        <v>1</v>
      </c>
      <c r="BF154" t="s">
        <v>96</v>
      </c>
      <c r="BG154" t="s">
        <v>107</v>
      </c>
      <c r="BH154">
        <v>1971</v>
      </c>
      <c r="BI154" t="s">
        <v>108</v>
      </c>
      <c r="BJ154">
        <v>2</v>
      </c>
      <c r="BK154">
        <v>495</v>
      </c>
      <c r="BL154" t="s">
        <v>97</v>
      </c>
      <c r="BM154" t="s">
        <v>97</v>
      </c>
      <c r="BN154" t="s">
        <v>104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V154" t="s">
        <v>162</v>
      </c>
      <c r="BX154">
        <v>0</v>
      </c>
      <c r="BY154">
        <v>6</v>
      </c>
      <c r="BZ154">
        <v>2006</v>
      </c>
      <c r="CA154" t="s">
        <v>109</v>
      </c>
      <c r="CB154" t="s">
        <v>110</v>
      </c>
      <c r="CC154">
        <v>190000</v>
      </c>
    </row>
    <row r="155" spans="1:81" x14ac:dyDescent="0.3">
      <c r="A155">
        <v>154</v>
      </c>
      <c r="B155">
        <v>20</v>
      </c>
      <c r="C155" t="s">
        <v>81</v>
      </c>
      <c r="E155">
        <v>13500</v>
      </c>
      <c r="F155" t="s">
        <v>82</v>
      </c>
      <c r="H155" t="s">
        <v>83</v>
      </c>
      <c r="I155" t="s">
        <v>84</v>
      </c>
      <c r="J155" t="s">
        <v>85</v>
      </c>
      <c r="K155" t="s">
        <v>86</v>
      </c>
      <c r="L155" t="s">
        <v>87</v>
      </c>
      <c r="M155" t="s">
        <v>204</v>
      </c>
      <c r="N155" t="s">
        <v>89</v>
      </c>
      <c r="O155" t="s">
        <v>89</v>
      </c>
      <c r="P155" t="s">
        <v>90</v>
      </c>
      <c r="Q155" t="s">
        <v>114</v>
      </c>
      <c r="R155">
        <v>6</v>
      </c>
      <c r="S155">
        <v>7</v>
      </c>
      <c r="T155">
        <v>1960</v>
      </c>
      <c r="U155">
        <v>1975</v>
      </c>
      <c r="V155" t="s">
        <v>213</v>
      </c>
      <c r="W155" t="s">
        <v>93</v>
      </c>
      <c r="X155" t="s">
        <v>95</v>
      </c>
      <c r="Y155" t="s">
        <v>160</v>
      </c>
      <c r="Z155" t="s">
        <v>116</v>
      </c>
      <c r="AA155">
        <v>0</v>
      </c>
      <c r="AB155" t="s">
        <v>97</v>
      </c>
      <c r="AC155" t="s">
        <v>97</v>
      </c>
      <c r="AD155" t="s">
        <v>117</v>
      </c>
      <c r="AE155" t="s">
        <v>96</v>
      </c>
      <c r="AF155" t="s">
        <v>97</v>
      </c>
      <c r="AG155" t="s">
        <v>96</v>
      </c>
      <c r="AH155" t="s">
        <v>140</v>
      </c>
      <c r="AI155">
        <v>429</v>
      </c>
      <c r="AJ155" t="s">
        <v>118</v>
      </c>
      <c r="AK155">
        <v>1080</v>
      </c>
      <c r="AL155">
        <v>93</v>
      </c>
      <c r="AM155">
        <v>1602</v>
      </c>
      <c r="AN155" t="s">
        <v>102</v>
      </c>
      <c r="AO155" t="s">
        <v>96</v>
      </c>
      <c r="AP155" t="s">
        <v>104</v>
      </c>
      <c r="AQ155" t="s">
        <v>105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97</v>
      </c>
      <c r="BC155">
        <v>4</v>
      </c>
      <c r="BD155" t="s">
        <v>106</v>
      </c>
      <c r="BE155">
        <v>1</v>
      </c>
      <c r="BF155" t="s">
        <v>96</v>
      </c>
      <c r="BG155" t="s">
        <v>107</v>
      </c>
      <c r="BH155">
        <v>1960</v>
      </c>
      <c r="BI155" t="s">
        <v>108</v>
      </c>
      <c r="BJ155">
        <v>2</v>
      </c>
      <c r="BK155">
        <v>564</v>
      </c>
      <c r="BL155" t="s">
        <v>97</v>
      </c>
      <c r="BM155" t="s">
        <v>97</v>
      </c>
      <c r="BN155" t="s">
        <v>104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X155">
        <v>0</v>
      </c>
      <c r="BY155">
        <v>3</v>
      </c>
      <c r="BZ155">
        <v>2008</v>
      </c>
      <c r="CA155" t="s">
        <v>109</v>
      </c>
      <c r="CB155" t="s">
        <v>110</v>
      </c>
      <c r="CC155">
        <v>235000</v>
      </c>
    </row>
    <row r="156" spans="1:81" x14ac:dyDescent="0.3">
      <c r="A156">
        <v>155</v>
      </c>
      <c r="B156">
        <v>30</v>
      </c>
      <c r="C156" t="s">
        <v>141</v>
      </c>
      <c r="D156">
        <v>84</v>
      </c>
      <c r="E156">
        <v>11340</v>
      </c>
      <c r="F156" t="s">
        <v>82</v>
      </c>
      <c r="H156" t="s">
        <v>83</v>
      </c>
      <c r="I156" t="s">
        <v>84</v>
      </c>
      <c r="J156" t="s">
        <v>85</v>
      </c>
      <c r="K156" t="s">
        <v>121</v>
      </c>
      <c r="L156" t="s">
        <v>87</v>
      </c>
      <c r="M156" t="s">
        <v>142</v>
      </c>
      <c r="N156" t="s">
        <v>89</v>
      </c>
      <c r="O156" t="s">
        <v>89</v>
      </c>
      <c r="P156" t="s">
        <v>90</v>
      </c>
      <c r="Q156" t="s">
        <v>114</v>
      </c>
      <c r="R156">
        <v>6</v>
      </c>
      <c r="S156">
        <v>5</v>
      </c>
      <c r="T156">
        <v>1923</v>
      </c>
      <c r="U156">
        <v>1950</v>
      </c>
      <c r="V156" t="s">
        <v>92</v>
      </c>
      <c r="W156" t="s">
        <v>93</v>
      </c>
      <c r="X156" t="s">
        <v>123</v>
      </c>
      <c r="Y156" t="s">
        <v>123</v>
      </c>
      <c r="Z156" t="s">
        <v>116</v>
      </c>
      <c r="AA156">
        <v>0</v>
      </c>
      <c r="AB156" t="s">
        <v>97</v>
      </c>
      <c r="AC156" t="s">
        <v>97</v>
      </c>
      <c r="AD156" t="s">
        <v>125</v>
      </c>
      <c r="AE156" t="s">
        <v>97</v>
      </c>
      <c r="AF156" t="s">
        <v>97</v>
      </c>
      <c r="AG156" t="s">
        <v>99</v>
      </c>
      <c r="AH156" t="s">
        <v>101</v>
      </c>
      <c r="AI156">
        <v>0</v>
      </c>
      <c r="AJ156" t="s">
        <v>101</v>
      </c>
      <c r="AK156">
        <v>0</v>
      </c>
      <c r="AL156">
        <v>1200</v>
      </c>
      <c r="AM156">
        <v>1200</v>
      </c>
      <c r="AN156" t="s">
        <v>102</v>
      </c>
      <c r="AO156" t="s">
        <v>97</v>
      </c>
      <c r="AP156" t="s">
        <v>104</v>
      </c>
      <c r="AQ156" t="s">
        <v>163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97</v>
      </c>
      <c r="BC156">
        <v>7</v>
      </c>
      <c r="BD156" t="s">
        <v>106</v>
      </c>
      <c r="BE156">
        <v>0</v>
      </c>
      <c r="BG156" t="s">
        <v>126</v>
      </c>
      <c r="BH156">
        <v>1923</v>
      </c>
      <c r="BI156" t="s">
        <v>101</v>
      </c>
      <c r="BJ156">
        <v>1</v>
      </c>
      <c r="BK156">
        <v>312</v>
      </c>
      <c r="BL156" t="s">
        <v>146</v>
      </c>
      <c r="BM156" t="s">
        <v>146</v>
      </c>
      <c r="BN156" t="s">
        <v>104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X156">
        <v>0</v>
      </c>
      <c r="BY156">
        <v>3</v>
      </c>
      <c r="BZ156">
        <v>2006</v>
      </c>
      <c r="CA156" t="s">
        <v>109</v>
      </c>
      <c r="CB156" t="s">
        <v>218</v>
      </c>
      <c r="CC156">
        <v>125000</v>
      </c>
    </row>
    <row r="157" spans="1:81" x14ac:dyDescent="0.3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H157" t="s">
        <v>83</v>
      </c>
      <c r="I157" t="s">
        <v>84</v>
      </c>
      <c r="J157" t="s">
        <v>85</v>
      </c>
      <c r="K157" t="s">
        <v>121</v>
      </c>
      <c r="L157" t="s">
        <v>87</v>
      </c>
      <c r="M157" t="s">
        <v>184</v>
      </c>
      <c r="N157" t="s">
        <v>143</v>
      </c>
      <c r="O157" t="s">
        <v>89</v>
      </c>
      <c r="P157" t="s">
        <v>90</v>
      </c>
      <c r="Q157" t="s">
        <v>131</v>
      </c>
      <c r="R157">
        <v>6</v>
      </c>
      <c r="S157">
        <v>5</v>
      </c>
      <c r="T157">
        <v>1924</v>
      </c>
      <c r="U157">
        <v>1950</v>
      </c>
      <c r="V157" t="s">
        <v>92</v>
      </c>
      <c r="W157" t="s">
        <v>93</v>
      </c>
      <c r="X157" t="s">
        <v>123</v>
      </c>
      <c r="Y157" t="s">
        <v>123</v>
      </c>
      <c r="Z157" t="s">
        <v>116</v>
      </c>
      <c r="AA157">
        <v>0</v>
      </c>
      <c r="AB157" t="s">
        <v>97</v>
      </c>
      <c r="AC157" t="s">
        <v>97</v>
      </c>
      <c r="AD157" t="s">
        <v>125</v>
      </c>
      <c r="AE157" t="s">
        <v>97</v>
      </c>
      <c r="AF157" t="s">
        <v>97</v>
      </c>
      <c r="AG157" t="s">
        <v>99</v>
      </c>
      <c r="AH157" t="s">
        <v>101</v>
      </c>
      <c r="AI157">
        <v>0</v>
      </c>
      <c r="AJ157" t="s">
        <v>101</v>
      </c>
      <c r="AK157">
        <v>0</v>
      </c>
      <c r="AL157">
        <v>572</v>
      </c>
      <c r="AM157">
        <v>572</v>
      </c>
      <c r="AN157" t="s">
        <v>221</v>
      </c>
      <c r="AO157" t="s">
        <v>146</v>
      </c>
      <c r="AP157" t="s">
        <v>176</v>
      </c>
      <c r="AQ157" t="s">
        <v>144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97</v>
      </c>
      <c r="BC157">
        <v>5</v>
      </c>
      <c r="BD157" t="s">
        <v>106</v>
      </c>
      <c r="BE157">
        <v>0</v>
      </c>
      <c r="BJ157">
        <v>0</v>
      </c>
      <c r="BK157">
        <v>0</v>
      </c>
      <c r="BN157" t="s">
        <v>176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X157">
        <v>0</v>
      </c>
      <c r="BY157">
        <v>4</v>
      </c>
      <c r="BZ157">
        <v>2008</v>
      </c>
      <c r="CA157" t="s">
        <v>109</v>
      </c>
      <c r="CB157" t="s">
        <v>110</v>
      </c>
      <c r="CC157">
        <v>79000</v>
      </c>
    </row>
    <row r="158" spans="1:81" x14ac:dyDescent="0.3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H158" t="s">
        <v>83</v>
      </c>
      <c r="I158" t="s">
        <v>84</v>
      </c>
      <c r="J158" t="s">
        <v>85</v>
      </c>
      <c r="K158" t="s">
        <v>86</v>
      </c>
      <c r="L158" t="s">
        <v>87</v>
      </c>
      <c r="M158" t="s">
        <v>270</v>
      </c>
      <c r="N158" t="s">
        <v>89</v>
      </c>
      <c r="O158" t="s">
        <v>89</v>
      </c>
      <c r="P158" t="s">
        <v>90</v>
      </c>
      <c r="Q158" t="s">
        <v>114</v>
      </c>
      <c r="R158">
        <v>5</v>
      </c>
      <c r="S158">
        <v>7</v>
      </c>
      <c r="T158">
        <v>1950</v>
      </c>
      <c r="U158">
        <v>1950</v>
      </c>
      <c r="V158" t="s">
        <v>151</v>
      </c>
      <c r="W158" t="s">
        <v>93</v>
      </c>
      <c r="X158" t="s">
        <v>123</v>
      </c>
      <c r="Y158" t="s">
        <v>123</v>
      </c>
      <c r="Z158" t="s">
        <v>116</v>
      </c>
      <c r="AA158">
        <v>0</v>
      </c>
      <c r="AB158" t="s">
        <v>97</v>
      </c>
      <c r="AC158" t="s">
        <v>97</v>
      </c>
      <c r="AD158" t="s">
        <v>117</v>
      </c>
      <c r="AI158">
        <v>0</v>
      </c>
      <c r="AK158">
        <v>0</v>
      </c>
      <c r="AL158">
        <v>0</v>
      </c>
      <c r="AM158">
        <v>0</v>
      </c>
      <c r="AN158" t="s">
        <v>102</v>
      </c>
      <c r="AO158" t="s">
        <v>97</v>
      </c>
      <c r="AP158" t="s">
        <v>104</v>
      </c>
      <c r="AQ158" t="s">
        <v>144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97</v>
      </c>
      <c r="BC158">
        <v>5</v>
      </c>
      <c r="BD158" t="s">
        <v>106</v>
      </c>
      <c r="BE158">
        <v>0</v>
      </c>
      <c r="BG158" t="s">
        <v>126</v>
      </c>
      <c r="BH158">
        <v>1950</v>
      </c>
      <c r="BI158" t="s">
        <v>101</v>
      </c>
      <c r="BJ158">
        <v>2</v>
      </c>
      <c r="BK158">
        <v>625</v>
      </c>
      <c r="BL158" t="s">
        <v>97</v>
      </c>
      <c r="BM158" t="s">
        <v>97</v>
      </c>
      <c r="BN158" t="s">
        <v>104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X158">
        <v>0</v>
      </c>
      <c r="BY158">
        <v>6</v>
      </c>
      <c r="BZ158">
        <v>2006</v>
      </c>
      <c r="CA158" t="s">
        <v>109</v>
      </c>
      <c r="CB158" t="s">
        <v>110</v>
      </c>
      <c r="CC158">
        <v>109500</v>
      </c>
    </row>
    <row r="159" spans="1:81" x14ac:dyDescent="0.3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H159" t="s">
        <v>83</v>
      </c>
      <c r="I159" t="s">
        <v>84</v>
      </c>
      <c r="J159" t="s">
        <v>85</v>
      </c>
      <c r="K159" t="s">
        <v>121</v>
      </c>
      <c r="L159" t="s">
        <v>87</v>
      </c>
      <c r="M159" t="s">
        <v>188</v>
      </c>
      <c r="N159" t="s">
        <v>89</v>
      </c>
      <c r="O159" t="s">
        <v>89</v>
      </c>
      <c r="P159" t="s">
        <v>90</v>
      </c>
      <c r="Q159" t="s">
        <v>91</v>
      </c>
      <c r="R159">
        <v>8</v>
      </c>
      <c r="S159">
        <v>5</v>
      </c>
      <c r="T159">
        <v>2009</v>
      </c>
      <c r="U159">
        <v>2010</v>
      </c>
      <c r="V159" t="s">
        <v>92</v>
      </c>
      <c r="W159" t="s">
        <v>93</v>
      </c>
      <c r="X159" t="s">
        <v>94</v>
      </c>
      <c r="Y159" t="s">
        <v>94</v>
      </c>
      <c r="Z159" t="s">
        <v>95</v>
      </c>
      <c r="AA159">
        <v>84</v>
      </c>
      <c r="AB159" t="s">
        <v>96</v>
      </c>
      <c r="AC159" t="s">
        <v>97</v>
      </c>
      <c r="AD159" t="s">
        <v>98</v>
      </c>
      <c r="AE159" t="s">
        <v>103</v>
      </c>
      <c r="AF159" t="s">
        <v>97</v>
      </c>
      <c r="AG159" t="s">
        <v>99</v>
      </c>
      <c r="AH159" t="s">
        <v>101</v>
      </c>
      <c r="AI159">
        <v>0</v>
      </c>
      <c r="AJ159" t="s">
        <v>101</v>
      </c>
      <c r="AK159">
        <v>0</v>
      </c>
      <c r="AL159">
        <v>774</v>
      </c>
      <c r="AM159">
        <v>774</v>
      </c>
      <c r="AN159" t="s">
        <v>102</v>
      </c>
      <c r="AO159" t="s">
        <v>103</v>
      </c>
      <c r="AP159" t="s">
        <v>104</v>
      </c>
      <c r="AQ159" t="s">
        <v>105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103</v>
      </c>
      <c r="BC159">
        <v>8</v>
      </c>
      <c r="BD159" t="s">
        <v>106</v>
      </c>
      <c r="BE159">
        <v>1</v>
      </c>
      <c r="BF159" t="s">
        <v>96</v>
      </c>
      <c r="BG159" t="s">
        <v>155</v>
      </c>
      <c r="BH159">
        <v>2009</v>
      </c>
      <c r="BI159" t="s">
        <v>156</v>
      </c>
      <c r="BJ159">
        <v>3</v>
      </c>
      <c r="BK159">
        <v>680</v>
      </c>
      <c r="BL159" t="s">
        <v>97</v>
      </c>
      <c r="BM159" t="s">
        <v>97</v>
      </c>
      <c r="BN159" t="s">
        <v>104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X159">
        <v>0</v>
      </c>
      <c r="BY159">
        <v>5</v>
      </c>
      <c r="BZ159">
        <v>2010</v>
      </c>
      <c r="CA159" t="s">
        <v>157</v>
      </c>
      <c r="CB159" t="s">
        <v>158</v>
      </c>
      <c r="CC159">
        <v>269500</v>
      </c>
    </row>
    <row r="160" spans="1:81" x14ac:dyDescent="0.3">
      <c r="A160">
        <v>159</v>
      </c>
      <c r="B160">
        <v>60</v>
      </c>
      <c r="C160" t="s">
        <v>191</v>
      </c>
      <c r="D160">
        <v>100</v>
      </c>
      <c r="E160">
        <v>12552</v>
      </c>
      <c r="F160" t="s">
        <v>82</v>
      </c>
      <c r="H160" t="s">
        <v>83</v>
      </c>
      <c r="I160" t="s">
        <v>84</v>
      </c>
      <c r="J160" t="s">
        <v>85</v>
      </c>
      <c r="K160" t="s">
        <v>121</v>
      </c>
      <c r="L160" t="s">
        <v>87</v>
      </c>
      <c r="M160" t="s">
        <v>135</v>
      </c>
      <c r="N160" t="s">
        <v>89</v>
      </c>
      <c r="O160" t="s">
        <v>89</v>
      </c>
      <c r="P160" t="s">
        <v>90</v>
      </c>
      <c r="Q160" t="s">
        <v>91</v>
      </c>
      <c r="R160">
        <v>7</v>
      </c>
      <c r="S160">
        <v>5</v>
      </c>
      <c r="T160">
        <v>2004</v>
      </c>
      <c r="U160">
        <v>2005</v>
      </c>
      <c r="V160" t="s">
        <v>92</v>
      </c>
      <c r="W160" t="s">
        <v>93</v>
      </c>
      <c r="X160" t="s">
        <v>94</v>
      </c>
      <c r="Y160" t="s">
        <v>94</v>
      </c>
      <c r="Z160" t="s">
        <v>116</v>
      </c>
      <c r="AA160">
        <v>0</v>
      </c>
      <c r="AB160" t="s">
        <v>96</v>
      </c>
      <c r="AC160" t="s">
        <v>97</v>
      </c>
      <c r="AD160" t="s">
        <v>98</v>
      </c>
      <c r="AE160" t="s">
        <v>96</v>
      </c>
      <c r="AF160" t="s">
        <v>97</v>
      </c>
      <c r="AG160" t="s">
        <v>99</v>
      </c>
      <c r="AH160" t="s">
        <v>100</v>
      </c>
      <c r="AI160">
        <v>222</v>
      </c>
      <c r="AJ160" t="s">
        <v>101</v>
      </c>
      <c r="AK160">
        <v>0</v>
      </c>
      <c r="AL160">
        <v>769</v>
      </c>
      <c r="AM160">
        <v>991</v>
      </c>
      <c r="AN160" t="s">
        <v>102</v>
      </c>
      <c r="AO160" t="s">
        <v>103</v>
      </c>
      <c r="AP160" t="s">
        <v>104</v>
      </c>
      <c r="AQ160" t="s">
        <v>105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96</v>
      </c>
      <c r="BC160">
        <v>8</v>
      </c>
      <c r="BD160" t="s">
        <v>106</v>
      </c>
      <c r="BE160">
        <v>1</v>
      </c>
      <c r="BF160" t="s">
        <v>96</v>
      </c>
      <c r="BG160" t="s">
        <v>107</v>
      </c>
      <c r="BH160">
        <v>2004</v>
      </c>
      <c r="BI160" t="s">
        <v>108</v>
      </c>
      <c r="BJ160">
        <v>2</v>
      </c>
      <c r="BK160">
        <v>678</v>
      </c>
      <c r="BL160" t="s">
        <v>97</v>
      </c>
      <c r="BM160" t="s">
        <v>97</v>
      </c>
      <c r="BN160" t="s">
        <v>104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V160" t="s">
        <v>162</v>
      </c>
      <c r="BX160">
        <v>0</v>
      </c>
      <c r="BY160">
        <v>5</v>
      </c>
      <c r="BZ160">
        <v>2010</v>
      </c>
      <c r="CA160" t="s">
        <v>109</v>
      </c>
      <c r="CB160" t="s">
        <v>110</v>
      </c>
      <c r="CC160">
        <v>254900</v>
      </c>
    </row>
    <row r="161" spans="1:81" x14ac:dyDescent="0.3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H161" t="s">
        <v>119</v>
      </c>
      <c r="I161" t="s">
        <v>198</v>
      </c>
      <c r="J161" t="s">
        <v>85</v>
      </c>
      <c r="K161" t="s">
        <v>121</v>
      </c>
      <c r="L161" t="s">
        <v>87</v>
      </c>
      <c r="M161" t="s">
        <v>192</v>
      </c>
      <c r="N161" t="s">
        <v>89</v>
      </c>
      <c r="O161" t="s">
        <v>89</v>
      </c>
      <c r="P161" t="s">
        <v>90</v>
      </c>
      <c r="Q161" t="s">
        <v>91</v>
      </c>
      <c r="R161">
        <v>7</v>
      </c>
      <c r="S161">
        <v>5</v>
      </c>
      <c r="T161">
        <v>2005</v>
      </c>
      <c r="U161">
        <v>2006</v>
      </c>
      <c r="V161" t="s">
        <v>92</v>
      </c>
      <c r="W161" t="s">
        <v>93</v>
      </c>
      <c r="X161" t="s">
        <v>94</v>
      </c>
      <c r="Y161" t="s">
        <v>94</v>
      </c>
      <c r="Z161" t="s">
        <v>95</v>
      </c>
      <c r="AA161">
        <v>456</v>
      </c>
      <c r="AB161" t="s">
        <v>96</v>
      </c>
      <c r="AC161" t="s">
        <v>97</v>
      </c>
      <c r="AD161" t="s">
        <v>98</v>
      </c>
      <c r="AE161" t="s">
        <v>96</v>
      </c>
      <c r="AF161" t="s">
        <v>97</v>
      </c>
      <c r="AG161" t="s">
        <v>120</v>
      </c>
      <c r="AH161" t="s">
        <v>100</v>
      </c>
      <c r="AI161">
        <v>57</v>
      </c>
      <c r="AJ161" t="s">
        <v>101</v>
      </c>
      <c r="AK161">
        <v>0</v>
      </c>
      <c r="AL161">
        <v>1335</v>
      </c>
      <c r="AM161">
        <v>1392</v>
      </c>
      <c r="AN161" t="s">
        <v>102</v>
      </c>
      <c r="AO161" t="s">
        <v>103</v>
      </c>
      <c r="AP161" t="s">
        <v>104</v>
      </c>
      <c r="AQ161" t="s">
        <v>105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96</v>
      </c>
      <c r="BC161">
        <v>9</v>
      </c>
      <c r="BD161" t="s">
        <v>106</v>
      </c>
      <c r="BE161">
        <v>1</v>
      </c>
      <c r="BF161" t="s">
        <v>96</v>
      </c>
      <c r="BG161" t="s">
        <v>107</v>
      </c>
      <c r="BH161">
        <v>2006</v>
      </c>
      <c r="BI161" t="s">
        <v>108</v>
      </c>
      <c r="BJ161">
        <v>2</v>
      </c>
      <c r="BK161">
        <v>576</v>
      </c>
      <c r="BL161" t="s">
        <v>97</v>
      </c>
      <c r="BM161" t="s">
        <v>97</v>
      </c>
      <c r="BN161" t="s">
        <v>104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X161">
        <v>0</v>
      </c>
      <c r="BY161">
        <v>3</v>
      </c>
      <c r="BZ161">
        <v>2006</v>
      </c>
      <c r="CA161" t="s">
        <v>157</v>
      </c>
      <c r="CB161" t="s">
        <v>158</v>
      </c>
      <c r="CC161">
        <v>320000</v>
      </c>
    </row>
    <row r="162" spans="1:81" x14ac:dyDescent="0.3">
      <c r="A162">
        <v>161</v>
      </c>
      <c r="B162">
        <v>20</v>
      </c>
      <c r="C162" t="s">
        <v>81</v>
      </c>
      <c r="E162">
        <v>11120</v>
      </c>
      <c r="F162" t="s">
        <v>82</v>
      </c>
      <c r="H162" t="s">
        <v>119</v>
      </c>
      <c r="I162" t="s">
        <v>84</v>
      </c>
      <c r="J162" t="s">
        <v>85</v>
      </c>
      <c r="K162" t="s">
        <v>165</v>
      </c>
      <c r="L162" t="s">
        <v>87</v>
      </c>
      <c r="M162" t="s">
        <v>112</v>
      </c>
      <c r="N162" t="s">
        <v>89</v>
      </c>
      <c r="O162" t="s">
        <v>89</v>
      </c>
      <c r="P162" t="s">
        <v>90</v>
      </c>
      <c r="Q162" t="s">
        <v>114</v>
      </c>
      <c r="R162">
        <v>6</v>
      </c>
      <c r="S162">
        <v>6</v>
      </c>
      <c r="T162">
        <v>1984</v>
      </c>
      <c r="U162">
        <v>1984</v>
      </c>
      <c r="V162" t="s">
        <v>92</v>
      </c>
      <c r="W162" t="s">
        <v>93</v>
      </c>
      <c r="X162" t="s">
        <v>160</v>
      </c>
      <c r="Y162" t="s">
        <v>160</v>
      </c>
      <c r="Z162" t="s">
        <v>116</v>
      </c>
      <c r="AA162">
        <v>0</v>
      </c>
      <c r="AB162" t="s">
        <v>97</v>
      </c>
      <c r="AC162" t="s">
        <v>97</v>
      </c>
      <c r="AD162" t="s">
        <v>98</v>
      </c>
      <c r="AE162" t="s">
        <v>96</v>
      </c>
      <c r="AF162" t="s">
        <v>97</v>
      </c>
      <c r="AG162" t="s">
        <v>99</v>
      </c>
      <c r="AH162" t="s">
        <v>140</v>
      </c>
      <c r="AI162">
        <v>660</v>
      </c>
      <c r="AJ162" t="s">
        <v>101</v>
      </c>
      <c r="AK162">
        <v>0</v>
      </c>
      <c r="AL162">
        <v>572</v>
      </c>
      <c r="AM162">
        <v>1232</v>
      </c>
      <c r="AN162" t="s">
        <v>102</v>
      </c>
      <c r="AO162" t="s">
        <v>97</v>
      </c>
      <c r="AP162" t="s">
        <v>104</v>
      </c>
      <c r="AQ162" t="s">
        <v>105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97</v>
      </c>
      <c r="BC162">
        <v>6</v>
      </c>
      <c r="BD162" t="s">
        <v>106</v>
      </c>
      <c r="BE162">
        <v>0</v>
      </c>
      <c r="BG162" t="s">
        <v>107</v>
      </c>
      <c r="BH162">
        <v>1984</v>
      </c>
      <c r="BI162" t="s">
        <v>101</v>
      </c>
      <c r="BJ162">
        <v>2</v>
      </c>
      <c r="BK162">
        <v>516</v>
      </c>
      <c r="BL162" t="s">
        <v>97</v>
      </c>
      <c r="BM162" t="s">
        <v>97</v>
      </c>
      <c r="BN162" t="s">
        <v>104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X162">
        <v>0</v>
      </c>
      <c r="BY162">
        <v>6</v>
      </c>
      <c r="BZ162">
        <v>2008</v>
      </c>
      <c r="CA162" t="s">
        <v>109</v>
      </c>
      <c r="CB162" t="s">
        <v>110</v>
      </c>
      <c r="CC162">
        <v>162500</v>
      </c>
    </row>
    <row r="163" spans="1:81" x14ac:dyDescent="0.3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H163" t="s">
        <v>119</v>
      </c>
      <c r="I163" t="s">
        <v>84</v>
      </c>
      <c r="J163" t="s">
        <v>85</v>
      </c>
      <c r="K163" t="s">
        <v>86</v>
      </c>
      <c r="L163" t="s">
        <v>87</v>
      </c>
      <c r="M163" t="s">
        <v>153</v>
      </c>
      <c r="N163" t="s">
        <v>89</v>
      </c>
      <c r="O163" t="s">
        <v>89</v>
      </c>
      <c r="P163" t="s">
        <v>90</v>
      </c>
      <c r="Q163" t="s">
        <v>91</v>
      </c>
      <c r="R163">
        <v>9</v>
      </c>
      <c r="S163">
        <v>5</v>
      </c>
      <c r="T163">
        <v>2003</v>
      </c>
      <c r="U163">
        <v>2004</v>
      </c>
      <c r="V163" t="s">
        <v>92</v>
      </c>
      <c r="W163" t="s">
        <v>93</v>
      </c>
      <c r="X163" t="s">
        <v>94</v>
      </c>
      <c r="Y163" t="s">
        <v>94</v>
      </c>
      <c r="Z163" t="s">
        <v>95</v>
      </c>
      <c r="AA163">
        <v>664</v>
      </c>
      <c r="AB163" t="s">
        <v>96</v>
      </c>
      <c r="AC163" t="s">
        <v>97</v>
      </c>
      <c r="AD163" t="s">
        <v>98</v>
      </c>
      <c r="AE163" t="s">
        <v>103</v>
      </c>
      <c r="AF163" t="s">
        <v>97</v>
      </c>
      <c r="AG163" t="s">
        <v>129</v>
      </c>
      <c r="AH163" t="s">
        <v>100</v>
      </c>
      <c r="AI163">
        <v>1016</v>
      </c>
      <c r="AJ163" t="s">
        <v>101</v>
      </c>
      <c r="AK163">
        <v>0</v>
      </c>
      <c r="AL163">
        <v>556</v>
      </c>
      <c r="AM163">
        <v>1572</v>
      </c>
      <c r="AN163" t="s">
        <v>102</v>
      </c>
      <c r="AO163" t="s">
        <v>103</v>
      </c>
      <c r="AP163" t="s">
        <v>104</v>
      </c>
      <c r="AQ163" t="s">
        <v>105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103</v>
      </c>
      <c r="BC163">
        <v>10</v>
      </c>
      <c r="BD163" t="s">
        <v>106</v>
      </c>
      <c r="BE163">
        <v>2</v>
      </c>
      <c r="BF163" t="s">
        <v>96</v>
      </c>
      <c r="BG163" t="s">
        <v>155</v>
      </c>
      <c r="BH163">
        <v>2003</v>
      </c>
      <c r="BI163" t="s">
        <v>156</v>
      </c>
      <c r="BJ163">
        <v>3</v>
      </c>
      <c r="BK163">
        <v>726</v>
      </c>
      <c r="BL163" t="s">
        <v>97</v>
      </c>
      <c r="BM163" t="s">
        <v>97</v>
      </c>
      <c r="BN163" t="s">
        <v>104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X163">
        <v>0</v>
      </c>
      <c r="BY163">
        <v>3</v>
      </c>
      <c r="BZ163">
        <v>2008</v>
      </c>
      <c r="CA163" t="s">
        <v>109</v>
      </c>
      <c r="CB163" t="s">
        <v>110</v>
      </c>
      <c r="CC163">
        <v>412500</v>
      </c>
    </row>
    <row r="164" spans="1:81" x14ac:dyDescent="0.3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H164" t="s">
        <v>83</v>
      </c>
      <c r="I164" t="s">
        <v>84</v>
      </c>
      <c r="J164" t="s">
        <v>85</v>
      </c>
      <c r="K164" t="s">
        <v>121</v>
      </c>
      <c r="L164" t="s">
        <v>87</v>
      </c>
      <c r="M164" t="s">
        <v>153</v>
      </c>
      <c r="N164" t="s">
        <v>89</v>
      </c>
      <c r="O164" t="s">
        <v>89</v>
      </c>
      <c r="P164" t="s">
        <v>90</v>
      </c>
      <c r="Q164" t="s">
        <v>114</v>
      </c>
      <c r="R164">
        <v>7</v>
      </c>
      <c r="S164">
        <v>5</v>
      </c>
      <c r="T164">
        <v>2005</v>
      </c>
      <c r="U164">
        <v>2005</v>
      </c>
      <c r="V164" t="s">
        <v>92</v>
      </c>
      <c r="W164" t="s">
        <v>93</v>
      </c>
      <c r="X164" t="s">
        <v>94</v>
      </c>
      <c r="Y164" t="s">
        <v>94</v>
      </c>
      <c r="Z164" t="s">
        <v>95</v>
      </c>
      <c r="AA164">
        <v>226</v>
      </c>
      <c r="AB164" t="s">
        <v>96</v>
      </c>
      <c r="AC164" t="s">
        <v>97</v>
      </c>
      <c r="AD164" t="s">
        <v>98</v>
      </c>
      <c r="AE164" t="s">
        <v>96</v>
      </c>
      <c r="AF164" t="s">
        <v>97</v>
      </c>
      <c r="AG164" t="s">
        <v>120</v>
      </c>
      <c r="AH164" t="s">
        <v>140</v>
      </c>
      <c r="AI164">
        <v>1201</v>
      </c>
      <c r="AJ164" t="s">
        <v>101</v>
      </c>
      <c r="AK164">
        <v>0</v>
      </c>
      <c r="AL164">
        <v>340</v>
      </c>
      <c r="AM164">
        <v>1541</v>
      </c>
      <c r="AN164" t="s">
        <v>102</v>
      </c>
      <c r="AO164" t="s">
        <v>103</v>
      </c>
      <c r="AP164" t="s">
        <v>104</v>
      </c>
      <c r="AQ164" t="s">
        <v>105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96</v>
      </c>
      <c r="BC164">
        <v>7</v>
      </c>
      <c r="BD164" t="s">
        <v>106</v>
      </c>
      <c r="BE164">
        <v>1</v>
      </c>
      <c r="BF164" t="s">
        <v>96</v>
      </c>
      <c r="BG164" t="s">
        <v>107</v>
      </c>
      <c r="BH164">
        <v>2005</v>
      </c>
      <c r="BI164" t="s">
        <v>108</v>
      </c>
      <c r="BJ164">
        <v>2</v>
      </c>
      <c r="BK164">
        <v>532</v>
      </c>
      <c r="BL164" t="s">
        <v>97</v>
      </c>
      <c r="BM164" t="s">
        <v>97</v>
      </c>
      <c r="BN164" t="s">
        <v>104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X164">
        <v>0</v>
      </c>
      <c r="BY164">
        <v>5</v>
      </c>
      <c r="BZ164">
        <v>2010</v>
      </c>
      <c r="CA164" t="s">
        <v>157</v>
      </c>
      <c r="CB164" t="s">
        <v>158</v>
      </c>
      <c r="CC164">
        <v>220000</v>
      </c>
    </row>
    <row r="165" spans="1:81" x14ac:dyDescent="0.3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H165" t="s">
        <v>83</v>
      </c>
      <c r="I165" t="s">
        <v>84</v>
      </c>
      <c r="J165" t="s">
        <v>85</v>
      </c>
      <c r="K165" t="s">
        <v>86</v>
      </c>
      <c r="L165" t="s">
        <v>87</v>
      </c>
      <c r="M165" t="s">
        <v>142</v>
      </c>
      <c r="N165" t="s">
        <v>89</v>
      </c>
      <c r="O165" t="s">
        <v>89</v>
      </c>
      <c r="P165" t="s">
        <v>90</v>
      </c>
      <c r="Q165" t="s">
        <v>149</v>
      </c>
      <c r="R165">
        <v>4</v>
      </c>
      <c r="S165">
        <v>6</v>
      </c>
      <c r="T165">
        <v>1956</v>
      </c>
      <c r="U165">
        <v>1956</v>
      </c>
      <c r="V165" t="s">
        <v>92</v>
      </c>
      <c r="W165" t="s">
        <v>93</v>
      </c>
      <c r="X165" t="s">
        <v>115</v>
      </c>
      <c r="Y165" t="s">
        <v>115</v>
      </c>
      <c r="Z165" t="s">
        <v>116</v>
      </c>
      <c r="AA165">
        <v>0</v>
      </c>
      <c r="AB165" t="s">
        <v>97</v>
      </c>
      <c r="AC165" t="s">
        <v>97</v>
      </c>
      <c r="AD165" t="s">
        <v>117</v>
      </c>
      <c r="AE165" t="s">
        <v>97</v>
      </c>
      <c r="AF165" t="s">
        <v>97</v>
      </c>
      <c r="AG165" t="s">
        <v>99</v>
      </c>
      <c r="AH165" t="s">
        <v>101</v>
      </c>
      <c r="AI165">
        <v>0</v>
      </c>
      <c r="AJ165" t="s">
        <v>101</v>
      </c>
      <c r="AK165">
        <v>0</v>
      </c>
      <c r="AL165">
        <v>882</v>
      </c>
      <c r="AM165">
        <v>882</v>
      </c>
      <c r="AN165" t="s">
        <v>102</v>
      </c>
      <c r="AO165" t="s">
        <v>103</v>
      </c>
      <c r="AP165" t="s">
        <v>104</v>
      </c>
      <c r="AQ165" t="s">
        <v>105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97</v>
      </c>
      <c r="BC165">
        <v>4</v>
      </c>
      <c r="BD165" t="s">
        <v>106</v>
      </c>
      <c r="BE165">
        <v>0</v>
      </c>
      <c r="BJ165">
        <v>0</v>
      </c>
      <c r="BK165">
        <v>0</v>
      </c>
      <c r="BN165" t="s">
        <v>104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V165" t="s">
        <v>133</v>
      </c>
      <c r="BX165">
        <v>0</v>
      </c>
      <c r="BY165">
        <v>4</v>
      </c>
      <c r="BZ165">
        <v>2007</v>
      </c>
      <c r="CA165" t="s">
        <v>109</v>
      </c>
      <c r="CB165" t="s">
        <v>110</v>
      </c>
      <c r="CC165">
        <v>103200</v>
      </c>
    </row>
    <row r="166" spans="1:81" x14ac:dyDescent="0.3">
      <c r="A166">
        <v>165</v>
      </c>
      <c r="B166">
        <v>40</v>
      </c>
      <c r="C166" t="s">
        <v>141</v>
      </c>
      <c r="D166">
        <v>40</v>
      </c>
      <c r="E166">
        <v>5400</v>
      </c>
      <c r="F166" t="s">
        <v>82</v>
      </c>
      <c r="G166" t="s">
        <v>82</v>
      </c>
      <c r="H166" t="s">
        <v>83</v>
      </c>
      <c r="I166" t="s">
        <v>84</v>
      </c>
      <c r="J166" t="s">
        <v>85</v>
      </c>
      <c r="K166" t="s">
        <v>121</v>
      </c>
      <c r="L166" t="s">
        <v>87</v>
      </c>
      <c r="M166" t="s">
        <v>142</v>
      </c>
      <c r="N166" t="s">
        <v>89</v>
      </c>
      <c r="O166" t="s">
        <v>89</v>
      </c>
      <c r="P166" t="s">
        <v>90</v>
      </c>
      <c r="Q166" t="s">
        <v>114</v>
      </c>
      <c r="R166">
        <v>6</v>
      </c>
      <c r="S166">
        <v>7</v>
      </c>
      <c r="T166">
        <v>1926</v>
      </c>
      <c r="U166">
        <v>2004</v>
      </c>
      <c r="V166" t="s">
        <v>92</v>
      </c>
      <c r="W166" t="s">
        <v>93</v>
      </c>
      <c r="X166" t="s">
        <v>115</v>
      </c>
      <c r="Y166" t="s">
        <v>115</v>
      </c>
      <c r="Z166" t="s">
        <v>116</v>
      </c>
      <c r="AA166">
        <v>0</v>
      </c>
      <c r="AB166" t="s">
        <v>97</v>
      </c>
      <c r="AC166" t="s">
        <v>96</v>
      </c>
      <c r="AD166" t="s">
        <v>125</v>
      </c>
      <c r="AE166" t="s">
        <v>97</v>
      </c>
      <c r="AF166" t="s">
        <v>97</v>
      </c>
      <c r="AG166" t="s">
        <v>120</v>
      </c>
      <c r="AH166" t="s">
        <v>171</v>
      </c>
      <c r="AI166">
        <v>370</v>
      </c>
      <c r="AJ166" t="s">
        <v>101</v>
      </c>
      <c r="AK166">
        <v>0</v>
      </c>
      <c r="AL166">
        <v>779</v>
      </c>
      <c r="AM166">
        <v>1149</v>
      </c>
      <c r="AN166" t="s">
        <v>102</v>
      </c>
      <c r="AO166" t="s">
        <v>96</v>
      </c>
      <c r="AP166" t="s">
        <v>104</v>
      </c>
      <c r="AQ166" t="s">
        <v>163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96</v>
      </c>
      <c r="BC166">
        <v>5</v>
      </c>
      <c r="BD166" t="s">
        <v>106</v>
      </c>
      <c r="BE166">
        <v>0</v>
      </c>
      <c r="BG166" t="s">
        <v>126</v>
      </c>
      <c r="BH166">
        <v>1926</v>
      </c>
      <c r="BI166" t="s">
        <v>101</v>
      </c>
      <c r="BJ166">
        <v>1</v>
      </c>
      <c r="BK166">
        <v>216</v>
      </c>
      <c r="BL166" t="s">
        <v>97</v>
      </c>
      <c r="BM166" t="s">
        <v>97</v>
      </c>
      <c r="BN166" t="s">
        <v>104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X166">
        <v>0</v>
      </c>
      <c r="BY166">
        <v>10</v>
      </c>
      <c r="BZ166">
        <v>2007</v>
      </c>
      <c r="CA166" t="s">
        <v>109</v>
      </c>
      <c r="CB166" t="s">
        <v>110</v>
      </c>
      <c r="CC166">
        <v>152000</v>
      </c>
    </row>
    <row r="167" spans="1:81" x14ac:dyDescent="0.3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H167" t="s">
        <v>83</v>
      </c>
      <c r="I167" t="s">
        <v>84</v>
      </c>
      <c r="J167" t="s">
        <v>85</v>
      </c>
      <c r="K167" t="s">
        <v>86</v>
      </c>
      <c r="L167" t="s">
        <v>87</v>
      </c>
      <c r="M167" t="s">
        <v>184</v>
      </c>
      <c r="N167" t="s">
        <v>89</v>
      </c>
      <c r="O167" t="s">
        <v>89</v>
      </c>
      <c r="P167" t="s">
        <v>148</v>
      </c>
      <c r="Q167" t="s">
        <v>131</v>
      </c>
      <c r="R167">
        <v>5</v>
      </c>
      <c r="S167">
        <v>7</v>
      </c>
      <c r="T167">
        <v>1940</v>
      </c>
      <c r="U167">
        <v>1999</v>
      </c>
      <c r="V167" t="s">
        <v>92</v>
      </c>
      <c r="W167" t="s">
        <v>93</v>
      </c>
      <c r="X167" t="s">
        <v>123</v>
      </c>
      <c r="Y167" t="s">
        <v>123</v>
      </c>
      <c r="Z167" t="s">
        <v>116</v>
      </c>
      <c r="AA167">
        <v>0</v>
      </c>
      <c r="AB167" t="s">
        <v>97</v>
      </c>
      <c r="AC167" t="s">
        <v>96</v>
      </c>
      <c r="AD167" t="s">
        <v>125</v>
      </c>
      <c r="AE167" t="s">
        <v>97</v>
      </c>
      <c r="AF167" t="s">
        <v>97</v>
      </c>
      <c r="AG167" t="s">
        <v>99</v>
      </c>
      <c r="AH167" t="s">
        <v>118</v>
      </c>
      <c r="AI167">
        <v>351</v>
      </c>
      <c r="AJ167" t="s">
        <v>152</v>
      </c>
      <c r="AK167">
        <v>181</v>
      </c>
      <c r="AL167">
        <v>112</v>
      </c>
      <c r="AM167">
        <v>644</v>
      </c>
      <c r="AN167" t="s">
        <v>102</v>
      </c>
      <c r="AO167" t="s">
        <v>96</v>
      </c>
      <c r="AP167" t="s">
        <v>104</v>
      </c>
      <c r="AQ167" t="s">
        <v>105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97</v>
      </c>
      <c r="BC167">
        <v>6</v>
      </c>
      <c r="BD167" t="s">
        <v>106</v>
      </c>
      <c r="BE167">
        <v>0</v>
      </c>
      <c r="BJ167">
        <v>0</v>
      </c>
      <c r="BK167">
        <v>0</v>
      </c>
      <c r="BN167" t="s">
        <v>104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X167">
        <v>0</v>
      </c>
      <c r="BY167">
        <v>9</v>
      </c>
      <c r="BZ167">
        <v>2008</v>
      </c>
      <c r="CA167" t="s">
        <v>109</v>
      </c>
      <c r="CB167" t="s">
        <v>110</v>
      </c>
      <c r="CC167">
        <v>127500</v>
      </c>
    </row>
    <row r="168" spans="1:81" x14ac:dyDescent="0.3">
      <c r="A168">
        <v>167</v>
      </c>
      <c r="B168">
        <v>20</v>
      </c>
      <c r="C168" t="s">
        <v>81</v>
      </c>
      <c r="E168">
        <v>10708</v>
      </c>
      <c r="F168" t="s">
        <v>82</v>
      </c>
      <c r="H168" t="s">
        <v>119</v>
      </c>
      <c r="I168" t="s">
        <v>84</v>
      </c>
      <c r="J168" t="s">
        <v>85</v>
      </c>
      <c r="K168" t="s">
        <v>86</v>
      </c>
      <c r="L168" t="s">
        <v>87</v>
      </c>
      <c r="M168" t="s">
        <v>204</v>
      </c>
      <c r="N168" t="s">
        <v>89</v>
      </c>
      <c r="O168" t="s">
        <v>89</v>
      </c>
      <c r="P168" t="s">
        <v>90</v>
      </c>
      <c r="Q168" t="s">
        <v>114</v>
      </c>
      <c r="R168">
        <v>5</v>
      </c>
      <c r="S168">
        <v>5</v>
      </c>
      <c r="T168">
        <v>1955</v>
      </c>
      <c r="U168">
        <v>1993</v>
      </c>
      <c r="V168" t="s">
        <v>151</v>
      </c>
      <c r="W168" t="s">
        <v>93</v>
      </c>
      <c r="X168" t="s">
        <v>123</v>
      </c>
      <c r="Y168" t="s">
        <v>123</v>
      </c>
      <c r="Z168" t="s">
        <v>116</v>
      </c>
      <c r="AA168">
        <v>0</v>
      </c>
      <c r="AB168" t="s">
        <v>96</v>
      </c>
      <c r="AC168" t="s">
        <v>97</v>
      </c>
      <c r="AD168" t="s">
        <v>117</v>
      </c>
      <c r="AE168" t="s">
        <v>97</v>
      </c>
      <c r="AF168" t="s">
        <v>97</v>
      </c>
      <c r="AG168" t="s">
        <v>99</v>
      </c>
      <c r="AH168" t="s">
        <v>171</v>
      </c>
      <c r="AI168">
        <v>379</v>
      </c>
      <c r="AJ168" t="s">
        <v>140</v>
      </c>
      <c r="AK168">
        <v>768</v>
      </c>
      <c r="AL168">
        <v>470</v>
      </c>
      <c r="AM168">
        <v>1617</v>
      </c>
      <c r="AN168" t="s">
        <v>102</v>
      </c>
      <c r="AO168" t="s">
        <v>103</v>
      </c>
      <c r="AP168" t="s">
        <v>104</v>
      </c>
      <c r="AQ168" t="s">
        <v>163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97</v>
      </c>
      <c r="BC168">
        <v>7</v>
      </c>
      <c r="BD168" t="s">
        <v>106</v>
      </c>
      <c r="BE168">
        <v>3</v>
      </c>
      <c r="BF168" t="s">
        <v>96</v>
      </c>
      <c r="BG168" t="s">
        <v>107</v>
      </c>
      <c r="BH168">
        <v>1955</v>
      </c>
      <c r="BI168" t="s">
        <v>156</v>
      </c>
      <c r="BJ168">
        <v>1</v>
      </c>
      <c r="BK168">
        <v>303</v>
      </c>
      <c r="BL168" t="s">
        <v>97</v>
      </c>
      <c r="BM168" t="s">
        <v>97</v>
      </c>
      <c r="BN168" t="s">
        <v>104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V168" t="s">
        <v>162</v>
      </c>
      <c r="BX168">
        <v>0</v>
      </c>
      <c r="BY168">
        <v>11</v>
      </c>
      <c r="BZ168">
        <v>2009</v>
      </c>
      <c r="CA168" t="s">
        <v>172</v>
      </c>
      <c r="CB168" t="s">
        <v>110</v>
      </c>
      <c r="CC168">
        <v>190000</v>
      </c>
    </row>
    <row r="169" spans="1:81" x14ac:dyDescent="0.3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H169" t="s">
        <v>83</v>
      </c>
      <c r="I169" t="s">
        <v>84</v>
      </c>
      <c r="J169" t="s">
        <v>85</v>
      </c>
      <c r="K169" t="s">
        <v>86</v>
      </c>
      <c r="L169" t="s">
        <v>87</v>
      </c>
      <c r="M169" t="s">
        <v>153</v>
      </c>
      <c r="N169" t="s">
        <v>89</v>
      </c>
      <c r="O169" t="s">
        <v>89</v>
      </c>
      <c r="P169" t="s">
        <v>90</v>
      </c>
      <c r="Q169" t="s">
        <v>91</v>
      </c>
      <c r="R169">
        <v>8</v>
      </c>
      <c r="S169">
        <v>5</v>
      </c>
      <c r="T169">
        <v>2007</v>
      </c>
      <c r="U169">
        <v>2007</v>
      </c>
      <c r="V169" t="s">
        <v>92</v>
      </c>
      <c r="W169" t="s">
        <v>93</v>
      </c>
      <c r="X169" t="s">
        <v>94</v>
      </c>
      <c r="Y169" t="s">
        <v>94</v>
      </c>
      <c r="Z169" t="s">
        <v>136</v>
      </c>
      <c r="AA169">
        <v>300</v>
      </c>
      <c r="AB169" t="s">
        <v>96</v>
      </c>
      <c r="AC169" t="s">
        <v>97</v>
      </c>
      <c r="AD169" t="s">
        <v>98</v>
      </c>
      <c r="AE169" t="s">
        <v>103</v>
      </c>
      <c r="AF169" t="s">
        <v>97</v>
      </c>
      <c r="AG169" t="s">
        <v>99</v>
      </c>
      <c r="AH169" t="s">
        <v>100</v>
      </c>
      <c r="AI169">
        <v>1288</v>
      </c>
      <c r="AJ169" t="s">
        <v>101</v>
      </c>
      <c r="AK169">
        <v>0</v>
      </c>
      <c r="AL169">
        <v>294</v>
      </c>
      <c r="AM169">
        <v>1582</v>
      </c>
      <c r="AN169" t="s">
        <v>102</v>
      </c>
      <c r="AO169" t="s">
        <v>103</v>
      </c>
      <c r="AP169" t="s">
        <v>104</v>
      </c>
      <c r="AQ169" t="s">
        <v>105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103</v>
      </c>
      <c r="BC169">
        <v>8</v>
      </c>
      <c r="BD169" t="s">
        <v>106</v>
      </c>
      <c r="BE169">
        <v>1</v>
      </c>
      <c r="BF169" t="s">
        <v>96</v>
      </c>
      <c r="BG169" t="s">
        <v>107</v>
      </c>
      <c r="BH169">
        <v>2007</v>
      </c>
      <c r="BI169" t="s">
        <v>156</v>
      </c>
      <c r="BJ169">
        <v>3</v>
      </c>
      <c r="BK169">
        <v>789</v>
      </c>
      <c r="BL169" t="s">
        <v>97</v>
      </c>
      <c r="BM169" t="s">
        <v>97</v>
      </c>
      <c r="BN169" t="s">
        <v>104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X169">
        <v>0</v>
      </c>
      <c r="BY169">
        <v>11</v>
      </c>
      <c r="BZ169">
        <v>2007</v>
      </c>
      <c r="CA169" t="s">
        <v>157</v>
      </c>
      <c r="CB169" t="s">
        <v>158</v>
      </c>
      <c r="CC169">
        <v>325624</v>
      </c>
    </row>
    <row r="170" spans="1:81" x14ac:dyDescent="0.3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H170" t="s">
        <v>119</v>
      </c>
      <c r="I170" t="s">
        <v>84</v>
      </c>
      <c r="J170" t="s">
        <v>85</v>
      </c>
      <c r="K170" t="s">
        <v>86</v>
      </c>
      <c r="L170" t="s">
        <v>87</v>
      </c>
      <c r="M170" t="s">
        <v>192</v>
      </c>
      <c r="N170" t="s">
        <v>89</v>
      </c>
      <c r="O170" t="s">
        <v>89</v>
      </c>
      <c r="P170" t="s">
        <v>90</v>
      </c>
      <c r="Q170" t="s">
        <v>91</v>
      </c>
      <c r="R170">
        <v>7</v>
      </c>
      <c r="S170">
        <v>5</v>
      </c>
      <c r="T170">
        <v>2004</v>
      </c>
      <c r="U170">
        <v>2004</v>
      </c>
      <c r="V170" t="s">
        <v>92</v>
      </c>
      <c r="W170" t="s">
        <v>93</v>
      </c>
      <c r="X170" t="s">
        <v>94</v>
      </c>
      <c r="Y170" t="s">
        <v>94</v>
      </c>
      <c r="Z170" t="s">
        <v>116</v>
      </c>
      <c r="AA170">
        <v>0</v>
      </c>
      <c r="AB170" t="s">
        <v>96</v>
      </c>
      <c r="AC170" t="s">
        <v>97</v>
      </c>
      <c r="AD170" t="s">
        <v>98</v>
      </c>
      <c r="AE170" t="s">
        <v>96</v>
      </c>
      <c r="AF170" t="s">
        <v>97</v>
      </c>
      <c r="AG170" t="s">
        <v>99</v>
      </c>
      <c r="AH170" t="s">
        <v>101</v>
      </c>
      <c r="AI170">
        <v>0</v>
      </c>
      <c r="AJ170" t="s">
        <v>101</v>
      </c>
      <c r="AK170">
        <v>0</v>
      </c>
      <c r="AL170">
        <v>840</v>
      </c>
      <c r="AM170">
        <v>840</v>
      </c>
      <c r="AN170" t="s">
        <v>102</v>
      </c>
      <c r="AO170" t="s">
        <v>103</v>
      </c>
      <c r="AP170" t="s">
        <v>104</v>
      </c>
      <c r="AQ170" t="s">
        <v>105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96</v>
      </c>
      <c r="BC170">
        <v>7</v>
      </c>
      <c r="BD170" t="s">
        <v>106</v>
      </c>
      <c r="BE170">
        <v>1</v>
      </c>
      <c r="BF170" t="s">
        <v>96</v>
      </c>
      <c r="BG170" t="s">
        <v>107</v>
      </c>
      <c r="BH170">
        <v>2004</v>
      </c>
      <c r="BI170" t="s">
        <v>156</v>
      </c>
      <c r="BJ170">
        <v>2</v>
      </c>
      <c r="BK170">
        <v>440</v>
      </c>
      <c r="BL170" t="s">
        <v>97</v>
      </c>
      <c r="BM170" t="s">
        <v>97</v>
      </c>
      <c r="BN170" t="s">
        <v>104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X170">
        <v>0</v>
      </c>
      <c r="BY170">
        <v>5</v>
      </c>
      <c r="BZ170">
        <v>2007</v>
      </c>
      <c r="CA170" t="s">
        <v>109</v>
      </c>
      <c r="CB170" t="s">
        <v>110</v>
      </c>
      <c r="CC170">
        <v>183500</v>
      </c>
    </row>
    <row r="171" spans="1:81" x14ac:dyDescent="0.3">
      <c r="A171">
        <v>170</v>
      </c>
      <c r="B171">
        <v>20</v>
      </c>
      <c r="C171" t="s">
        <v>81</v>
      </c>
      <c r="E171">
        <v>16669</v>
      </c>
      <c r="F171" t="s">
        <v>82</v>
      </c>
      <c r="H171" t="s">
        <v>119</v>
      </c>
      <c r="I171" t="s">
        <v>84</v>
      </c>
      <c r="J171" t="s">
        <v>85</v>
      </c>
      <c r="K171" t="s">
        <v>121</v>
      </c>
      <c r="L171" t="s">
        <v>87</v>
      </c>
      <c r="M171" t="s">
        <v>188</v>
      </c>
      <c r="N171" t="s">
        <v>89</v>
      </c>
      <c r="O171" t="s">
        <v>89</v>
      </c>
      <c r="P171" t="s">
        <v>90</v>
      </c>
      <c r="Q171" t="s">
        <v>114</v>
      </c>
      <c r="R171">
        <v>8</v>
      </c>
      <c r="S171">
        <v>6</v>
      </c>
      <c r="T171">
        <v>1981</v>
      </c>
      <c r="U171">
        <v>1981</v>
      </c>
      <c r="V171" t="s">
        <v>151</v>
      </c>
      <c r="W171" t="s">
        <v>222</v>
      </c>
      <c r="X171" t="s">
        <v>160</v>
      </c>
      <c r="Y171" t="s">
        <v>160</v>
      </c>
      <c r="Z171" t="s">
        <v>95</v>
      </c>
      <c r="AA171">
        <v>653</v>
      </c>
      <c r="AB171" t="s">
        <v>96</v>
      </c>
      <c r="AC171" t="s">
        <v>97</v>
      </c>
      <c r="AD171" t="s">
        <v>117</v>
      </c>
      <c r="AE171" t="s">
        <v>96</v>
      </c>
      <c r="AF171" t="s">
        <v>97</v>
      </c>
      <c r="AG171" t="s">
        <v>99</v>
      </c>
      <c r="AH171" t="s">
        <v>101</v>
      </c>
      <c r="AI171">
        <v>0</v>
      </c>
      <c r="AJ171" t="s">
        <v>101</v>
      </c>
      <c r="AK171">
        <v>0</v>
      </c>
      <c r="AL171">
        <v>1686</v>
      </c>
      <c r="AM171">
        <v>1686</v>
      </c>
      <c r="AN171" t="s">
        <v>102</v>
      </c>
      <c r="AO171" t="s">
        <v>97</v>
      </c>
      <c r="AP171" t="s">
        <v>104</v>
      </c>
      <c r="AQ171" t="s">
        <v>105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97</v>
      </c>
      <c r="BC171">
        <v>6</v>
      </c>
      <c r="BD171" t="s">
        <v>106</v>
      </c>
      <c r="BE171">
        <v>1</v>
      </c>
      <c r="BF171" t="s">
        <v>97</v>
      </c>
      <c r="BG171" t="s">
        <v>107</v>
      </c>
      <c r="BH171">
        <v>1981</v>
      </c>
      <c r="BI171" t="s">
        <v>108</v>
      </c>
      <c r="BJ171">
        <v>2</v>
      </c>
      <c r="BK171">
        <v>511</v>
      </c>
      <c r="BL171" t="s">
        <v>97</v>
      </c>
      <c r="BM171" t="s">
        <v>97</v>
      </c>
      <c r="BN171" t="s">
        <v>104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X171">
        <v>0</v>
      </c>
      <c r="BY171">
        <v>1</v>
      </c>
      <c r="BZ171">
        <v>2006</v>
      </c>
      <c r="CA171" t="s">
        <v>109</v>
      </c>
      <c r="CB171" t="s">
        <v>110</v>
      </c>
      <c r="CC171">
        <v>228000</v>
      </c>
    </row>
    <row r="172" spans="1:81" x14ac:dyDescent="0.3">
      <c r="A172">
        <v>171</v>
      </c>
      <c r="B172">
        <v>50</v>
      </c>
      <c r="C172" t="s">
        <v>141</v>
      </c>
      <c r="E172">
        <v>12358</v>
      </c>
      <c r="F172" t="s">
        <v>82</v>
      </c>
      <c r="H172" t="s">
        <v>119</v>
      </c>
      <c r="I172" t="s">
        <v>84</v>
      </c>
      <c r="J172" t="s">
        <v>85</v>
      </c>
      <c r="K172" t="s">
        <v>86</v>
      </c>
      <c r="L172" t="s">
        <v>87</v>
      </c>
      <c r="M172" t="s">
        <v>142</v>
      </c>
      <c r="N172" t="s">
        <v>113</v>
      </c>
      <c r="O172" t="s">
        <v>89</v>
      </c>
      <c r="P172" t="s">
        <v>90</v>
      </c>
      <c r="Q172" t="s">
        <v>131</v>
      </c>
      <c r="R172">
        <v>5</v>
      </c>
      <c r="S172">
        <v>6</v>
      </c>
      <c r="T172">
        <v>1941</v>
      </c>
      <c r="U172">
        <v>1950</v>
      </c>
      <c r="V172" t="s">
        <v>92</v>
      </c>
      <c r="W172" t="s">
        <v>93</v>
      </c>
      <c r="X172" t="s">
        <v>115</v>
      </c>
      <c r="Y172" t="s">
        <v>115</v>
      </c>
      <c r="Z172" t="s">
        <v>116</v>
      </c>
      <c r="AA172">
        <v>0</v>
      </c>
      <c r="AB172" t="s">
        <v>97</v>
      </c>
      <c r="AC172" t="s">
        <v>97</v>
      </c>
      <c r="AD172" t="s">
        <v>117</v>
      </c>
      <c r="AE172" t="s">
        <v>97</v>
      </c>
      <c r="AF172" t="s">
        <v>97</v>
      </c>
      <c r="AG172" t="s">
        <v>99</v>
      </c>
      <c r="AH172" t="s">
        <v>152</v>
      </c>
      <c r="AI172">
        <v>360</v>
      </c>
      <c r="AJ172" t="s">
        <v>101</v>
      </c>
      <c r="AK172">
        <v>0</v>
      </c>
      <c r="AL172">
        <v>360</v>
      </c>
      <c r="AM172">
        <v>720</v>
      </c>
      <c r="AN172" t="s">
        <v>102</v>
      </c>
      <c r="AO172" t="s">
        <v>97</v>
      </c>
      <c r="AP172" t="s">
        <v>104</v>
      </c>
      <c r="AQ172" t="s">
        <v>105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97</v>
      </c>
      <c r="BC172">
        <v>7</v>
      </c>
      <c r="BD172" t="s">
        <v>106</v>
      </c>
      <c r="BE172">
        <v>0</v>
      </c>
      <c r="BG172" t="s">
        <v>126</v>
      </c>
      <c r="BH172">
        <v>1991</v>
      </c>
      <c r="BI172" t="s">
        <v>101</v>
      </c>
      <c r="BJ172">
        <v>2</v>
      </c>
      <c r="BK172">
        <v>660</v>
      </c>
      <c r="BL172" t="s">
        <v>97</v>
      </c>
      <c r="BM172" t="s">
        <v>97</v>
      </c>
      <c r="BN172" t="s">
        <v>104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X172">
        <v>0</v>
      </c>
      <c r="BY172">
        <v>5</v>
      </c>
      <c r="BZ172">
        <v>2007</v>
      </c>
      <c r="CA172" t="s">
        <v>109</v>
      </c>
      <c r="CB172" t="s">
        <v>110</v>
      </c>
      <c r="CC172">
        <v>128500</v>
      </c>
    </row>
    <row r="173" spans="1:81" x14ac:dyDescent="0.3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H173" t="s">
        <v>119</v>
      </c>
      <c r="I173" t="s">
        <v>84</v>
      </c>
      <c r="J173" t="s">
        <v>85</v>
      </c>
      <c r="K173" t="s">
        <v>121</v>
      </c>
      <c r="L173" t="s">
        <v>87</v>
      </c>
      <c r="M173" t="s">
        <v>270</v>
      </c>
      <c r="N173" t="s">
        <v>89</v>
      </c>
      <c r="O173" t="s">
        <v>89</v>
      </c>
      <c r="P173" t="s">
        <v>90</v>
      </c>
      <c r="Q173" t="s">
        <v>114</v>
      </c>
      <c r="R173">
        <v>6</v>
      </c>
      <c r="S173">
        <v>5</v>
      </c>
      <c r="T173">
        <v>1960</v>
      </c>
      <c r="U173">
        <v>1960</v>
      </c>
      <c r="V173" t="s">
        <v>151</v>
      </c>
      <c r="W173" t="s">
        <v>93</v>
      </c>
      <c r="X173" t="s">
        <v>95</v>
      </c>
      <c r="Y173" t="s">
        <v>160</v>
      </c>
      <c r="Z173" t="s">
        <v>136</v>
      </c>
      <c r="AA173">
        <v>112</v>
      </c>
      <c r="AB173" t="s">
        <v>97</v>
      </c>
      <c r="AC173" t="s">
        <v>97</v>
      </c>
      <c r="AD173" t="s">
        <v>117</v>
      </c>
      <c r="AE173" t="s">
        <v>97</v>
      </c>
      <c r="AF173" t="s">
        <v>96</v>
      </c>
      <c r="AG173" t="s">
        <v>96</v>
      </c>
      <c r="AH173" t="s">
        <v>140</v>
      </c>
      <c r="AI173">
        <v>639</v>
      </c>
      <c r="AJ173" t="s">
        <v>101</v>
      </c>
      <c r="AK173">
        <v>0</v>
      </c>
      <c r="AL173">
        <v>441</v>
      </c>
      <c r="AM173">
        <v>1080</v>
      </c>
      <c r="AN173" t="s">
        <v>102</v>
      </c>
      <c r="AO173" t="s">
        <v>146</v>
      </c>
      <c r="AP173" t="s">
        <v>104</v>
      </c>
      <c r="AQ173" t="s">
        <v>105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97</v>
      </c>
      <c r="BC173">
        <v>7</v>
      </c>
      <c r="BD173" t="s">
        <v>106</v>
      </c>
      <c r="BE173">
        <v>2</v>
      </c>
      <c r="BF173" t="s">
        <v>96</v>
      </c>
      <c r="BG173" t="s">
        <v>107</v>
      </c>
      <c r="BH173">
        <v>1960</v>
      </c>
      <c r="BI173" t="s">
        <v>156</v>
      </c>
      <c r="BJ173">
        <v>2</v>
      </c>
      <c r="BK173">
        <v>528</v>
      </c>
      <c r="BL173" t="s">
        <v>97</v>
      </c>
      <c r="BM173" t="s">
        <v>97</v>
      </c>
      <c r="BN173" t="s">
        <v>189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X173">
        <v>0</v>
      </c>
      <c r="BY173">
        <v>5</v>
      </c>
      <c r="BZ173">
        <v>2010</v>
      </c>
      <c r="CA173" t="s">
        <v>109</v>
      </c>
      <c r="CB173" t="s">
        <v>110</v>
      </c>
      <c r="CC173">
        <v>215000</v>
      </c>
    </row>
    <row r="174" spans="1:81" x14ac:dyDescent="0.3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H174" t="s">
        <v>119</v>
      </c>
      <c r="I174" t="s">
        <v>84</v>
      </c>
      <c r="J174" t="s">
        <v>85</v>
      </c>
      <c r="K174" t="s">
        <v>86</v>
      </c>
      <c r="L174" t="s">
        <v>87</v>
      </c>
      <c r="M174" t="s">
        <v>199</v>
      </c>
      <c r="N174" t="s">
        <v>89</v>
      </c>
      <c r="O174" t="s">
        <v>89</v>
      </c>
      <c r="P174" t="s">
        <v>178</v>
      </c>
      <c r="Q174" t="s">
        <v>91</v>
      </c>
      <c r="R174">
        <v>7</v>
      </c>
      <c r="S174">
        <v>7</v>
      </c>
      <c r="T174">
        <v>1987</v>
      </c>
      <c r="U174">
        <v>1987</v>
      </c>
      <c r="V174" t="s">
        <v>92</v>
      </c>
      <c r="W174" t="s">
        <v>93</v>
      </c>
      <c r="X174" t="s">
        <v>139</v>
      </c>
      <c r="Y174" t="s">
        <v>139</v>
      </c>
      <c r="Z174" t="s">
        <v>116</v>
      </c>
      <c r="AA174">
        <v>0</v>
      </c>
      <c r="AB174" t="s">
        <v>96</v>
      </c>
      <c r="AC174" t="s">
        <v>96</v>
      </c>
      <c r="AD174" t="s">
        <v>98</v>
      </c>
      <c r="AE174" t="s">
        <v>96</v>
      </c>
      <c r="AF174" t="s">
        <v>96</v>
      </c>
      <c r="AG174" t="s">
        <v>99</v>
      </c>
      <c r="AH174" t="s">
        <v>100</v>
      </c>
      <c r="AI174">
        <v>495</v>
      </c>
      <c r="AJ174" t="s">
        <v>152</v>
      </c>
      <c r="AK174">
        <v>215</v>
      </c>
      <c r="AL174">
        <v>354</v>
      </c>
      <c r="AM174">
        <v>1064</v>
      </c>
      <c r="AN174" t="s">
        <v>102</v>
      </c>
      <c r="AO174" t="s">
        <v>96</v>
      </c>
      <c r="AP174" t="s">
        <v>104</v>
      </c>
      <c r="AQ174" t="s">
        <v>105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96</v>
      </c>
      <c r="BC174">
        <v>5</v>
      </c>
      <c r="BD174" t="s">
        <v>106</v>
      </c>
      <c r="BE174">
        <v>1</v>
      </c>
      <c r="BF174" t="s">
        <v>97</v>
      </c>
      <c r="BG174" t="s">
        <v>107</v>
      </c>
      <c r="BH174">
        <v>1987</v>
      </c>
      <c r="BI174" t="s">
        <v>108</v>
      </c>
      <c r="BJ174">
        <v>2</v>
      </c>
      <c r="BK174">
        <v>504</v>
      </c>
      <c r="BL174" t="s">
        <v>96</v>
      </c>
      <c r="BM174" t="s">
        <v>97</v>
      </c>
      <c r="BN174" t="s">
        <v>104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X174">
        <v>0</v>
      </c>
      <c r="BY174">
        <v>6</v>
      </c>
      <c r="BZ174">
        <v>2006</v>
      </c>
      <c r="CA174" t="s">
        <v>109</v>
      </c>
      <c r="CB174" t="s">
        <v>110</v>
      </c>
      <c r="CC174">
        <v>239000</v>
      </c>
    </row>
    <row r="175" spans="1:81" x14ac:dyDescent="0.3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H175" t="s">
        <v>119</v>
      </c>
      <c r="I175" t="s">
        <v>84</v>
      </c>
      <c r="J175" t="s">
        <v>85</v>
      </c>
      <c r="K175" t="s">
        <v>86</v>
      </c>
      <c r="L175" t="s">
        <v>87</v>
      </c>
      <c r="M175" t="s">
        <v>270</v>
      </c>
      <c r="N175" t="s">
        <v>89</v>
      </c>
      <c r="O175" t="s">
        <v>89</v>
      </c>
      <c r="P175" t="s">
        <v>90</v>
      </c>
      <c r="Q175" t="s">
        <v>114</v>
      </c>
      <c r="R175">
        <v>6</v>
      </c>
      <c r="S175">
        <v>5</v>
      </c>
      <c r="T175">
        <v>1961</v>
      </c>
      <c r="U175">
        <v>1961</v>
      </c>
      <c r="V175" t="s">
        <v>92</v>
      </c>
      <c r="W175" t="s">
        <v>93</v>
      </c>
      <c r="X175" t="s">
        <v>154</v>
      </c>
      <c r="Y175" t="s">
        <v>124</v>
      </c>
      <c r="Z175" t="s">
        <v>206</v>
      </c>
      <c r="AA175">
        <v>491</v>
      </c>
      <c r="AB175" t="s">
        <v>97</v>
      </c>
      <c r="AC175" t="s">
        <v>97</v>
      </c>
      <c r="AD175" t="s">
        <v>117</v>
      </c>
      <c r="AE175" t="s">
        <v>97</v>
      </c>
      <c r="AF175" t="s">
        <v>97</v>
      </c>
      <c r="AG175" t="s">
        <v>99</v>
      </c>
      <c r="AH175" t="s">
        <v>118</v>
      </c>
      <c r="AI175">
        <v>288</v>
      </c>
      <c r="AJ175" t="s">
        <v>152</v>
      </c>
      <c r="AK175">
        <v>374</v>
      </c>
      <c r="AL175">
        <v>700</v>
      </c>
      <c r="AM175">
        <v>1362</v>
      </c>
      <c r="AN175" t="s">
        <v>102</v>
      </c>
      <c r="AO175" t="s">
        <v>97</v>
      </c>
      <c r="AP175" t="s">
        <v>104</v>
      </c>
      <c r="AQ175" t="s">
        <v>105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97</v>
      </c>
      <c r="BC175">
        <v>6</v>
      </c>
      <c r="BD175" t="s">
        <v>106</v>
      </c>
      <c r="BE175">
        <v>1</v>
      </c>
      <c r="BF175" t="s">
        <v>97</v>
      </c>
      <c r="BG175" t="s">
        <v>107</v>
      </c>
      <c r="BH175">
        <v>1961</v>
      </c>
      <c r="BI175" t="s">
        <v>101</v>
      </c>
      <c r="BJ175">
        <v>2</v>
      </c>
      <c r="BK175">
        <v>504</v>
      </c>
      <c r="BL175" t="s">
        <v>97</v>
      </c>
      <c r="BM175" t="s">
        <v>97</v>
      </c>
      <c r="BN175" t="s">
        <v>104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X175">
        <v>0</v>
      </c>
      <c r="BY175">
        <v>6</v>
      </c>
      <c r="BZ175">
        <v>2008</v>
      </c>
      <c r="CA175" t="s">
        <v>172</v>
      </c>
      <c r="CB175" t="s">
        <v>110</v>
      </c>
      <c r="CC175">
        <v>163000</v>
      </c>
    </row>
    <row r="176" spans="1:81" x14ac:dyDescent="0.3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H176" t="s">
        <v>119</v>
      </c>
      <c r="I176" t="s">
        <v>84</v>
      </c>
      <c r="J176" t="s">
        <v>85</v>
      </c>
      <c r="K176" t="s">
        <v>86</v>
      </c>
      <c r="L176" t="s">
        <v>87</v>
      </c>
      <c r="M176" t="s">
        <v>188</v>
      </c>
      <c r="N176" t="s">
        <v>89</v>
      </c>
      <c r="O176" t="s">
        <v>89</v>
      </c>
      <c r="P176" t="s">
        <v>90</v>
      </c>
      <c r="Q176" t="s">
        <v>114</v>
      </c>
      <c r="R176">
        <v>6</v>
      </c>
      <c r="S176">
        <v>5</v>
      </c>
      <c r="T176">
        <v>1986</v>
      </c>
      <c r="U176">
        <v>1986</v>
      </c>
      <c r="V176" t="s">
        <v>92</v>
      </c>
      <c r="W176" t="s">
        <v>93</v>
      </c>
      <c r="X176" t="s">
        <v>94</v>
      </c>
      <c r="Y176" t="s">
        <v>160</v>
      </c>
      <c r="Z176" t="s">
        <v>136</v>
      </c>
      <c r="AA176">
        <v>132</v>
      </c>
      <c r="AB176" t="s">
        <v>97</v>
      </c>
      <c r="AC176" t="s">
        <v>97</v>
      </c>
      <c r="AD176" t="s">
        <v>117</v>
      </c>
      <c r="AE176" t="s">
        <v>96</v>
      </c>
      <c r="AF176" t="s">
        <v>146</v>
      </c>
      <c r="AG176" t="s">
        <v>99</v>
      </c>
      <c r="AH176" t="s">
        <v>118</v>
      </c>
      <c r="AI176">
        <v>1398</v>
      </c>
      <c r="AJ176" t="s">
        <v>171</v>
      </c>
      <c r="AK176">
        <v>208</v>
      </c>
      <c r="AL176">
        <v>0</v>
      </c>
      <c r="AM176">
        <v>1606</v>
      </c>
      <c r="AN176" t="s">
        <v>102</v>
      </c>
      <c r="AO176" t="s">
        <v>97</v>
      </c>
      <c r="AP176" t="s">
        <v>104</v>
      </c>
      <c r="AQ176" t="s">
        <v>105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97</v>
      </c>
      <c r="BC176">
        <v>7</v>
      </c>
      <c r="BD176" t="s">
        <v>223</v>
      </c>
      <c r="BE176">
        <v>1</v>
      </c>
      <c r="BF176" t="s">
        <v>97</v>
      </c>
      <c r="BG176" t="s">
        <v>107</v>
      </c>
      <c r="BH176">
        <v>1986</v>
      </c>
      <c r="BI176" t="s">
        <v>156</v>
      </c>
      <c r="BJ176">
        <v>2</v>
      </c>
      <c r="BK176">
        <v>616</v>
      </c>
      <c r="BL176" t="s">
        <v>97</v>
      </c>
      <c r="BM176" t="s">
        <v>97</v>
      </c>
      <c r="BN176" t="s">
        <v>104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X176">
        <v>0</v>
      </c>
      <c r="BY176">
        <v>11</v>
      </c>
      <c r="BZ176">
        <v>2008</v>
      </c>
      <c r="CA176" t="s">
        <v>109</v>
      </c>
      <c r="CB176" t="s">
        <v>110</v>
      </c>
      <c r="CC176">
        <v>184000</v>
      </c>
    </row>
    <row r="177" spans="1:81" x14ac:dyDescent="0.3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H177" t="s">
        <v>83</v>
      </c>
      <c r="I177" t="s">
        <v>84</v>
      </c>
      <c r="J177" t="s">
        <v>85</v>
      </c>
      <c r="K177" t="s">
        <v>121</v>
      </c>
      <c r="L177" t="s">
        <v>87</v>
      </c>
      <c r="M177" t="s">
        <v>184</v>
      </c>
      <c r="N177" t="s">
        <v>89</v>
      </c>
      <c r="O177" t="s">
        <v>89</v>
      </c>
      <c r="P177" t="s">
        <v>90</v>
      </c>
      <c r="Q177" t="s">
        <v>114</v>
      </c>
      <c r="R177">
        <v>6</v>
      </c>
      <c r="S177">
        <v>7</v>
      </c>
      <c r="T177">
        <v>1950</v>
      </c>
      <c r="U177">
        <v>2001</v>
      </c>
      <c r="V177" t="s">
        <v>92</v>
      </c>
      <c r="W177" t="s">
        <v>93</v>
      </c>
      <c r="X177" t="s">
        <v>154</v>
      </c>
      <c r="Y177" t="s">
        <v>124</v>
      </c>
      <c r="Z177" t="s">
        <v>116</v>
      </c>
      <c r="AA177">
        <v>0</v>
      </c>
      <c r="AB177" t="s">
        <v>97</v>
      </c>
      <c r="AC177" t="s">
        <v>97</v>
      </c>
      <c r="AD177" t="s">
        <v>117</v>
      </c>
      <c r="AE177" t="s">
        <v>97</v>
      </c>
      <c r="AF177" t="s">
        <v>96</v>
      </c>
      <c r="AG177" t="s">
        <v>129</v>
      </c>
      <c r="AH177" t="s">
        <v>118</v>
      </c>
      <c r="AI177">
        <v>477</v>
      </c>
      <c r="AJ177" t="s">
        <v>101</v>
      </c>
      <c r="AK177">
        <v>0</v>
      </c>
      <c r="AL177">
        <v>725</v>
      </c>
      <c r="AM177">
        <v>1202</v>
      </c>
      <c r="AN177" t="s">
        <v>102</v>
      </c>
      <c r="AO177" t="s">
        <v>97</v>
      </c>
      <c r="AP177" t="s">
        <v>104</v>
      </c>
      <c r="AQ177" t="s">
        <v>105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96</v>
      </c>
      <c r="BC177">
        <v>7</v>
      </c>
      <c r="BD177" t="s">
        <v>106</v>
      </c>
      <c r="BE177">
        <v>1</v>
      </c>
      <c r="BF177" t="s">
        <v>96</v>
      </c>
      <c r="BG177" t="s">
        <v>107</v>
      </c>
      <c r="BH177">
        <v>1950</v>
      </c>
      <c r="BI177" t="s">
        <v>101</v>
      </c>
      <c r="BJ177">
        <v>2</v>
      </c>
      <c r="BK177">
        <v>576</v>
      </c>
      <c r="BL177" t="s">
        <v>97</v>
      </c>
      <c r="BM177" t="s">
        <v>97</v>
      </c>
      <c r="BN177" t="s">
        <v>104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V177" t="s">
        <v>133</v>
      </c>
      <c r="BX177">
        <v>0</v>
      </c>
      <c r="BY177">
        <v>6</v>
      </c>
      <c r="BZ177">
        <v>2007</v>
      </c>
      <c r="CA177" t="s">
        <v>109</v>
      </c>
      <c r="CB177" t="s">
        <v>110</v>
      </c>
      <c r="CC177">
        <v>243000</v>
      </c>
    </row>
    <row r="178" spans="1:81" x14ac:dyDescent="0.3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H178" t="s">
        <v>119</v>
      </c>
      <c r="I178" t="s">
        <v>84</v>
      </c>
      <c r="J178" t="s">
        <v>85</v>
      </c>
      <c r="K178" t="s">
        <v>121</v>
      </c>
      <c r="L178" t="s">
        <v>87</v>
      </c>
      <c r="M178" t="s">
        <v>204</v>
      </c>
      <c r="N178" t="s">
        <v>89</v>
      </c>
      <c r="O178" t="s">
        <v>89</v>
      </c>
      <c r="P178" t="s">
        <v>90</v>
      </c>
      <c r="Q178" t="s">
        <v>91</v>
      </c>
      <c r="R178">
        <v>6</v>
      </c>
      <c r="S178">
        <v>5</v>
      </c>
      <c r="T178">
        <v>1988</v>
      </c>
      <c r="U178">
        <v>1989</v>
      </c>
      <c r="V178" t="s">
        <v>92</v>
      </c>
      <c r="W178" t="s">
        <v>93</v>
      </c>
      <c r="X178" t="s">
        <v>160</v>
      </c>
      <c r="Y178" t="s">
        <v>160</v>
      </c>
      <c r="Z178" t="s">
        <v>95</v>
      </c>
      <c r="AA178">
        <v>268</v>
      </c>
      <c r="AB178" t="s">
        <v>96</v>
      </c>
      <c r="AC178" t="s">
        <v>97</v>
      </c>
      <c r="AD178" t="s">
        <v>98</v>
      </c>
      <c r="AE178" t="s">
        <v>96</v>
      </c>
      <c r="AF178" t="s">
        <v>97</v>
      </c>
      <c r="AG178" t="s">
        <v>99</v>
      </c>
      <c r="AH178" t="s">
        <v>100</v>
      </c>
      <c r="AI178">
        <v>831</v>
      </c>
      <c r="AJ178" t="s">
        <v>101</v>
      </c>
      <c r="AK178">
        <v>0</v>
      </c>
      <c r="AL178">
        <v>320</v>
      </c>
      <c r="AM178">
        <v>1151</v>
      </c>
      <c r="AN178" t="s">
        <v>102</v>
      </c>
      <c r="AO178" t="s">
        <v>97</v>
      </c>
      <c r="AP178" t="s">
        <v>104</v>
      </c>
      <c r="AQ178" t="s">
        <v>105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97</v>
      </c>
      <c r="BC178">
        <v>8</v>
      </c>
      <c r="BD178" t="s">
        <v>106</v>
      </c>
      <c r="BE178">
        <v>1</v>
      </c>
      <c r="BF178" t="s">
        <v>97</v>
      </c>
      <c r="BG178" t="s">
        <v>107</v>
      </c>
      <c r="BH178">
        <v>1988</v>
      </c>
      <c r="BI178" t="s">
        <v>101</v>
      </c>
      <c r="BJ178">
        <v>2</v>
      </c>
      <c r="BK178">
        <v>521</v>
      </c>
      <c r="BL178" t="s">
        <v>97</v>
      </c>
      <c r="BM178" t="s">
        <v>97</v>
      </c>
      <c r="BN178" t="s">
        <v>104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X178">
        <v>0</v>
      </c>
      <c r="BY178">
        <v>9</v>
      </c>
      <c r="BZ178">
        <v>2007</v>
      </c>
      <c r="CA178" t="s">
        <v>109</v>
      </c>
      <c r="CB178" t="s">
        <v>110</v>
      </c>
      <c r="CC178">
        <v>211000</v>
      </c>
    </row>
    <row r="179" spans="1:81" x14ac:dyDescent="0.3">
      <c r="A179">
        <v>178</v>
      </c>
      <c r="B179">
        <v>50</v>
      </c>
      <c r="C179" t="s">
        <v>81</v>
      </c>
      <c r="E179">
        <v>13650</v>
      </c>
      <c r="F179" t="s">
        <v>82</v>
      </c>
      <c r="H179" t="s">
        <v>83</v>
      </c>
      <c r="I179" t="s">
        <v>84</v>
      </c>
      <c r="J179" t="s">
        <v>85</v>
      </c>
      <c r="K179" t="s">
        <v>86</v>
      </c>
      <c r="L179" t="s">
        <v>87</v>
      </c>
      <c r="M179" t="s">
        <v>150</v>
      </c>
      <c r="N179" t="s">
        <v>89</v>
      </c>
      <c r="O179" t="s">
        <v>89</v>
      </c>
      <c r="P179" t="s">
        <v>90</v>
      </c>
      <c r="Q179" t="s">
        <v>131</v>
      </c>
      <c r="R179">
        <v>5</v>
      </c>
      <c r="S179">
        <v>5</v>
      </c>
      <c r="T179">
        <v>1958</v>
      </c>
      <c r="U179">
        <v>1958</v>
      </c>
      <c r="V179" t="s">
        <v>92</v>
      </c>
      <c r="W179" t="s">
        <v>93</v>
      </c>
      <c r="X179" t="s">
        <v>115</v>
      </c>
      <c r="Y179" t="s">
        <v>115</v>
      </c>
      <c r="Z179" t="s">
        <v>116</v>
      </c>
      <c r="AA179">
        <v>0</v>
      </c>
      <c r="AB179" t="s">
        <v>96</v>
      </c>
      <c r="AC179" t="s">
        <v>96</v>
      </c>
      <c r="AD179" t="s">
        <v>117</v>
      </c>
      <c r="AE179" t="s">
        <v>97</v>
      </c>
      <c r="AF179" t="s">
        <v>97</v>
      </c>
      <c r="AG179" t="s">
        <v>99</v>
      </c>
      <c r="AH179" t="s">
        <v>118</v>
      </c>
      <c r="AI179">
        <v>57</v>
      </c>
      <c r="AJ179" t="s">
        <v>140</v>
      </c>
      <c r="AK179">
        <v>441</v>
      </c>
      <c r="AL179">
        <v>554</v>
      </c>
      <c r="AM179">
        <v>1052</v>
      </c>
      <c r="AN179" t="s">
        <v>102</v>
      </c>
      <c r="AO179" t="s">
        <v>103</v>
      </c>
      <c r="AP179" t="s">
        <v>104</v>
      </c>
      <c r="AQ179" t="s">
        <v>105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96</v>
      </c>
      <c r="BC179">
        <v>8</v>
      </c>
      <c r="BD179" t="s">
        <v>106</v>
      </c>
      <c r="BE179">
        <v>1</v>
      </c>
      <c r="BF179" t="s">
        <v>96</v>
      </c>
      <c r="BG179" t="s">
        <v>107</v>
      </c>
      <c r="BH179">
        <v>1958</v>
      </c>
      <c r="BI179" t="s">
        <v>101</v>
      </c>
      <c r="BJ179">
        <v>2</v>
      </c>
      <c r="BK179">
        <v>451</v>
      </c>
      <c r="BL179" t="s">
        <v>97</v>
      </c>
      <c r="BM179" t="s">
        <v>97</v>
      </c>
      <c r="BN179" t="s">
        <v>104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X179">
        <v>0</v>
      </c>
      <c r="BY179">
        <v>7</v>
      </c>
      <c r="BZ179">
        <v>2006</v>
      </c>
      <c r="CA179" t="s">
        <v>109</v>
      </c>
      <c r="CB179" t="s">
        <v>110</v>
      </c>
      <c r="CC179">
        <v>172500</v>
      </c>
    </row>
    <row r="180" spans="1:81" x14ac:dyDescent="0.3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H180" t="s">
        <v>119</v>
      </c>
      <c r="I180" t="s">
        <v>84</v>
      </c>
      <c r="J180" t="s">
        <v>85</v>
      </c>
      <c r="K180" t="s">
        <v>165</v>
      </c>
      <c r="L180" t="s">
        <v>87</v>
      </c>
      <c r="M180" t="s">
        <v>199</v>
      </c>
      <c r="N180" t="s">
        <v>89</v>
      </c>
      <c r="O180" t="s">
        <v>89</v>
      </c>
      <c r="P180" t="s">
        <v>90</v>
      </c>
      <c r="Q180" t="s">
        <v>114</v>
      </c>
      <c r="R180">
        <v>9</v>
      </c>
      <c r="S180">
        <v>5</v>
      </c>
      <c r="T180">
        <v>2008</v>
      </c>
      <c r="U180">
        <v>2009</v>
      </c>
      <c r="V180" t="s">
        <v>151</v>
      </c>
      <c r="W180" t="s">
        <v>93</v>
      </c>
      <c r="X180" t="s">
        <v>94</v>
      </c>
      <c r="Y180" t="s">
        <v>94</v>
      </c>
      <c r="Z180" t="s">
        <v>136</v>
      </c>
      <c r="AA180">
        <v>748</v>
      </c>
      <c r="AB180" t="s">
        <v>103</v>
      </c>
      <c r="AC180" t="s">
        <v>97</v>
      </c>
      <c r="AD180" t="s">
        <v>98</v>
      </c>
      <c r="AE180" t="s">
        <v>103</v>
      </c>
      <c r="AF180" t="s">
        <v>97</v>
      </c>
      <c r="AG180" t="s">
        <v>99</v>
      </c>
      <c r="AH180" t="s">
        <v>100</v>
      </c>
      <c r="AI180">
        <v>1904</v>
      </c>
      <c r="AJ180" t="s">
        <v>101</v>
      </c>
      <c r="AK180">
        <v>0</v>
      </c>
      <c r="AL180">
        <v>312</v>
      </c>
      <c r="AM180">
        <v>2216</v>
      </c>
      <c r="AN180" t="s">
        <v>102</v>
      </c>
      <c r="AO180" t="s">
        <v>103</v>
      </c>
      <c r="AP180" t="s">
        <v>104</v>
      </c>
      <c r="AQ180" t="s">
        <v>105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103</v>
      </c>
      <c r="BC180">
        <v>9</v>
      </c>
      <c r="BD180" t="s">
        <v>106</v>
      </c>
      <c r="BE180">
        <v>1</v>
      </c>
      <c r="BF180" t="s">
        <v>96</v>
      </c>
      <c r="BG180" t="s">
        <v>107</v>
      </c>
      <c r="BH180">
        <v>2009</v>
      </c>
      <c r="BI180" t="s">
        <v>156</v>
      </c>
      <c r="BJ180">
        <v>3</v>
      </c>
      <c r="BK180">
        <v>1166</v>
      </c>
      <c r="BL180" t="s">
        <v>97</v>
      </c>
      <c r="BM180" t="s">
        <v>97</v>
      </c>
      <c r="BN180" t="s">
        <v>104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X180">
        <v>0</v>
      </c>
      <c r="BY180">
        <v>7</v>
      </c>
      <c r="BZ180">
        <v>2009</v>
      </c>
      <c r="CA180" t="s">
        <v>157</v>
      </c>
      <c r="CB180" t="s">
        <v>158</v>
      </c>
      <c r="CC180">
        <v>501837</v>
      </c>
    </row>
    <row r="181" spans="1:81" x14ac:dyDescent="0.3">
      <c r="A181">
        <v>180</v>
      </c>
      <c r="B181">
        <v>30</v>
      </c>
      <c r="C181" t="s">
        <v>141</v>
      </c>
      <c r="D181">
        <v>60</v>
      </c>
      <c r="E181">
        <v>8520</v>
      </c>
      <c r="F181" t="s">
        <v>82</v>
      </c>
      <c r="H181" t="s">
        <v>83</v>
      </c>
      <c r="I181" t="s">
        <v>84</v>
      </c>
      <c r="J181" t="s">
        <v>85</v>
      </c>
      <c r="K181" t="s">
        <v>86</v>
      </c>
      <c r="L181" t="s">
        <v>87</v>
      </c>
      <c r="M181" t="s">
        <v>142</v>
      </c>
      <c r="N181" t="s">
        <v>89</v>
      </c>
      <c r="O181" t="s">
        <v>89</v>
      </c>
      <c r="P181" t="s">
        <v>90</v>
      </c>
      <c r="Q181" t="s">
        <v>114</v>
      </c>
      <c r="R181">
        <v>5</v>
      </c>
      <c r="S181">
        <v>6</v>
      </c>
      <c r="T181">
        <v>1923</v>
      </c>
      <c r="U181">
        <v>2006</v>
      </c>
      <c r="V181" t="s">
        <v>92</v>
      </c>
      <c r="W181" t="s">
        <v>93</v>
      </c>
      <c r="X181" t="s">
        <v>123</v>
      </c>
      <c r="Y181" t="s">
        <v>123</v>
      </c>
      <c r="Z181" t="s">
        <v>116</v>
      </c>
      <c r="AA181">
        <v>0</v>
      </c>
      <c r="AB181" t="s">
        <v>96</v>
      </c>
      <c r="AC181" t="s">
        <v>97</v>
      </c>
      <c r="AD181" t="s">
        <v>117</v>
      </c>
      <c r="AE181" t="s">
        <v>97</v>
      </c>
      <c r="AF181" t="s">
        <v>97</v>
      </c>
      <c r="AG181" t="s">
        <v>99</v>
      </c>
      <c r="AH181" t="s">
        <v>101</v>
      </c>
      <c r="AI181">
        <v>0</v>
      </c>
      <c r="AJ181" t="s">
        <v>101</v>
      </c>
      <c r="AK181">
        <v>0</v>
      </c>
      <c r="AL181">
        <v>968</v>
      </c>
      <c r="AM181">
        <v>968</v>
      </c>
      <c r="AN181" t="s">
        <v>102</v>
      </c>
      <c r="AO181" t="s">
        <v>97</v>
      </c>
      <c r="AP181" t="s">
        <v>104</v>
      </c>
      <c r="AQ181" t="s">
        <v>105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97</v>
      </c>
      <c r="BC181">
        <v>5</v>
      </c>
      <c r="BD181" t="s">
        <v>106</v>
      </c>
      <c r="BE181">
        <v>0</v>
      </c>
      <c r="BG181" t="s">
        <v>126</v>
      </c>
      <c r="BH181">
        <v>1935</v>
      </c>
      <c r="BI181" t="s">
        <v>101</v>
      </c>
      <c r="BJ181">
        <v>2</v>
      </c>
      <c r="BK181">
        <v>480</v>
      </c>
      <c r="BL181" t="s">
        <v>146</v>
      </c>
      <c r="BM181" t="s">
        <v>97</v>
      </c>
      <c r="BN181" t="s">
        <v>176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X181">
        <v>0</v>
      </c>
      <c r="BY181">
        <v>7</v>
      </c>
      <c r="BZ181">
        <v>2007</v>
      </c>
      <c r="CA181" t="s">
        <v>109</v>
      </c>
      <c r="CB181" t="s">
        <v>110</v>
      </c>
      <c r="CC181">
        <v>100000</v>
      </c>
    </row>
    <row r="182" spans="1:81" x14ac:dyDescent="0.3">
      <c r="A182">
        <v>181</v>
      </c>
      <c r="B182">
        <v>160</v>
      </c>
      <c r="C182" t="s">
        <v>191</v>
      </c>
      <c r="E182">
        <v>2117</v>
      </c>
      <c r="F182" t="s">
        <v>82</v>
      </c>
      <c r="H182" t="s">
        <v>83</v>
      </c>
      <c r="I182" t="s">
        <v>84</v>
      </c>
      <c r="J182" t="s">
        <v>85</v>
      </c>
      <c r="K182" t="s">
        <v>86</v>
      </c>
      <c r="L182" t="s">
        <v>87</v>
      </c>
      <c r="M182" t="s">
        <v>135</v>
      </c>
      <c r="N182" t="s">
        <v>89</v>
      </c>
      <c r="O182" t="s">
        <v>89</v>
      </c>
      <c r="P182" t="s">
        <v>197</v>
      </c>
      <c r="Q182" t="s">
        <v>91</v>
      </c>
      <c r="R182">
        <v>6</v>
      </c>
      <c r="S182">
        <v>5</v>
      </c>
      <c r="T182">
        <v>2000</v>
      </c>
      <c r="U182">
        <v>2000</v>
      </c>
      <c r="V182" t="s">
        <v>92</v>
      </c>
      <c r="W182" t="s">
        <v>93</v>
      </c>
      <c r="X182" t="s">
        <v>115</v>
      </c>
      <c r="Y182" t="s">
        <v>115</v>
      </c>
      <c r="Z182" t="s">
        <v>95</v>
      </c>
      <c r="AA182">
        <v>456</v>
      </c>
      <c r="AB182" t="s">
        <v>96</v>
      </c>
      <c r="AC182" t="s">
        <v>97</v>
      </c>
      <c r="AD182" t="s">
        <v>98</v>
      </c>
      <c r="AE182" t="s">
        <v>96</v>
      </c>
      <c r="AF182" t="s">
        <v>97</v>
      </c>
      <c r="AG182" t="s">
        <v>99</v>
      </c>
      <c r="AH182" t="s">
        <v>100</v>
      </c>
      <c r="AI182">
        <v>436</v>
      </c>
      <c r="AJ182" t="s">
        <v>101</v>
      </c>
      <c r="AK182">
        <v>0</v>
      </c>
      <c r="AL182">
        <v>320</v>
      </c>
      <c r="AM182">
        <v>756</v>
      </c>
      <c r="AN182" t="s">
        <v>102</v>
      </c>
      <c r="AO182" t="s">
        <v>103</v>
      </c>
      <c r="AP182" t="s">
        <v>104</v>
      </c>
      <c r="AQ182" t="s">
        <v>105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96</v>
      </c>
      <c r="BC182">
        <v>5</v>
      </c>
      <c r="BD182" t="s">
        <v>106</v>
      </c>
      <c r="BE182">
        <v>1</v>
      </c>
      <c r="BF182" t="s">
        <v>97</v>
      </c>
      <c r="BG182" t="s">
        <v>126</v>
      </c>
      <c r="BH182">
        <v>2000</v>
      </c>
      <c r="BI182" t="s">
        <v>101</v>
      </c>
      <c r="BJ182">
        <v>2</v>
      </c>
      <c r="BK182">
        <v>440</v>
      </c>
      <c r="BL182" t="s">
        <v>97</v>
      </c>
      <c r="BM182" t="s">
        <v>97</v>
      </c>
      <c r="BN182" t="s">
        <v>104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X182">
        <v>0</v>
      </c>
      <c r="BY182">
        <v>6</v>
      </c>
      <c r="BZ182">
        <v>2007</v>
      </c>
      <c r="CA182" t="s">
        <v>109</v>
      </c>
      <c r="CB182" t="s">
        <v>110</v>
      </c>
      <c r="CC182">
        <v>177000</v>
      </c>
    </row>
    <row r="183" spans="1:81" x14ac:dyDescent="0.3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H183" t="s">
        <v>83</v>
      </c>
      <c r="I183" t="s">
        <v>84</v>
      </c>
      <c r="J183" t="s">
        <v>85</v>
      </c>
      <c r="K183" t="s">
        <v>86</v>
      </c>
      <c r="L183" t="s">
        <v>87</v>
      </c>
      <c r="M183" t="s">
        <v>122</v>
      </c>
      <c r="N183" t="s">
        <v>89</v>
      </c>
      <c r="O183" t="s">
        <v>89</v>
      </c>
      <c r="P183" t="s">
        <v>90</v>
      </c>
      <c r="Q183" t="s">
        <v>91</v>
      </c>
      <c r="R183">
        <v>7</v>
      </c>
      <c r="S183">
        <v>6</v>
      </c>
      <c r="T183">
        <v>1920</v>
      </c>
      <c r="U183">
        <v>1950</v>
      </c>
      <c r="V183" t="s">
        <v>92</v>
      </c>
      <c r="W183" t="s">
        <v>93</v>
      </c>
      <c r="X183" t="s">
        <v>202</v>
      </c>
      <c r="Y183" t="s">
        <v>202</v>
      </c>
      <c r="Z183" t="s">
        <v>116</v>
      </c>
      <c r="AA183">
        <v>0</v>
      </c>
      <c r="AB183" t="s">
        <v>97</v>
      </c>
      <c r="AC183" t="s">
        <v>97</v>
      </c>
      <c r="AD183" t="s">
        <v>125</v>
      </c>
      <c r="AE183" t="s">
        <v>146</v>
      </c>
      <c r="AF183" t="s">
        <v>97</v>
      </c>
      <c r="AG183" t="s">
        <v>99</v>
      </c>
      <c r="AH183" t="s">
        <v>171</v>
      </c>
      <c r="AI183">
        <v>352</v>
      </c>
      <c r="AJ183" t="s">
        <v>101</v>
      </c>
      <c r="AK183">
        <v>0</v>
      </c>
      <c r="AL183">
        <v>441</v>
      </c>
      <c r="AM183">
        <v>793</v>
      </c>
      <c r="AN183" t="s">
        <v>102</v>
      </c>
      <c r="AO183" t="s">
        <v>96</v>
      </c>
      <c r="AP183" t="s">
        <v>104</v>
      </c>
      <c r="AQ183" t="s">
        <v>105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97</v>
      </c>
      <c r="BC183">
        <v>9</v>
      </c>
      <c r="BD183" t="s">
        <v>106</v>
      </c>
      <c r="BE183">
        <v>1</v>
      </c>
      <c r="BF183" t="s">
        <v>96</v>
      </c>
      <c r="BG183" t="s">
        <v>126</v>
      </c>
      <c r="BH183">
        <v>1920</v>
      </c>
      <c r="BI183" t="s">
        <v>101</v>
      </c>
      <c r="BJ183">
        <v>1</v>
      </c>
      <c r="BK183">
        <v>216</v>
      </c>
      <c r="BL183" t="s">
        <v>146</v>
      </c>
      <c r="BM183" t="s">
        <v>97</v>
      </c>
      <c r="BN183" t="s">
        <v>104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X183">
        <v>0</v>
      </c>
      <c r="BY183">
        <v>7</v>
      </c>
      <c r="BZ183">
        <v>2006</v>
      </c>
      <c r="CA183" t="s">
        <v>109</v>
      </c>
      <c r="CB183" t="s">
        <v>110</v>
      </c>
      <c r="CC183">
        <v>200100</v>
      </c>
    </row>
    <row r="184" spans="1:81" x14ac:dyDescent="0.3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H184" t="s">
        <v>83</v>
      </c>
      <c r="I184" t="s">
        <v>84</v>
      </c>
      <c r="J184" t="s">
        <v>85</v>
      </c>
      <c r="K184" t="s">
        <v>86</v>
      </c>
      <c r="L184" t="s">
        <v>87</v>
      </c>
      <c r="M184" t="s">
        <v>184</v>
      </c>
      <c r="N184" t="s">
        <v>143</v>
      </c>
      <c r="O184" t="s">
        <v>89</v>
      </c>
      <c r="P184" t="s">
        <v>90</v>
      </c>
      <c r="Q184" t="s">
        <v>114</v>
      </c>
      <c r="R184">
        <v>5</v>
      </c>
      <c r="S184">
        <v>6</v>
      </c>
      <c r="T184">
        <v>1957</v>
      </c>
      <c r="U184">
        <v>2006</v>
      </c>
      <c r="V184" t="s">
        <v>151</v>
      </c>
      <c r="W184" t="s">
        <v>93</v>
      </c>
      <c r="X184" t="s">
        <v>123</v>
      </c>
      <c r="Y184" t="s">
        <v>123</v>
      </c>
      <c r="Z184" t="s">
        <v>95</v>
      </c>
      <c r="AA184">
        <v>98</v>
      </c>
      <c r="AB184" t="s">
        <v>97</v>
      </c>
      <c r="AC184" t="s">
        <v>97</v>
      </c>
      <c r="AD184" t="s">
        <v>98</v>
      </c>
      <c r="AI184">
        <v>0</v>
      </c>
      <c r="AK184">
        <v>0</v>
      </c>
      <c r="AL184">
        <v>0</v>
      </c>
      <c r="AM184">
        <v>0</v>
      </c>
      <c r="AN184" t="s">
        <v>102</v>
      </c>
      <c r="AO184" t="s">
        <v>103</v>
      </c>
      <c r="AP184" t="s">
        <v>104</v>
      </c>
      <c r="AQ184" t="s">
        <v>105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97</v>
      </c>
      <c r="BC184">
        <v>7</v>
      </c>
      <c r="BD184" t="s">
        <v>106</v>
      </c>
      <c r="BE184">
        <v>1</v>
      </c>
      <c r="BF184" t="s">
        <v>96</v>
      </c>
      <c r="BG184" t="s">
        <v>107</v>
      </c>
      <c r="BH184">
        <v>1957</v>
      </c>
      <c r="BI184" t="s">
        <v>108</v>
      </c>
      <c r="BJ184">
        <v>1</v>
      </c>
      <c r="BK184">
        <v>252</v>
      </c>
      <c r="BL184" t="s">
        <v>97</v>
      </c>
      <c r="BM184" t="s">
        <v>97</v>
      </c>
      <c r="BN184" t="s">
        <v>104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V184" t="s">
        <v>133</v>
      </c>
      <c r="BX184">
        <v>0</v>
      </c>
      <c r="BY184">
        <v>6</v>
      </c>
      <c r="BZ184">
        <v>2007</v>
      </c>
      <c r="CA184" t="s">
        <v>109</v>
      </c>
      <c r="CB184" t="s">
        <v>110</v>
      </c>
      <c r="CC184">
        <v>120000</v>
      </c>
    </row>
    <row r="185" spans="1:81" x14ac:dyDescent="0.3">
      <c r="A185">
        <v>184</v>
      </c>
      <c r="B185">
        <v>50</v>
      </c>
      <c r="C185" t="s">
        <v>141</v>
      </c>
      <c r="D185">
        <v>63</v>
      </c>
      <c r="E185">
        <v>11426</v>
      </c>
      <c r="F185" t="s">
        <v>82</v>
      </c>
      <c r="H185" t="s">
        <v>83</v>
      </c>
      <c r="I185" t="s">
        <v>84</v>
      </c>
      <c r="J185" t="s">
        <v>85</v>
      </c>
      <c r="K185" t="s">
        <v>86</v>
      </c>
      <c r="L185" t="s">
        <v>87</v>
      </c>
      <c r="M185" t="s">
        <v>142</v>
      </c>
      <c r="N185" t="s">
        <v>89</v>
      </c>
      <c r="O185" t="s">
        <v>89</v>
      </c>
      <c r="P185" t="s">
        <v>90</v>
      </c>
      <c r="Q185" t="s">
        <v>131</v>
      </c>
      <c r="R185">
        <v>7</v>
      </c>
      <c r="S185">
        <v>5</v>
      </c>
      <c r="T185">
        <v>2003</v>
      </c>
      <c r="U185">
        <v>2003</v>
      </c>
      <c r="V185" t="s">
        <v>92</v>
      </c>
      <c r="W185" t="s">
        <v>93</v>
      </c>
      <c r="X185" t="s">
        <v>94</v>
      </c>
      <c r="Y185" t="s">
        <v>94</v>
      </c>
      <c r="Z185" t="s">
        <v>116</v>
      </c>
      <c r="AA185">
        <v>0</v>
      </c>
      <c r="AB185" t="s">
        <v>97</v>
      </c>
      <c r="AC185" t="s">
        <v>97</v>
      </c>
      <c r="AD185" t="s">
        <v>98</v>
      </c>
      <c r="AE185" t="s">
        <v>96</v>
      </c>
      <c r="AF185" t="s">
        <v>97</v>
      </c>
      <c r="AG185" t="s">
        <v>99</v>
      </c>
      <c r="AH185" t="s">
        <v>101</v>
      </c>
      <c r="AI185">
        <v>0</v>
      </c>
      <c r="AJ185" t="s">
        <v>101</v>
      </c>
      <c r="AK185">
        <v>0</v>
      </c>
      <c r="AL185">
        <v>1362</v>
      </c>
      <c r="AM185">
        <v>1362</v>
      </c>
      <c r="AN185" t="s">
        <v>102</v>
      </c>
      <c r="AO185" t="s">
        <v>103</v>
      </c>
      <c r="AP185" t="s">
        <v>104</v>
      </c>
      <c r="AQ185" t="s">
        <v>105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96</v>
      </c>
      <c r="BC185">
        <v>6</v>
      </c>
      <c r="BD185" t="s">
        <v>193</v>
      </c>
      <c r="BE185">
        <v>0</v>
      </c>
      <c r="BG185" t="s">
        <v>126</v>
      </c>
      <c r="BH185">
        <v>2003</v>
      </c>
      <c r="BI185" t="s">
        <v>101</v>
      </c>
      <c r="BJ185">
        <v>2</v>
      </c>
      <c r="BK185">
        <v>484</v>
      </c>
      <c r="BL185" t="s">
        <v>97</v>
      </c>
      <c r="BM185" t="s">
        <v>97</v>
      </c>
      <c r="BN185" t="s">
        <v>176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X185">
        <v>0</v>
      </c>
      <c r="BY185">
        <v>6</v>
      </c>
      <c r="BZ185">
        <v>2008</v>
      </c>
      <c r="CA185" t="s">
        <v>109</v>
      </c>
      <c r="CB185" t="s">
        <v>110</v>
      </c>
      <c r="CC185">
        <v>200000</v>
      </c>
    </row>
    <row r="186" spans="1:81" x14ac:dyDescent="0.3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H186" t="s">
        <v>119</v>
      </c>
      <c r="I186" t="s">
        <v>84</v>
      </c>
      <c r="J186" t="s">
        <v>85</v>
      </c>
      <c r="K186" t="s">
        <v>86</v>
      </c>
      <c r="L186" t="s">
        <v>87</v>
      </c>
      <c r="M186" t="s">
        <v>147</v>
      </c>
      <c r="N186" t="s">
        <v>201</v>
      </c>
      <c r="O186" t="s">
        <v>113</v>
      </c>
      <c r="P186" t="s">
        <v>90</v>
      </c>
      <c r="Q186" t="s">
        <v>131</v>
      </c>
      <c r="R186">
        <v>5</v>
      </c>
      <c r="S186">
        <v>8</v>
      </c>
      <c r="T186">
        <v>1908</v>
      </c>
      <c r="U186">
        <v>1991</v>
      </c>
      <c r="V186" t="s">
        <v>92</v>
      </c>
      <c r="W186" t="s">
        <v>93</v>
      </c>
      <c r="X186" t="s">
        <v>185</v>
      </c>
      <c r="Y186" t="s">
        <v>160</v>
      </c>
      <c r="Z186" t="s">
        <v>116</v>
      </c>
      <c r="AA186">
        <v>0</v>
      </c>
      <c r="AB186" t="s">
        <v>97</v>
      </c>
      <c r="AC186" t="s">
        <v>97</v>
      </c>
      <c r="AD186" t="s">
        <v>98</v>
      </c>
      <c r="AE186" t="s">
        <v>146</v>
      </c>
      <c r="AF186" t="s">
        <v>97</v>
      </c>
      <c r="AG186" t="s">
        <v>99</v>
      </c>
      <c r="AH186" t="s">
        <v>101</v>
      </c>
      <c r="AI186">
        <v>0</v>
      </c>
      <c r="AJ186" t="s">
        <v>101</v>
      </c>
      <c r="AK186">
        <v>0</v>
      </c>
      <c r="AL186">
        <v>504</v>
      </c>
      <c r="AM186">
        <v>504</v>
      </c>
      <c r="AN186" t="s">
        <v>102</v>
      </c>
      <c r="AO186" t="s">
        <v>96</v>
      </c>
      <c r="AP186" t="s">
        <v>104</v>
      </c>
      <c r="AQ186" t="s">
        <v>105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97</v>
      </c>
      <c r="BC186">
        <v>5</v>
      </c>
      <c r="BD186" t="s">
        <v>106</v>
      </c>
      <c r="BE186">
        <v>0</v>
      </c>
      <c r="BG186" t="s">
        <v>107</v>
      </c>
      <c r="BH186">
        <v>1986</v>
      </c>
      <c r="BI186" t="s">
        <v>101</v>
      </c>
      <c r="BJ186">
        <v>2</v>
      </c>
      <c r="BK186">
        <v>576</v>
      </c>
      <c r="BL186" t="s">
        <v>97</v>
      </c>
      <c r="BM186" t="s">
        <v>97</v>
      </c>
      <c r="BN186" t="s">
        <v>104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V186" t="s">
        <v>133</v>
      </c>
      <c r="BX186">
        <v>0</v>
      </c>
      <c r="BY186">
        <v>6</v>
      </c>
      <c r="BZ186">
        <v>2006</v>
      </c>
      <c r="CA186" t="s">
        <v>109</v>
      </c>
      <c r="CB186" t="s">
        <v>110</v>
      </c>
      <c r="CC186">
        <v>127000</v>
      </c>
    </row>
    <row r="187" spans="1:81" x14ac:dyDescent="0.3">
      <c r="A187">
        <v>186</v>
      </c>
      <c r="B187">
        <v>75</v>
      </c>
      <c r="C187" t="s">
        <v>141</v>
      </c>
      <c r="D187">
        <v>90</v>
      </c>
      <c r="E187">
        <v>22950</v>
      </c>
      <c r="F187" t="s">
        <v>82</v>
      </c>
      <c r="H187" t="s">
        <v>159</v>
      </c>
      <c r="I187" t="s">
        <v>84</v>
      </c>
      <c r="J187" t="s">
        <v>85</v>
      </c>
      <c r="K187" t="s">
        <v>86</v>
      </c>
      <c r="L187" t="s">
        <v>87</v>
      </c>
      <c r="M187" t="s">
        <v>142</v>
      </c>
      <c r="N187" t="s">
        <v>143</v>
      </c>
      <c r="O187" t="s">
        <v>89</v>
      </c>
      <c r="P187" t="s">
        <v>90</v>
      </c>
      <c r="Q187" t="s">
        <v>224</v>
      </c>
      <c r="R187">
        <v>10</v>
      </c>
      <c r="S187">
        <v>9</v>
      </c>
      <c r="T187">
        <v>1892</v>
      </c>
      <c r="U187">
        <v>1993</v>
      </c>
      <c r="V187" t="s">
        <v>92</v>
      </c>
      <c r="W187" t="s">
        <v>195</v>
      </c>
      <c r="X187" t="s">
        <v>123</v>
      </c>
      <c r="Y187" t="s">
        <v>123</v>
      </c>
      <c r="Z187" t="s">
        <v>116</v>
      </c>
      <c r="AA187">
        <v>0</v>
      </c>
      <c r="AB187" t="s">
        <v>96</v>
      </c>
      <c r="AC187" t="s">
        <v>96</v>
      </c>
      <c r="AD187" t="s">
        <v>125</v>
      </c>
      <c r="AE187" t="s">
        <v>97</v>
      </c>
      <c r="AF187" t="s">
        <v>97</v>
      </c>
      <c r="AG187" t="s">
        <v>120</v>
      </c>
      <c r="AH187" t="s">
        <v>101</v>
      </c>
      <c r="AI187">
        <v>0</v>
      </c>
      <c r="AJ187" t="s">
        <v>101</v>
      </c>
      <c r="AK187">
        <v>0</v>
      </c>
      <c r="AL187">
        <v>1107</v>
      </c>
      <c r="AM187">
        <v>1107</v>
      </c>
      <c r="AN187" t="s">
        <v>102</v>
      </c>
      <c r="AO187" t="s">
        <v>103</v>
      </c>
      <c r="AP187" t="s">
        <v>104</v>
      </c>
      <c r="AQ187" t="s">
        <v>105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103</v>
      </c>
      <c r="BC187">
        <v>12</v>
      </c>
      <c r="BD187" t="s">
        <v>106</v>
      </c>
      <c r="BE187">
        <v>2</v>
      </c>
      <c r="BF187" t="s">
        <v>97</v>
      </c>
      <c r="BG187" t="s">
        <v>126</v>
      </c>
      <c r="BH187">
        <v>1993</v>
      </c>
      <c r="BI187" t="s">
        <v>101</v>
      </c>
      <c r="BJ187">
        <v>3</v>
      </c>
      <c r="BK187">
        <v>840</v>
      </c>
      <c r="BL187" t="s">
        <v>103</v>
      </c>
      <c r="BM187" t="s">
        <v>97</v>
      </c>
      <c r="BN187" t="s">
        <v>104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V187" t="s">
        <v>164</v>
      </c>
      <c r="BX187">
        <v>0</v>
      </c>
      <c r="BY187">
        <v>6</v>
      </c>
      <c r="BZ187">
        <v>2006</v>
      </c>
      <c r="CA187" t="s">
        <v>109</v>
      </c>
      <c r="CB187" t="s">
        <v>110</v>
      </c>
      <c r="CC187">
        <v>475000</v>
      </c>
    </row>
    <row r="188" spans="1:81" x14ac:dyDescent="0.3">
      <c r="A188">
        <v>187</v>
      </c>
      <c r="B188">
        <v>80</v>
      </c>
      <c r="C188" t="s">
        <v>81</v>
      </c>
      <c r="E188">
        <v>9947</v>
      </c>
      <c r="F188" t="s">
        <v>82</v>
      </c>
      <c r="H188" t="s">
        <v>119</v>
      </c>
      <c r="I188" t="s">
        <v>84</v>
      </c>
      <c r="J188" t="s">
        <v>85</v>
      </c>
      <c r="K188" t="s">
        <v>165</v>
      </c>
      <c r="L188" t="s">
        <v>87</v>
      </c>
      <c r="M188" t="s">
        <v>130</v>
      </c>
      <c r="N188" t="s">
        <v>89</v>
      </c>
      <c r="O188" t="s">
        <v>89</v>
      </c>
      <c r="P188" t="s">
        <v>90</v>
      </c>
      <c r="Q188" t="s">
        <v>196</v>
      </c>
      <c r="R188">
        <v>7</v>
      </c>
      <c r="S188">
        <v>5</v>
      </c>
      <c r="T188">
        <v>1990</v>
      </c>
      <c r="U188">
        <v>1991</v>
      </c>
      <c r="V188" t="s">
        <v>92</v>
      </c>
      <c r="W188" t="s">
        <v>93</v>
      </c>
      <c r="X188" t="s">
        <v>139</v>
      </c>
      <c r="Y188" t="s">
        <v>139</v>
      </c>
      <c r="Z188" t="s">
        <v>116</v>
      </c>
      <c r="AA188">
        <v>0</v>
      </c>
      <c r="AB188" t="s">
        <v>97</v>
      </c>
      <c r="AC188" t="s">
        <v>97</v>
      </c>
      <c r="AD188" t="s">
        <v>98</v>
      </c>
      <c r="AE188" t="s">
        <v>96</v>
      </c>
      <c r="AF188" t="s">
        <v>97</v>
      </c>
      <c r="AG188" t="s">
        <v>129</v>
      </c>
      <c r="AH188" t="s">
        <v>100</v>
      </c>
      <c r="AI188">
        <v>611</v>
      </c>
      <c r="AJ188" t="s">
        <v>101</v>
      </c>
      <c r="AK188">
        <v>0</v>
      </c>
      <c r="AL188">
        <v>577</v>
      </c>
      <c r="AM188">
        <v>1188</v>
      </c>
      <c r="AN188" t="s">
        <v>102</v>
      </c>
      <c r="AO188" t="s">
        <v>103</v>
      </c>
      <c r="AP188" t="s">
        <v>104</v>
      </c>
      <c r="AQ188" t="s">
        <v>105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96</v>
      </c>
      <c r="BC188">
        <v>6</v>
      </c>
      <c r="BD188" t="s">
        <v>106</v>
      </c>
      <c r="BE188">
        <v>0</v>
      </c>
      <c r="BG188" t="s">
        <v>107</v>
      </c>
      <c r="BH188">
        <v>1990</v>
      </c>
      <c r="BI188" t="s">
        <v>101</v>
      </c>
      <c r="BJ188">
        <v>2</v>
      </c>
      <c r="BK188">
        <v>497</v>
      </c>
      <c r="BL188" t="s">
        <v>97</v>
      </c>
      <c r="BM188" t="s">
        <v>97</v>
      </c>
      <c r="BN188" t="s">
        <v>104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V188" t="s">
        <v>164</v>
      </c>
      <c r="BX188">
        <v>0</v>
      </c>
      <c r="BY188">
        <v>6</v>
      </c>
      <c r="BZ188">
        <v>2009</v>
      </c>
      <c r="CA188" t="s">
        <v>109</v>
      </c>
      <c r="CB188" t="s">
        <v>110</v>
      </c>
      <c r="CC188">
        <v>173000</v>
      </c>
    </row>
    <row r="189" spans="1:81" x14ac:dyDescent="0.3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H189" t="s">
        <v>83</v>
      </c>
      <c r="I189" t="s">
        <v>84</v>
      </c>
      <c r="J189" t="s">
        <v>85</v>
      </c>
      <c r="K189" t="s">
        <v>86</v>
      </c>
      <c r="L189" t="s">
        <v>87</v>
      </c>
      <c r="M189" t="s">
        <v>142</v>
      </c>
      <c r="N189" t="s">
        <v>89</v>
      </c>
      <c r="O189" t="s">
        <v>89</v>
      </c>
      <c r="P189" t="s">
        <v>90</v>
      </c>
      <c r="Q189" t="s">
        <v>131</v>
      </c>
      <c r="R189">
        <v>5</v>
      </c>
      <c r="S189">
        <v>7</v>
      </c>
      <c r="T189">
        <v>1916</v>
      </c>
      <c r="U189">
        <v>1987</v>
      </c>
      <c r="V189" t="s">
        <v>92</v>
      </c>
      <c r="W189" t="s">
        <v>93</v>
      </c>
      <c r="X189" t="s">
        <v>139</v>
      </c>
      <c r="Y189" t="s">
        <v>139</v>
      </c>
      <c r="Z189" t="s">
        <v>116</v>
      </c>
      <c r="AA189">
        <v>0</v>
      </c>
      <c r="AB189" t="s">
        <v>97</v>
      </c>
      <c r="AC189" t="s">
        <v>97</v>
      </c>
      <c r="AD189" t="s">
        <v>117</v>
      </c>
      <c r="AE189" t="s">
        <v>146</v>
      </c>
      <c r="AF189" t="s">
        <v>97</v>
      </c>
      <c r="AG189" t="s">
        <v>99</v>
      </c>
      <c r="AH189" t="s">
        <v>101</v>
      </c>
      <c r="AI189">
        <v>0</v>
      </c>
      <c r="AJ189" t="s">
        <v>101</v>
      </c>
      <c r="AK189">
        <v>0</v>
      </c>
      <c r="AL189">
        <v>660</v>
      </c>
      <c r="AM189">
        <v>660</v>
      </c>
      <c r="AN189" t="s">
        <v>102</v>
      </c>
      <c r="AO189" t="s">
        <v>103</v>
      </c>
      <c r="AP189" t="s">
        <v>104</v>
      </c>
      <c r="AQ189" t="s">
        <v>105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97</v>
      </c>
      <c r="BC189">
        <v>8</v>
      </c>
      <c r="BD189" t="s">
        <v>223</v>
      </c>
      <c r="BE189">
        <v>0</v>
      </c>
      <c r="BG189" t="s">
        <v>126</v>
      </c>
      <c r="BH189">
        <v>1916</v>
      </c>
      <c r="BI189" t="s">
        <v>101</v>
      </c>
      <c r="BJ189">
        <v>1</v>
      </c>
      <c r="BK189">
        <v>180</v>
      </c>
      <c r="BL189" t="s">
        <v>146</v>
      </c>
      <c r="BM189" t="s">
        <v>146</v>
      </c>
      <c r="BN189" t="s">
        <v>176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V189" t="s">
        <v>133</v>
      </c>
      <c r="BX189">
        <v>0</v>
      </c>
      <c r="BY189">
        <v>8</v>
      </c>
      <c r="BZ189">
        <v>2009</v>
      </c>
      <c r="CA189" t="s">
        <v>109</v>
      </c>
      <c r="CB189" t="s">
        <v>110</v>
      </c>
      <c r="CC189">
        <v>135000</v>
      </c>
    </row>
    <row r="190" spans="1:81" x14ac:dyDescent="0.3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H190" t="s">
        <v>83</v>
      </c>
      <c r="I190" t="s">
        <v>174</v>
      </c>
      <c r="J190" t="s">
        <v>85</v>
      </c>
      <c r="K190" t="s">
        <v>86</v>
      </c>
      <c r="L190" t="s">
        <v>87</v>
      </c>
      <c r="M190" t="s">
        <v>169</v>
      </c>
      <c r="N190" t="s">
        <v>113</v>
      </c>
      <c r="O190" t="s">
        <v>89</v>
      </c>
      <c r="P190" t="s">
        <v>166</v>
      </c>
      <c r="Q190" t="s">
        <v>190</v>
      </c>
      <c r="R190">
        <v>5</v>
      </c>
      <c r="S190">
        <v>5</v>
      </c>
      <c r="T190">
        <v>1979</v>
      </c>
      <c r="U190">
        <v>1979</v>
      </c>
      <c r="V190" t="s">
        <v>92</v>
      </c>
      <c r="W190" t="s">
        <v>93</v>
      </c>
      <c r="X190" t="s">
        <v>160</v>
      </c>
      <c r="Y190" t="s">
        <v>160</v>
      </c>
      <c r="Z190" t="s">
        <v>136</v>
      </c>
      <c r="AA190">
        <v>275</v>
      </c>
      <c r="AB190" t="s">
        <v>97</v>
      </c>
      <c r="AC190" t="s">
        <v>97</v>
      </c>
      <c r="AD190" t="s">
        <v>117</v>
      </c>
      <c r="AE190" t="s">
        <v>96</v>
      </c>
      <c r="AF190" t="s">
        <v>97</v>
      </c>
      <c r="AG190" t="s">
        <v>129</v>
      </c>
      <c r="AH190" t="s">
        <v>100</v>
      </c>
      <c r="AI190">
        <v>1086</v>
      </c>
      <c r="AJ190" t="s">
        <v>101</v>
      </c>
      <c r="AK190">
        <v>0</v>
      </c>
      <c r="AL190">
        <v>0</v>
      </c>
      <c r="AM190">
        <v>1086</v>
      </c>
      <c r="AN190" t="s">
        <v>102</v>
      </c>
      <c r="AO190" t="s">
        <v>97</v>
      </c>
      <c r="AP190" t="s">
        <v>104</v>
      </c>
      <c r="AQ190" t="s">
        <v>105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97</v>
      </c>
      <c r="BC190">
        <v>6</v>
      </c>
      <c r="BD190" t="s">
        <v>106</v>
      </c>
      <c r="BE190">
        <v>2</v>
      </c>
      <c r="BF190" t="s">
        <v>97</v>
      </c>
      <c r="BG190" t="s">
        <v>126</v>
      </c>
      <c r="BH190">
        <v>1979</v>
      </c>
      <c r="BI190" t="s">
        <v>101</v>
      </c>
      <c r="BJ190">
        <v>2</v>
      </c>
      <c r="BK190">
        <v>528</v>
      </c>
      <c r="BL190" t="s">
        <v>97</v>
      </c>
      <c r="BM190" t="s">
        <v>97</v>
      </c>
      <c r="BN190" t="s">
        <v>104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0</v>
      </c>
      <c r="BY190">
        <v>6</v>
      </c>
      <c r="BZ190">
        <v>2009</v>
      </c>
      <c r="CA190" t="s">
        <v>109</v>
      </c>
      <c r="CB190" t="s">
        <v>209</v>
      </c>
      <c r="CC190">
        <v>153337</v>
      </c>
    </row>
    <row r="191" spans="1:81" x14ac:dyDescent="0.3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H191" t="s">
        <v>83</v>
      </c>
      <c r="I191" t="s">
        <v>84</v>
      </c>
      <c r="J191" t="s">
        <v>85</v>
      </c>
      <c r="K191" t="s">
        <v>86</v>
      </c>
      <c r="L191" t="s">
        <v>87</v>
      </c>
      <c r="M191" t="s">
        <v>199</v>
      </c>
      <c r="N191" t="s">
        <v>89</v>
      </c>
      <c r="O191" t="s">
        <v>89</v>
      </c>
      <c r="P191" t="s">
        <v>178</v>
      </c>
      <c r="Q191" t="s">
        <v>114</v>
      </c>
      <c r="R191">
        <v>8</v>
      </c>
      <c r="S191">
        <v>5</v>
      </c>
      <c r="T191">
        <v>2001</v>
      </c>
      <c r="U191">
        <v>2002</v>
      </c>
      <c r="V191" t="s">
        <v>92</v>
      </c>
      <c r="W191" t="s">
        <v>93</v>
      </c>
      <c r="X191" t="s">
        <v>179</v>
      </c>
      <c r="Y191" t="s">
        <v>180</v>
      </c>
      <c r="Z191" t="s">
        <v>116</v>
      </c>
      <c r="AA191">
        <v>0</v>
      </c>
      <c r="AB191" t="s">
        <v>96</v>
      </c>
      <c r="AC191" t="s">
        <v>97</v>
      </c>
      <c r="AD191" t="s">
        <v>98</v>
      </c>
      <c r="AE191" t="s">
        <v>103</v>
      </c>
      <c r="AF191" t="s">
        <v>97</v>
      </c>
      <c r="AG191" t="s">
        <v>129</v>
      </c>
      <c r="AH191" t="s">
        <v>100</v>
      </c>
      <c r="AI191">
        <v>1153</v>
      </c>
      <c r="AJ191" t="s">
        <v>101</v>
      </c>
      <c r="AK191">
        <v>0</v>
      </c>
      <c r="AL191">
        <v>440</v>
      </c>
      <c r="AM191">
        <v>1593</v>
      </c>
      <c r="AN191" t="s">
        <v>102</v>
      </c>
      <c r="AO191" t="s">
        <v>103</v>
      </c>
      <c r="AP191" t="s">
        <v>104</v>
      </c>
      <c r="AQ191" t="s">
        <v>105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103</v>
      </c>
      <c r="BC191">
        <v>5</v>
      </c>
      <c r="BD191" t="s">
        <v>106</v>
      </c>
      <c r="BE191">
        <v>1</v>
      </c>
      <c r="BF191" t="s">
        <v>96</v>
      </c>
      <c r="BG191" t="s">
        <v>107</v>
      </c>
      <c r="BH191">
        <v>2001</v>
      </c>
      <c r="BI191" t="s">
        <v>156</v>
      </c>
      <c r="BJ191">
        <v>2</v>
      </c>
      <c r="BK191">
        <v>682</v>
      </c>
      <c r="BL191" t="s">
        <v>97</v>
      </c>
      <c r="BM191" t="s">
        <v>97</v>
      </c>
      <c r="BN191" t="s">
        <v>104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X191">
        <v>0</v>
      </c>
      <c r="BY191">
        <v>8</v>
      </c>
      <c r="BZ191">
        <v>2008</v>
      </c>
      <c r="CA191" t="s">
        <v>109</v>
      </c>
      <c r="CB191" t="s">
        <v>110</v>
      </c>
      <c r="CC191">
        <v>286000</v>
      </c>
    </row>
    <row r="192" spans="1:81" x14ac:dyDescent="0.3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H192" t="s">
        <v>83</v>
      </c>
      <c r="I192" t="s">
        <v>174</v>
      </c>
      <c r="J192" t="s">
        <v>85</v>
      </c>
      <c r="K192" t="s">
        <v>86</v>
      </c>
      <c r="L192" t="s">
        <v>193</v>
      </c>
      <c r="M192" t="s">
        <v>122</v>
      </c>
      <c r="N192" t="s">
        <v>89</v>
      </c>
      <c r="O192" t="s">
        <v>89</v>
      </c>
      <c r="P192" t="s">
        <v>90</v>
      </c>
      <c r="Q192" t="s">
        <v>91</v>
      </c>
      <c r="R192">
        <v>8</v>
      </c>
      <c r="S192">
        <v>8</v>
      </c>
      <c r="T192">
        <v>1932</v>
      </c>
      <c r="U192">
        <v>1994</v>
      </c>
      <c r="V192" t="s">
        <v>151</v>
      </c>
      <c r="W192" t="s">
        <v>93</v>
      </c>
      <c r="X192" t="s">
        <v>95</v>
      </c>
      <c r="Y192" t="s">
        <v>95</v>
      </c>
      <c r="Z192" t="s">
        <v>116</v>
      </c>
      <c r="AA192">
        <v>0</v>
      </c>
      <c r="AB192" t="s">
        <v>96</v>
      </c>
      <c r="AC192" t="s">
        <v>97</v>
      </c>
      <c r="AD192" t="s">
        <v>117</v>
      </c>
      <c r="AE192" t="s">
        <v>96</v>
      </c>
      <c r="AF192" t="s">
        <v>96</v>
      </c>
      <c r="AG192" t="s">
        <v>99</v>
      </c>
      <c r="AH192" t="s">
        <v>152</v>
      </c>
      <c r="AI192">
        <v>297</v>
      </c>
      <c r="AJ192" t="s">
        <v>101</v>
      </c>
      <c r="AK192">
        <v>0</v>
      </c>
      <c r="AL192">
        <v>556</v>
      </c>
      <c r="AM192">
        <v>853</v>
      </c>
      <c r="AN192" t="s">
        <v>102</v>
      </c>
      <c r="AO192" t="s">
        <v>97</v>
      </c>
      <c r="AP192" t="s">
        <v>104</v>
      </c>
      <c r="AQ192" t="s">
        <v>105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96</v>
      </c>
      <c r="BC192">
        <v>10</v>
      </c>
      <c r="BD192" t="s">
        <v>220</v>
      </c>
      <c r="BE192">
        <v>2</v>
      </c>
      <c r="BF192" t="s">
        <v>97</v>
      </c>
      <c r="BG192" t="s">
        <v>126</v>
      </c>
      <c r="BH192">
        <v>1932</v>
      </c>
      <c r="BI192" t="s">
        <v>101</v>
      </c>
      <c r="BJ192">
        <v>2</v>
      </c>
      <c r="BK192">
        <v>440</v>
      </c>
      <c r="BL192" t="s">
        <v>97</v>
      </c>
      <c r="BM192" t="s">
        <v>97</v>
      </c>
      <c r="BN192" t="s">
        <v>104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X192">
        <v>0</v>
      </c>
      <c r="BY192">
        <v>12</v>
      </c>
      <c r="BZ192">
        <v>2007</v>
      </c>
      <c r="CA192" t="s">
        <v>109</v>
      </c>
      <c r="CB192" t="s">
        <v>110</v>
      </c>
      <c r="CC192">
        <v>315000</v>
      </c>
    </row>
    <row r="193" spans="1:81" x14ac:dyDescent="0.3">
      <c r="A193">
        <v>192</v>
      </c>
      <c r="B193">
        <v>60</v>
      </c>
      <c r="C193" t="s">
        <v>81</v>
      </c>
      <c r="E193">
        <v>7472</v>
      </c>
      <c r="F193" t="s">
        <v>82</v>
      </c>
      <c r="H193" t="s">
        <v>119</v>
      </c>
      <c r="I193" t="s">
        <v>84</v>
      </c>
      <c r="J193" t="s">
        <v>85</v>
      </c>
      <c r="K193" t="s">
        <v>165</v>
      </c>
      <c r="L193" t="s">
        <v>87</v>
      </c>
      <c r="M193" t="s">
        <v>270</v>
      </c>
      <c r="N193" t="s">
        <v>89</v>
      </c>
      <c r="O193" t="s">
        <v>89</v>
      </c>
      <c r="P193" t="s">
        <v>90</v>
      </c>
      <c r="Q193" t="s">
        <v>91</v>
      </c>
      <c r="R193">
        <v>7</v>
      </c>
      <c r="S193">
        <v>9</v>
      </c>
      <c r="T193">
        <v>1972</v>
      </c>
      <c r="U193">
        <v>2004</v>
      </c>
      <c r="V193" t="s">
        <v>92</v>
      </c>
      <c r="W193" t="s">
        <v>93</v>
      </c>
      <c r="X193" t="s">
        <v>139</v>
      </c>
      <c r="Y193" t="s">
        <v>139</v>
      </c>
      <c r="Z193" t="s">
        <v>95</v>
      </c>
      <c r="AA193">
        <v>138</v>
      </c>
      <c r="AB193" t="s">
        <v>97</v>
      </c>
      <c r="AC193" t="s">
        <v>97</v>
      </c>
      <c r="AD193" t="s">
        <v>117</v>
      </c>
      <c r="AE193" t="s">
        <v>97</v>
      </c>
      <c r="AF193" t="s">
        <v>97</v>
      </c>
      <c r="AG193" t="s">
        <v>99</v>
      </c>
      <c r="AH193" t="s">
        <v>118</v>
      </c>
      <c r="AI193">
        <v>626</v>
      </c>
      <c r="AJ193" t="s">
        <v>101</v>
      </c>
      <c r="AK193">
        <v>0</v>
      </c>
      <c r="AL193">
        <v>99</v>
      </c>
      <c r="AM193">
        <v>725</v>
      </c>
      <c r="AN193" t="s">
        <v>102</v>
      </c>
      <c r="AO193" t="s">
        <v>96</v>
      </c>
      <c r="AP193" t="s">
        <v>104</v>
      </c>
      <c r="AQ193" t="s">
        <v>105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96</v>
      </c>
      <c r="BC193">
        <v>7</v>
      </c>
      <c r="BD193" t="s">
        <v>106</v>
      </c>
      <c r="BE193">
        <v>0</v>
      </c>
      <c r="BG193" t="s">
        <v>107</v>
      </c>
      <c r="BH193">
        <v>1972</v>
      </c>
      <c r="BI193" t="s">
        <v>156</v>
      </c>
      <c r="BJ193">
        <v>2</v>
      </c>
      <c r="BK193">
        <v>484</v>
      </c>
      <c r="BL193" t="s">
        <v>97</v>
      </c>
      <c r="BM193" t="s">
        <v>97</v>
      </c>
      <c r="BN193" t="s">
        <v>104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X193">
        <v>0</v>
      </c>
      <c r="BY193">
        <v>6</v>
      </c>
      <c r="BZ193">
        <v>2007</v>
      </c>
      <c r="CA193" t="s">
        <v>109</v>
      </c>
      <c r="CB193" t="s">
        <v>110</v>
      </c>
      <c r="CC193">
        <v>184000</v>
      </c>
    </row>
    <row r="194" spans="1:81" x14ac:dyDescent="0.3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H194" t="s">
        <v>119</v>
      </c>
      <c r="I194" t="s">
        <v>84</v>
      </c>
      <c r="J194" t="s">
        <v>85</v>
      </c>
      <c r="K194" t="s">
        <v>86</v>
      </c>
      <c r="L194" t="s">
        <v>87</v>
      </c>
      <c r="M194" t="s">
        <v>88</v>
      </c>
      <c r="N194" t="s">
        <v>89</v>
      </c>
      <c r="O194" t="s">
        <v>89</v>
      </c>
      <c r="P194" t="s">
        <v>90</v>
      </c>
      <c r="Q194" t="s">
        <v>114</v>
      </c>
      <c r="R194">
        <v>7</v>
      </c>
      <c r="S194">
        <v>5</v>
      </c>
      <c r="T194">
        <v>1999</v>
      </c>
      <c r="U194">
        <v>1999</v>
      </c>
      <c r="V194" t="s">
        <v>92</v>
      </c>
      <c r="W194" t="s">
        <v>93</v>
      </c>
      <c r="X194" t="s">
        <v>94</v>
      </c>
      <c r="Y194" t="s">
        <v>94</v>
      </c>
      <c r="Z194" t="s">
        <v>116</v>
      </c>
      <c r="AA194">
        <v>0</v>
      </c>
      <c r="AB194" t="s">
        <v>96</v>
      </c>
      <c r="AC194" t="s">
        <v>97</v>
      </c>
      <c r="AD194" t="s">
        <v>98</v>
      </c>
      <c r="AE194" t="s">
        <v>96</v>
      </c>
      <c r="AF194" t="s">
        <v>97</v>
      </c>
      <c r="AG194" t="s">
        <v>129</v>
      </c>
      <c r="AH194" t="s">
        <v>100</v>
      </c>
      <c r="AI194">
        <v>560</v>
      </c>
      <c r="AJ194" t="s">
        <v>101</v>
      </c>
      <c r="AK194">
        <v>0</v>
      </c>
      <c r="AL194">
        <v>871</v>
      </c>
      <c r="AM194">
        <v>1431</v>
      </c>
      <c r="AN194" t="s">
        <v>102</v>
      </c>
      <c r="AO194" t="s">
        <v>103</v>
      </c>
      <c r="AP194" t="s">
        <v>104</v>
      </c>
      <c r="AQ194" t="s">
        <v>105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96</v>
      </c>
      <c r="BC194">
        <v>6</v>
      </c>
      <c r="BD194" t="s">
        <v>106</v>
      </c>
      <c r="BE194">
        <v>0</v>
      </c>
      <c r="BG194" t="s">
        <v>107</v>
      </c>
      <c r="BH194">
        <v>1999</v>
      </c>
      <c r="BI194" t="s">
        <v>156</v>
      </c>
      <c r="BJ194">
        <v>2</v>
      </c>
      <c r="BK194">
        <v>666</v>
      </c>
      <c r="BL194" t="s">
        <v>97</v>
      </c>
      <c r="BM194" t="s">
        <v>97</v>
      </c>
      <c r="BN194" t="s">
        <v>104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X194">
        <v>0</v>
      </c>
      <c r="BY194">
        <v>9</v>
      </c>
      <c r="BZ194">
        <v>2009</v>
      </c>
      <c r="CA194" t="s">
        <v>109</v>
      </c>
      <c r="CB194" t="s">
        <v>110</v>
      </c>
      <c r="CC194">
        <v>192000</v>
      </c>
    </row>
    <row r="195" spans="1:81" x14ac:dyDescent="0.3">
      <c r="A195">
        <v>194</v>
      </c>
      <c r="B195">
        <v>160</v>
      </c>
      <c r="C195" t="s">
        <v>141</v>
      </c>
      <c r="D195">
        <v>24</v>
      </c>
      <c r="E195">
        <v>2522</v>
      </c>
      <c r="F195" t="s">
        <v>82</v>
      </c>
      <c r="H195" t="s">
        <v>83</v>
      </c>
      <c r="I195" t="s">
        <v>84</v>
      </c>
      <c r="J195" t="s">
        <v>85</v>
      </c>
      <c r="K195" t="s">
        <v>86</v>
      </c>
      <c r="L195" t="s">
        <v>87</v>
      </c>
      <c r="M195" t="s">
        <v>184</v>
      </c>
      <c r="N195" t="s">
        <v>89</v>
      </c>
      <c r="O195" t="s">
        <v>89</v>
      </c>
      <c r="P195" t="s">
        <v>197</v>
      </c>
      <c r="Q195" t="s">
        <v>91</v>
      </c>
      <c r="R195">
        <v>7</v>
      </c>
      <c r="S195">
        <v>5</v>
      </c>
      <c r="T195">
        <v>2004</v>
      </c>
      <c r="U195">
        <v>2004</v>
      </c>
      <c r="V195" t="s">
        <v>92</v>
      </c>
      <c r="W195" t="s">
        <v>93</v>
      </c>
      <c r="X195" t="s">
        <v>94</v>
      </c>
      <c r="Y195" t="s">
        <v>94</v>
      </c>
      <c r="Z195" t="s">
        <v>136</v>
      </c>
      <c r="AA195">
        <v>50</v>
      </c>
      <c r="AB195" t="s">
        <v>96</v>
      </c>
      <c r="AC195" t="s">
        <v>97</v>
      </c>
      <c r="AD195" t="s">
        <v>98</v>
      </c>
      <c r="AE195" t="s">
        <v>96</v>
      </c>
      <c r="AF195" t="s">
        <v>97</v>
      </c>
      <c r="AG195" t="s">
        <v>99</v>
      </c>
      <c r="AH195" t="s">
        <v>101</v>
      </c>
      <c r="AI195">
        <v>0</v>
      </c>
      <c r="AJ195" t="s">
        <v>101</v>
      </c>
      <c r="AK195">
        <v>0</v>
      </c>
      <c r="AL195">
        <v>970</v>
      </c>
      <c r="AM195">
        <v>970</v>
      </c>
      <c r="AN195" t="s">
        <v>102</v>
      </c>
      <c r="AO195" t="s">
        <v>103</v>
      </c>
      <c r="AP195" t="s">
        <v>104</v>
      </c>
      <c r="AQ195" t="s">
        <v>105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96</v>
      </c>
      <c r="BC195">
        <v>7</v>
      </c>
      <c r="BD195" t="s">
        <v>220</v>
      </c>
      <c r="BE195">
        <v>0</v>
      </c>
      <c r="BG195" t="s">
        <v>126</v>
      </c>
      <c r="BH195">
        <v>2004</v>
      </c>
      <c r="BI195" t="s">
        <v>101</v>
      </c>
      <c r="BJ195">
        <v>2</v>
      </c>
      <c r="BK195">
        <v>380</v>
      </c>
      <c r="BL195" t="s">
        <v>97</v>
      </c>
      <c r="BM195" t="s">
        <v>97</v>
      </c>
      <c r="BN195" t="s">
        <v>104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X195">
        <v>0</v>
      </c>
      <c r="BY195">
        <v>5</v>
      </c>
      <c r="BZ195">
        <v>2006</v>
      </c>
      <c r="CA195" t="s">
        <v>109</v>
      </c>
      <c r="CB195" t="s">
        <v>110</v>
      </c>
      <c r="CC195">
        <v>130000</v>
      </c>
    </row>
    <row r="196" spans="1:81" x14ac:dyDescent="0.3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H196" t="s">
        <v>119</v>
      </c>
      <c r="I196" t="s">
        <v>84</v>
      </c>
      <c r="J196" t="s">
        <v>85</v>
      </c>
      <c r="K196" t="s">
        <v>86</v>
      </c>
      <c r="L196" t="s">
        <v>87</v>
      </c>
      <c r="M196" t="s">
        <v>88</v>
      </c>
      <c r="N196" t="s">
        <v>89</v>
      </c>
      <c r="O196" t="s">
        <v>89</v>
      </c>
      <c r="P196" t="s">
        <v>90</v>
      </c>
      <c r="Q196" t="s">
        <v>114</v>
      </c>
      <c r="R196">
        <v>5</v>
      </c>
      <c r="S196">
        <v>7</v>
      </c>
      <c r="T196">
        <v>1972</v>
      </c>
      <c r="U196">
        <v>1972</v>
      </c>
      <c r="V196" t="s">
        <v>151</v>
      </c>
      <c r="W196" t="s">
        <v>93</v>
      </c>
      <c r="X196" t="s">
        <v>139</v>
      </c>
      <c r="Y196" t="s">
        <v>139</v>
      </c>
      <c r="Z196" t="s">
        <v>116</v>
      </c>
      <c r="AA196">
        <v>0</v>
      </c>
      <c r="AB196" t="s">
        <v>97</v>
      </c>
      <c r="AC196" t="s">
        <v>97</v>
      </c>
      <c r="AD196" t="s">
        <v>117</v>
      </c>
      <c r="AE196" t="s">
        <v>97</v>
      </c>
      <c r="AF196" t="s">
        <v>97</v>
      </c>
      <c r="AG196" t="s">
        <v>129</v>
      </c>
      <c r="AH196" t="s">
        <v>118</v>
      </c>
      <c r="AI196">
        <v>390</v>
      </c>
      <c r="AJ196" t="s">
        <v>101</v>
      </c>
      <c r="AK196">
        <v>0</v>
      </c>
      <c r="AL196">
        <v>474</v>
      </c>
      <c r="AM196">
        <v>864</v>
      </c>
      <c r="AN196" t="s">
        <v>102</v>
      </c>
      <c r="AO196" t="s">
        <v>97</v>
      </c>
      <c r="AP196" t="s">
        <v>104</v>
      </c>
      <c r="AQ196" t="s">
        <v>105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97</v>
      </c>
      <c r="BC196">
        <v>5</v>
      </c>
      <c r="BD196" t="s">
        <v>106</v>
      </c>
      <c r="BE196">
        <v>0</v>
      </c>
      <c r="BG196" t="s">
        <v>126</v>
      </c>
      <c r="BH196">
        <v>1989</v>
      </c>
      <c r="BI196" t="s">
        <v>101</v>
      </c>
      <c r="BJ196">
        <v>1</v>
      </c>
      <c r="BK196">
        <v>352</v>
      </c>
      <c r="BL196" t="s">
        <v>97</v>
      </c>
      <c r="BM196" t="s">
        <v>97</v>
      </c>
      <c r="BN196" t="s">
        <v>104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X196">
        <v>0</v>
      </c>
      <c r="BY196">
        <v>5</v>
      </c>
      <c r="BZ196">
        <v>2008</v>
      </c>
      <c r="CA196" t="s">
        <v>109</v>
      </c>
      <c r="CB196" t="s">
        <v>110</v>
      </c>
      <c r="CC196">
        <v>127000</v>
      </c>
    </row>
    <row r="197" spans="1:81" x14ac:dyDescent="0.3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H197" t="s">
        <v>83</v>
      </c>
      <c r="I197" t="s">
        <v>84</v>
      </c>
      <c r="J197" t="s">
        <v>85</v>
      </c>
      <c r="K197" t="s">
        <v>111</v>
      </c>
      <c r="L197" t="s">
        <v>87</v>
      </c>
      <c r="M197" t="s">
        <v>215</v>
      </c>
      <c r="N197" t="s">
        <v>89</v>
      </c>
      <c r="O197" t="s">
        <v>89</v>
      </c>
      <c r="P197" t="s">
        <v>197</v>
      </c>
      <c r="Q197" t="s">
        <v>91</v>
      </c>
      <c r="R197">
        <v>6</v>
      </c>
      <c r="S197">
        <v>6</v>
      </c>
      <c r="T197">
        <v>1976</v>
      </c>
      <c r="U197">
        <v>1976</v>
      </c>
      <c r="V197" t="s">
        <v>92</v>
      </c>
      <c r="W197" t="s">
        <v>93</v>
      </c>
      <c r="X197" t="s">
        <v>160</v>
      </c>
      <c r="Y197" t="s">
        <v>225</v>
      </c>
      <c r="Z197" t="s">
        <v>116</v>
      </c>
      <c r="AA197">
        <v>0</v>
      </c>
      <c r="AB197" t="s">
        <v>97</v>
      </c>
      <c r="AC197" t="s">
        <v>97</v>
      </c>
      <c r="AD197" t="s">
        <v>117</v>
      </c>
      <c r="AE197" t="s">
        <v>96</v>
      </c>
      <c r="AF197" t="s">
        <v>97</v>
      </c>
      <c r="AG197" t="s">
        <v>99</v>
      </c>
      <c r="AH197" t="s">
        <v>118</v>
      </c>
      <c r="AI197">
        <v>566</v>
      </c>
      <c r="AJ197" t="s">
        <v>101</v>
      </c>
      <c r="AK197">
        <v>0</v>
      </c>
      <c r="AL197">
        <v>289</v>
      </c>
      <c r="AM197">
        <v>855</v>
      </c>
      <c r="AN197" t="s">
        <v>102</v>
      </c>
      <c r="AO197" t="s">
        <v>97</v>
      </c>
      <c r="AP197" t="s">
        <v>104</v>
      </c>
      <c r="AQ197" t="s">
        <v>105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97</v>
      </c>
      <c r="BC197">
        <v>7</v>
      </c>
      <c r="BD197" t="s">
        <v>106</v>
      </c>
      <c r="BE197">
        <v>1</v>
      </c>
      <c r="BF197" t="s">
        <v>97</v>
      </c>
      <c r="BG197" t="s">
        <v>107</v>
      </c>
      <c r="BH197">
        <v>1976</v>
      </c>
      <c r="BI197" t="s">
        <v>101</v>
      </c>
      <c r="BJ197">
        <v>2</v>
      </c>
      <c r="BK197">
        <v>440</v>
      </c>
      <c r="BL197" t="s">
        <v>97</v>
      </c>
      <c r="BM197" t="s">
        <v>97</v>
      </c>
      <c r="BN197" t="s">
        <v>104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X197">
        <v>0</v>
      </c>
      <c r="BY197">
        <v>7</v>
      </c>
      <c r="BZ197">
        <v>2009</v>
      </c>
      <c r="CA197" t="s">
        <v>109</v>
      </c>
      <c r="CB197" t="s">
        <v>110</v>
      </c>
      <c r="CC197">
        <v>148500</v>
      </c>
    </row>
    <row r="198" spans="1:81" x14ac:dyDescent="0.3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H198" t="s">
        <v>83</v>
      </c>
      <c r="I198" t="s">
        <v>84</v>
      </c>
      <c r="J198" t="s">
        <v>85</v>
      </c>
      <c r="K198" t="s">
        <v>86</v>
      </c>
      <c r="L198" t="s">
        <v>87</v>
      </c>
      <c r="M198" t="s">
        <v>135</v>
      </c>
      <c r="N198" t="s">
        <v>89</v>
      </c>
      <c r="O198" t="s">
        <v>89</v>
      </c>
      <c r="P198" t="s">
        <v>90</v>
      </c>
      <c r="Q198" t="s">
        <v>114</v>
      </c>
      <c r="R198">
        <v>7</v>
      </c>
      <c r="S198">
        <v>5</v>
      </c>
      <c r="T198">
        <v>2007</v>
      </c>
      <c r="U198">
        <v>2007</v>
      </c>
      <c r="V198" t="s">
        <v>151</v>
      </c>
      <c r="W198" t="s">
        <v>93</v>
      </c>
      <c r="X198" t="s">
        <v>179</v>
      </c>
      <c r="Y198" t="s">
        <v>180</v>
      </c>
      <c r="Z198" t="s">
        <v>136</v>
      </c>
      <c r="AA198">
        <v>205</v>
      </c>
      <c r="AB198" t="s">
        <v>103</v>
      </c>
      <c r="AC198" t="s">
        <v>97</v>
      </c>
      <c r="AD198" t="s">
        <v>98</v>
      </c>
      <c r="AE198" t="s">
        <v>103</v>
      </c>
      <c r="AF198" t="s">
        <v>97</v>
      </c>
      <c r="AG198" t="s">
        <v>99</v>
      </c>
      <c r="AH198" t="s">
        <v>100</v>
      </c>
      <c r="AI198">
        <v>1126</v>
      </c>
      <c r="AJ198" t="s">
        <v>101</v>
      </c>
      <c r="AK198">
        <v>0</v>
      </c>
      <c r="AL198">
        <v>600</v>
      </c>
      <c r="AM198">
        <v>1726</v>
      </c>
      <c r="AN198" t="s">
        <v>102</v>
      </c>
      <c r="AO198" t="s">
        <v>103</v>
      </c>
      <c r="AP198" t="s">
        <v>104</v>
      </c>
      <c r="AQ198" t="s">
        <v>105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103</v>
      </c>
      <c r="BC198">
        <v>8</v>
      </c>
      <c r="BD198" t="s">
        <v>106</v>
      </c>
      <c r="BE198">
        <v>1</v>
      </c>
      <c r="BF198" t="s">
        <v>96</v>
      </c>
      <c r="BG198" t="s">
        <v>107</v>
      </c>
      <c r="BH198">
        <v>2007</v>
      </c>
      <c r="BI198" t="s">
        <v>156</v>
      </c>
      <c r="BJ198">
        <v>3</v>
      </c>
      <c r="BK198">
        <v>786</v>
      </c>
      <c r="BL198" t="s">
        <v>97</v>
      </c>
      <c r="BM198" t="s">
        <v>97</v>
      </c>
      <c r="BN198" t="s">
        <v>104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X198">
        <v>0</v>
      </c>
      <c r="BY198">
        <v>9</v>
      </c>
      <c r="BZ198">
        <v>2007</v>
      </c>
      <c r="CA198" t="s">
        <v>157</v>
      </c>
      <c r="CB198" t="s">
        <v>158</v>
      </c>
      <c r="CC198">
        <v>311872</v>
      </c>
    </row>
    <row r="199" spans="1:81" x14ac:dyDescent="0.3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H199" t="s">
        <v>83</v>
      </c>
      <c r="I199" t="s">
        <v>84</v>
      </c>
      <c r="J199" t="s">
        <v>85</v>
      </c>
      <c r="K199" t="s">
        <v>121</v>
      </c>
      <c r="L199" t="s">
        <v>87</v>
      </c>
      <c r="M199" t="s">
        <v>270</v>
      </c>
      <c r="N199" t="s">
        <v>143</v>
      </c>
      <c r="O199" t="s">
        <v>89</v>
      </c>
      <c r="P199" t="s">
        <v>90</v>
      </c>
      <c r="Q199" t="s">
        <v>91</v>
      </c>
      <c r="R199">
        <v>8</v>
      </c>
      <c r="S199">
        <v>4</v>
      </c>
      <c r="T199">
        <v>1918</v>
      </c>
      <c r="U199">
        <v>1990</v>
      </c>
      <c r="V199" t="s">
        <v>92</v>
      </c>
      <c r="W199" t="s">
        <v>93</v>
      </c>
      <c r="X199" t="s">
        <v>202</v>
      </c>
      <c r="Y199" t="s">
        <v>202</v>
      </c>
      <c r="Z199" t="s">
        <v>116</v>
      </c>
      <c r="AA199">
        <v>0</v>
      </c>
      <c r="AB199" t="s">
        <v>96</v>
      </c>
      <c r="AC199" t="s">
        <v>96</v>
      </c>
      <c r="AD199" t="s">
        <v>98</v>
      </c>
      <c r="AE199" t="s">
        <v>97</v>
      </c>
      <c r="AF199" t="s">
        <v>97</v>
      </c>
      <c r="AG199" t="s">
        <v>99</v>
      </c>
      <c r="AH199" t="s">
        <v>100</v>
      </c>
      <c r="AI199">
        <v>1036</v>
      </c>
      <c r="AJ199" t="s">
        <v>171</v>
      </c>
      <c r="AK199">
        <v>184</v>
      </c>
      <c r="AL199">
        <v>140</v>
      </c>
      <c r="AM199">
        <v>1360</v>
      </c>
      <c r="AN199" t="s">
        <v>102</v>
      </c>
      <c r="AO199" t="s">
        <v>96</v>
      </c>
      <c r="AP199" t="s">
        <v>104</v>
      </c>
      <c r="AQ199" t="s">
        <v>105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96</v>
      </c>
      <c r="BC199">
        <v>8</v>
      </c>
      <c r="BD199" t="s">
        <v>106</v>
      </c>
      <c r="BE199">
        <v>1</v>
      </c>
      <c r="BF199" t="s">
        <v>103</v>
      </c>
      <c r="BG199" t="s">
        <v>126</v>
      </c>
      <c r="BH199">
        <v>1918</v>
      </c>
      <c r="BI199" t="s">
        <v>101</v>
      </c>
      <c r="BJ199">
        <v>2</v>
      </c>
      <c r="BK199">
        <v>795</v>
      </c>
      <c r="BL199" t="s">
        <v>97</v>
      </c>
      <c r="BM199" t="s">
        <v>97</v>
      </c>
      <c r="BN199" t="s">
        <v>104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103</v>
      </c>
      <c r="BV199" t="s">
        <v>164</v>
      </c>
      <c r="BX199">
        <v>0</v>
      </c>
      <c r="BY199">
        <v>3</v>
      </c>
      <c r="BZ199">
        <v>2006</v>
      </c>
      <c r="CA199" t="s">
        <v>109</v>
      </c>
      <c r="CB199" t="s">
        <v>127</v>
      </c>
      <c r="CC199">
        <v>235000</v>
      </c>
    </row>
    <row r="200" spans="1:81" x14ac:dyDescent="0.3">
      <c r="A200">
        <v>199</v>
      </c>
      <c r="B200">
        <v>75</v>
      </c>
      <c r="C200" t="s">
        <v>141</v>
      </c>
      <c r="D200">
        <v>92</v>
      </c>
      <c r="E200">
        <v>5520</v>
      </c>
      <c r="F200" t="s">
        <v>82</v>
      </c>
      <c r="H200" t="s">
        <v>83</v>
      </c>
      <c r="I200" t="s">
        <v>84</v>
      </c>
      <c r="J200" t="s">
        <v>85</v>
      </c>
      <c r="K200" t="s">
        <v>121</v>
      </c>
      <c r="L200" t="s">
        <v>87</v>
      </c>
      <c r="M200" t="s">
        <v>142</v>
      </c>
      <c r="N200" t="s">
        <v>89</v>
      </c>
      <c r="O200" t="s">
        <v>89</v>
      </c>
      <c r="P200" t="s">
        <v>90</v>
      </c>
      <c r="Q200" t="s">
        <v>224</v>
      </c>
      <c r="R200">
        <v>6</v>
      </c>
      <c r="S200">
        <v>6</v>
      </c>
      <c r="T200">
        <v>1912</v>
      </c>
      <c r="U200">
        <v>1950</v>
      </c>
      <c r="V200" t="s">
        <v>92</v>
      </c>
      <c r="W200" t="s">
        <v>93</v>
      </c>
      <c r="X200" t="s">
        <v>123</v>
      </c>
      <c r="Y200" t="s">
        <v>123</v>
      </c>
      <c r="Z200" t="s">
        <v>116</v>
      </c>
      <c r="AA200">
        <v>0</v>
      </c>
      <c r="AB200" t="s">
        <v>97</v>
      </c>
      <c r="AC200" t="s">
        <v>97</v>
      </c>
      <c r="AD200" t="s">
        <v>117</v>
      </c>
      <c r="AE200" t="s">
        <v>97</v>
      </c>
      <c r="AF200" t="s">
        <v>97</v>
      </c>
      <c r="AG200" t="s">
        <v>99</v>
      </c>
      <c r="AH200" t="s">
        <v>101</v>
      </c>
      <c r="AI200">
        <v>0</v>
      </c>
      <c r="AJ200" t="s">
        <v>101</v>
      </c>
      <c r="AK200">
        <v>0</v>
      </c>
      <c r="AL200">
        <v>755</v>
      </c>
      <c r="AM200">
        <v>755</v>
      </c>
      <c r="AN200" t="s">
        <v>102</v>
      </c>
      <c r="AO200" t="s">
        <v>103</v>
      </c>
      <c r="AP200" t="s">
        <v>104</v>
      </c>
      <c r="AQ200" t="s">
        <v>105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97</v>
      </c>
      <c r="BC200">
        <v>8</v>
      </c>
      <c r="BD200" t="s">
        <v>106</v>
      </c>
      <c r="BE200">
        <v>0</v>
      </c>
      <c r="BJ200">
        <v>0</v>
      </c>
      <c r="BK200">
        <v>0</v>
      </c>
      <c r="BN200" t="s">
        <v>104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V200" t="s">
        <v>133</v>
      </c>
      <c r="BX200">
        <v>0</v>
      </c>
      <c r="BY200">
        <v>7</v>
      </c>
      <c r="BZ200">
        <v>2009</v>
      </c>
      <c r="CA200" t="s">
        <v>109</v>
      </c>
      <c r="CB200" t="s">
        <v>127</v>
      </c>
      <c r="CC200">
        <v>104000</v>
      </c>
    </row>
    <row r="201" spans="1:81" x14ac:dyDescent="0.3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H201" t="s">
        <v>83</v>
      </c>
      <c r="I201" t="s">
        <v>84</v>
      </c>
      <c r="J201" t="s">
        <v>85</v>
      </c>
      <c r="K201" t="s">
        <v>86</v>
      </c>
      <c r="L201" t="s">
        <v>87</v>
      </c>
      <c r="M201" t="s">
        <v>153</v>
      </c>
      <c r="N201" t="s">
        <v>89</v>
      </c>
      <c r="O201" t="s">
        <v>89</v>
      </c>
      <c r="P201" t="s">
        <v>90</v>
      </c>
      <c r="Q201" t="s">
        <v>114</v>
      </c>
      <c r="R201">
        <v>8</v>
      </c>
      <c r="S201">
        <v>5</v>
      </c>
      <c r="T201">
        <v>2004</v>
      </c>
      <c r="U201">
        <v>2005</v>
      </c>
      <c r="V201" t="s">
        <v>151</v>
      </c>
      <c r="W201" t="s">
        <v>93</v>
      </c>
      <c r="X201" t="s">
        <v>94</v>
      </c>
      <c r="Y201" t="s">
        <v>94</v>
      </c>
      <c r="Z201" t="s">
        <v>95</v>
      </c>
      <c r="AA201">
        <v>262</v>
      </c>
      <c r="AB201" t="s">
        <v>96</v>
      </c>
      <c r="AC201" t="s">
        <v>97</v>
      </c>
      <c r="AD201" t="s">
        <v>98</v>
      </c>
      <c r="AE201" t="s">
        <v>103</v>
      </c>
      <c r="AF201" t="s">
        <v>97</v>
      </c>
      <c r="AG201" t="s">
        <v>129</v>
      </c>
      <c r="AH201" t="s">
        <v>100</v>
      </c>
      <c r="AI201">
        <v>1088</v>
      </c>
      <c r="AJ201" t="s">
        <v>101</v>
      </c>
      <c r="AK201">
        <v>0</v>
      </c>
      <c r="AL201">
        <v>625</v>
      </c>
      <c r="AM201">
        <v>1713</v>
      </c>
      <c r="AN201" t="s">
        <v>102</v>
      </c>
      <c r="AO201" t="s">
        <v>103</v>
      </c>
      <c r="AP201" t="s">
        <v>104</v>
      </c>
      <c r="AQ201" t="s">
        <v>105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103</v>
      </c>
      <c r="BC201">
        <v>7</v>
      </c>
      <c r="BD201" t="s">
        <v>106</v>
      </c>
      <c r="BE201">
        <v>1</v>
      </c>
      <c r="BF201" t="s">
        <v>96</v>
      </c>
      <c r="BG201" t="s">
        <v>107</v>
      </c>
      <c r="BH201">
        <v>2004</v>
      </c>
      <c r="BI201" t="s">
        <v>156</v>
      </c>
      <c r="BJ201">
        <v>3</v>
      </c>
      <c r="BK201">
        <v>856</v>
      </c>
      <c r="BL201" t="s">
        <v>97</v>
      </c>
      <c r="BM201" t="s">
        <v>97</v>
      </c>
      <c r="BN201" t="s">
        <v>104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X201">
        <v>0</v>
      </c>
      <c r="BY201">
        <v>1</v>
      </c>
      <c r="BZ201">
        <v>2009</v>
      </c>
      <c r="CA201" t="s">
        <v>109</v>
      </c>
      <c r="CB201" t="s">
        <v>110</v>
      </c>
      <c r="CC201">
        <v>274900</v>
      </c>
    </row>
    <row r="202" spans="1:81" x14ac:dyDescent="0.3">
      <c r="A202">
        <v>201</v>
      </c>
      <c r="B202">
        <v>20</v>
      </c>
      <c r="C202" t="s">
        <v>141</v>
      </c>
      <c r="D202">
        <v>80</v>
      </c>
      <c r="E202">
        <v>8546</v>
      </c>
      <c r="F202" t="s">
        <v>82</v>
      </c>
      <c r="H202" t="s">
        <v>83</v>
      </c>
      <c r="I202" t="s">
        <v>84</v>
      </c>
      <c r="J202" t="s">
        <v>85</v>
      </c>
      <c r="K202" t="s">
        <v>121</v>
      </c>
      <c r="L202" t="s">
        <v>87</v>
      </c>
      <c r="M202" t="s">
        <v>184</v>
      </c>
      <c r="N202" t="s">
        <v>89</v>
      </c>
      <c r="O202" t="s">
        <v>89</v>
      </c>
      <c r="P202" t="s">
        <v>90</v>
      </c>
      <c r="Q202" t="s">
        <v>114</v>
      </c>
      <c r="R202">
        <v>4</v>
      </c>
      <c r="S202">
        <v>5</v>
      </c>
      <c r="T202">
        <v>2003</v>
      </c>
      <c r="U202">
        <v>2004</v>
      </c>
      <c r="V202" t="s">
        <v>92</v>
      </c>
      <c r="W202" t="s">
        <v>93</v>
      </c>
      <c r="X202" t="s">
        <v>94</v>
      </c>
      <c r="Y202" t="s">
        <v>94</v>
      </c>
      <c r="Z202" t="s">
        <v>116</v>
      </c>
      <c r="AA202">
        <v>0</v>
      </c>
      <c r="AB202" t="s">
        <v>97</v>
      </c>
      <c r="AC202" t="s">
        <v>97</v>
      </c>
      <c r="AD202" t="s">
        <v>98</v>
      </c>
      <c r="AE202" t="s">
        <v>96</v>
      </c>
      <c r="AF202" t="s">
        <v>97</v>
      </c>
      <c r="AG202" t="s">
        <v>99</v>
      </c>
      <c r="AH202" t="s">
        <v>101</v>
      </c>
      <c r="AI202">
        <v>0</v>
      </c>
      <c r="AJ202" t="s">
        <v>101</v>
      </c>
      <c r="AK202">
        <v>0</v>
      </c>
      <c r="AL202">
        <v>1121</v>
      </c>
      <c r="AM202">
        <v>1121</v>
      </c>
      <c r="AN202" t="s">
        <v>102</v>
      </c>
      <c r="AO202" t="s">
        <v>103</v>
      </c>
      <c r="AP202" t="s">
        <v>104</v>
      </c>
      <c r="AQ202" t="s">
        <v>105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97</v>
      </c>
      <c r="BC202">
        <v>5</v>
      </c>
      <c r="BD202" t="s">
        <v>106</v>
      </c>
      <c r="BE202">
        <v>0</v>
      </c>
      <c r="BG202" t="s">
        <v>107</v>
      </c>
      <c r="BH202">
        <v>2003</v>
      </c>
      <c r="BI202" t="s">
        <v>108</v>
      </c>
      <c r="BJ202">
        <v>2</v>
      </c>
      <c r="BK202">
        <v>440</v>
      </c>
      <c r="BL202" t="s">
        <v>97</v>
      </c>
      <c r="BM202" t="s">
        <v>97</v>
      </c>
      <c r="BN202" t="s">
        <v>104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X202">
        <v>0</v>
      </c>
      <c r="BY202">
        <v>3</v>
      </c>
      <c r="BZ202">
        <v>2010</v>
      </c>
      <c r="CA202" t="s">
        <v>109</v>
      </c>
      <c r="CB202" t="s">
        <v>110</v>
      </c>
      <c r="CC202">
        <v>140000</v>
      </c>
    </row>
    <row r="203" spans="1:81" x14ac:dyDescent="0.3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H203" t="s">
        <v>83</v>
      </c>
      <c r="I203" t="s">
        <v>84</v>
      </c>
      <c r="J203" t="s">
        <v>85</v>
      </c>
      <c r="K203" t="s">
        <v>86</v>
      </c>
      <c r="L203" t="s">
        <v>87</v>
      </c>
      <c r="M203" t="s">
        <v>130</v>
      </c>
      <c r="N203" t="s">
        <v>89</v>
      </c>
      <c r="O203" t="s">
        <v>89</v>
      </c>
      <c r="P203" t="s">
        <v>90</v>
      </c>
      <c r="Q203" t="s">
        <v>114</v>
      </c>
      <c r="R203">
        <v>6</v>
      </c>
      <c r="S203">
        <v>6</v>
      </c>
      <c r="T203">
        <v>1977</v>
      </c>
      <c r="U203">
        <v>1977</v>
      </c>
      <c r="V203" t="s">
        <v>92</v>
      </c>
      <c r="W203" t="s">
        <v>93</v>
      </c>
      <c r="X203" t="s">
        <v>160</v>
      </c>
      <c r="Y203" t="s">
        <v>160</v>
      </c>
      <c r="Z203" t="s">
        <v>116</v>
      </c>
      <c r="AA203">
        <v>0</v>
      </c>
      <c r="AB203" t="s">
        <v>97</v>
      </c>
      <c r="AC203" t="s">
        <v>97</v>
      </c>
      <c r="AD203" t="s">
        <v>117</v>
      </c>
      <c r="AE203" t="s">
        <v>97</v>
      </c>
      <c r="AF203" t="s">
        <v>97</v>
      </c>
      <c r="AG203" t="s">
        <v>99</v>
      </c>
      <c r="AH203" t="s">
        <v>118</v>
      </c>
      <c r="AI203">
        <v>641</v>
      </c>
      <c r="AJ203" t="s">
        <v>171</v>
      </c>
      <c r="AK203">
        <v>279</v>
      </c>
      <c r="AL203">
        <v>276</v>
      </c>
      <c r="AM203">
        <v>1196</v>
      </c>
      <c r="AN203" t="s">
        <v>102</v>
      </c>
      <c r="AO203" t="s">
        <v>97</v>
      </c>
      <c r="AP203" t="s">
        <v>104</v>
      </c>
      <c r="AQ203" t="s">
        <v>105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97</v>
      </c>
      <c r="BC203">
        <v>6</v>
      </c>
      <c r="BD203" t="s">
        <v>106</v>
      </c>
      <c r="BE203">
        <v>2</v>
      </c>
      <c r="BF203" t="s">
        <v>146</v>
      </c>
      <c r="BG203" t="s">
        <v>126</v>
      </c>
      <c r="BH203">
        <v>1980</v>
      </c>
      <c r="BI203" t="s">
        <v>101</v>
      </c>
      <c r="BJ203">
        <v>2</v>
      </c>
      <c r="BK203">
        <v>473</v>
      </c>
      <c r="BL203" t="s">
        <v>97</v>
      </c>
      <c r="BM203" t="s">
        <v>97</v>
      </c>
      <c r="BN203" t="s">
        <v>104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V203" t="s">
        <v>133</v>
      </c>
      <c r="BX203">
        <v>0</v>
      </c>
      <c r="BY203">
        <v>2</v>
      </c>
      <c r="BZ203">
        <v>2008</v>
      </c>
      <c r="CA203" t="s">
        <v>109</v>
      </c>
      <c r="CB203" t="s">
        <v>110</v>
      </c>
      <c r="CC203">
        <v>171500</v>
      </c>
    </row>
    <row r="204" spans="1:81" x14ac:dyDescent="0.3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H204" t="s">
        <v>83</v>
      </c>
      <c r="I204" t="s">
        <v>84</v>
      </c>
      <c r="J204" t="s">
        <v>85</v>
      </c>
      <c r="K204" t="s">
        <v>121</v>
      </c>
      <c r="L204" t="s">
        <v>87</v>
      </c>
      <c r="M204" t="s">
        <v>142</v>
      </c>
      <c r="N204" t="s">
        <v>143</v>
      </c>
      <c r="O204" t="s">
        <v>89</v>
      </c>
      <c r="P204" t="s">
        <v>90</v>
      </c>
      <c r="Q204" t="s">
        <v>131</v>
      </c>
      <c r="R204">
        <v>6</v>
      </c>
      <c r="S204">
        <v>6</v>
      </c>
      <c r="T204">
        <v>1924</v>
      </c>
      <c r="U204">
        <v>1950</v>
      </c>
      <c r="V204" t="s">
        <v>92</v>
      </c>
      <c r="W204" t="s">
        <v>93</v>
      </c>
      <c r="X204" t="s">
        <v>115</v>
      </c>
      <c r="Y204" t="s">
        <v>115</v>
      </c>
      <c r="Z204" t="s">
        <v>116</v>
      </c>
      <c r="AA204">
        <v>0</v>
      </c>
      <c r="AB204" t="s">
        <v>97</v>
      </c>
      <c r="AC204" t="s">
        <v>96</v>
      </c>
      <c r="AD204" t="s">
        <v>125</v>
      </c>
      <c r="AE204" t="s">
        <v>146</v>
      </c>
      <c r="AF204" t="s">
        <v>97</v>
      </c>
      <c r="AG204" t="s">
        <v>99</v>
      </c>
      <c r="AH204" t="s">
        <v>171</v>
      </c>
      <c r="AI204">
        <v>617</v>
      </c>
      <c r="AJ204" t="s">
        <v>101</v>
      </c>
      <c r="AK204">
        <v>0</v>
      </c>
      <c r="AL204">
        <v>0</v>
      </c>
      <c r="AM204">
        <v>617</v>
      </c>
      <c r="AN204" t="s">
        <v>102</v>
      </c>
      <c r="AO204" t="s">
        <v>96</v>
      </c>
      <c r="AP204" t="s">
        <v>104</v>
      </c>
      <c r="AQ204" t="s">
        <v>105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97</v>
      </c>
      <c r="BC204">
        <v>6</v>
      </c>
      <c r="BD204" t="s">
        <v>145</v>
      </c>
      <c r="BE204">
        <v>0</v>
      </c>
      <c r="BG204" t="s">
        <v>107</v>
      </c>
      <c r="BH204">
        <v>1924</v>
      </c>
      <c r="BI204" t="s">
        <v>101</v>
      </c>
      <c r="BJ204">
        <v>1</v>
      </c>
      <c r="BK204">
        <v>398</v>
      </c>
      <c r="BL204" t="s">
        <v>97</v>
      </c>
      <c r="BM204" t="s">
        <v>97</v>
      </c>
      <c r="BN204" t="s">
        <v>104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X204">
        <v>0</v>
      </c>
      <c r="BY204">
        <v>5</v>
      </c>
      <c r="BZ204">
        <v>2006</v>
      </c>
      <c r="CA204" t="s">
        <v>172</v>
      </c>
      <c r="CB204" t="s">
        <v>110</v>
      </c>
      <c r="CC204">
        <v>112000</v>
      </c>
    </row>
    <row r="205" spans="1:81" x14ac:dyDescent="0.3">
      <c r="A205">
        <v>204</v>
      </c>
      <c r="B205">
        <v>120</v>
      </c>
      <c r="C205" t="s">
        <v>141</v>
      </c>
      <c r="E205">
        <v>4438</v>
      </c>
      <c r="F205" t="s">
        <v>82</v>
      </c>
      <c r="H205" t="s">
        <v>83</v>
      </c>
      <c r="I205" t="s">
        <v>84</v>
      </c>
      <c r="J205" t="s">
        <v>85</v>
      </c>
      <c r="K205" t="s">
        <v>86</v>
      </c>
      <c r="L205" t="s">
        <v>87</v>
      </c>
      <c r="M205" t="s">
        <v>88</v>
      </c>
      <c r="N205" t="s">
        <v>89</v>
      </c>
      <c r="O205" t="s">
        <v>89</v>
      </c>
      <c r="P205" t="s">
        <v>178</v>
      </c>
      <c r="Q205" t="s">
        <v>114</v>
      </c>
      <c r="R205">
        <v>6</v>
      </c>
      <c r="S205">
        <v>5</v>
      </c>
      <c r="T205">
        <v>2004</v>
      </c>
      <c r="U205">
        <v>2004</v>
      </c>
      <c r="V205" t="s">
        <v>92</v>
      </c>
      <c r="W205" t="s">
        <v>93</v>
      </c>
      <c r="X205" t="s">
        <v>94</v>
      </c>
      <c r="Y205" t="s">
        <v>94</v>
      </c>
      <c r="Z205" t="s">
        <v>95</v>
      </c>
      <c r="AA205">
        <v>205</v>
      </c>
      <c r="AB205" t="s">
        <v>96</v>
      </c>
      <c r="AC205" t="s">
        <v>97</v>
      </c>
      <c r="AD205" t="s">
        <v>98</v>
      </c>
      <c r="AE205" t="s">
        <v>96</v>
      </c>
      <c r="AF205" t="s">
        <v>97</v>
      </c>
      <c r="AG205" t="s">
        <v>129</v>
      </c>
      <c r="AH205" t="s">
        <v>100</v>
      </c>
      <c r="AI205">
        <v>662</v>
      </c>
      <c r="AJ205" t="s">
        <v>101</v>
      </c>
      <c r="AK205">
        <v>0</v>
      </c>
      <c r="AL205">
        <v>186</v>
      </c>
      <c r="AM205">
        <v>848</v>
      </c>
      <c r="AN205" t="s">
        <v>102</v>
      </c>
      <c r="AO205" t="s">
        <v>103</v>
      </c>
      <c r="AP205" t="s">
        <v>104</v>
      </c>
      <c r="AQ205" t="s">
        <v>105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96</v>
      </c>
      <c r="BC205">
        <v>3</v>
      </c>
      <c r="BD205" t="s">
        <v>106</v>
      </c>
      <c r="BE205">
        <v>1</v>
      </c>
      <c r="BF205" t="s">
        <v>96</v>
      </c>
      <c r="BG205" t="s">
        <v>107</v>
      </c>
      <c r="BH205">
        <v>2004</v>
      </c>
      <c r="BI205" t="s">
        <v>108</v>
      </c>
      <c r="BJ205">
        <v>2</v>
      </c>
      <c r="BK205">
        <v>420</v>
      </c>
      <c r="BL205" t="s">
        <v>97</v>
      </c>
      <c r="BM205" t="s">
        <v>97</v>
      </c>
      <c r="BN205" t="s">
        <v>104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X205">
        <v>0</v>
      </c>
      <c r="BY205">
        <v>1</v>
      </c>
      <c r="BZ205">
        <v>2008</v>
      </c>
      <c r="CA205" t="s">
        <v>109</v>
      </c>
      <c r="CB205" t="s">
        <v>110</v>
      </c>
      <c r="CC205">
        <v>149000</v>
      </c>
    </row>
    <row r="206" spans="1:81" x14ac:dyDescent="0.3">
      <c r="A206">
        <v>205</v>
      </c>
      <c r="B206">
        <v>50</v>
      </c>
      <c r="C206" t="s">
        <v>141</v>
      </c>
      <c r="D206">
        <v>50</v>
      </c>
      <c r="E206">
        <v>3500</v>
      </c>
      <c r="F206" t="s">
        <v>82</v>
      </c>
      <c r="G206" t="s">
        <v>173</v>
      </c>
      <c r="H206" t="s">
        <v>83</v>
      </c>
      <c r="I206" t="s">
        <v>84</v>
      </c>
      <c r="J206" t="s">
        <v>85</v>
      </c>
      <c r="K206" t="s">
        <v>86</v>
      </c>
      <c r="L206" t="s">
        <v>87</v>
      </c>
      <c r="M206" t="s">
        <v>142</v>
      </c>
      <c r="N206" t="s">
        <v>89</v>
      </c>
      <c r="O206" t="s">
        <v>89</v>
      </c>
      <c r="P206" t="s">
        <v>90</v>
      </c>
      <c r="Q206" t="s">
        <v>131</v>
      </c>
      <c r="R206">
        <v>5</v>
      </c>
      <c r="S206">
        <v>7</v>
      </c>
      <c r="T206">
        <v>1947</v>
      </c>
      <c r="U206">
        <v>1950</v>
      </c>
      <c r="V206" t="s">
        <v>92</v>
      </c>
      <c r="W206" t="s">
        <v>93</v>
      </c>
      <c r="X206" t="s">
        <v>185</v>
      </c>
      <c r="Y206" t="s">
        <v>185</v>
      </c>
      <c r="Z206" t="s">
        <v>116</v>
      </c>
      <c r="AA206">
        <v>0</v>
      </c>
      <c r="AB206" t="s">
        <v>97</v>
      </c>
      <c r="AC206" t="s">
        <v>97</v>
      </c>
      <c r="AD206" t="s">
        <v>117</v>
      </c>
      <c r="AE206" t="s">
        <v>97</v>
      </c>
      <c r="AF206" t="s">
        <v>97</v>
      </c>
      <c r="AG206" t="s">
        <v>99</v>
      </c>
      <c r="AH206" t="s">
        <v>171</v>
      </c>
      <c r="AI206">
        <v>312</v>
      </c>
      <c r="AJ206" t="s">
        <v>101</v>
      </c>
      <c r="AK206">
        <v>0</v>
      </c>
      <c r="AL206">
        <v>408</v>
      </c>
      <c r="AM206">
        <v>720</v>
      </c>
      <c r="AN206" t="s">
        <v>102</v>
      </c>
      <c r="AO206" t="s">
        <v>97</v>
      </c>
      <c r="AP206" t="s">
        <v>104</v>
      </c>
      <c r="AQ206" t="s">
        <v>105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97</v>
      </c>
      <c r="BC206">
        <v>5</v>
      </c>
      <c r="BD206" t="s">
        <v>106</v>
      </c>
      <c r="BE206">
        <v>0</v>
      </c>
      <c r="BG206" t="s">
        <v>126</v>
      </c>
      <c r="BH206">
        <v>1948</v>
      </c>
      <c r="BI206" t="s">
        <v>101</v>
      </c>
      <c r="BJ206">
        <v>1</v>
      </c>
      <c r="BK206">
        <v>240</v>
      </c>
      <c r="BL206" t="s">
        <v>97</v>
      </c>
      <c r="BM206" t="s">
        <v>97</v>
      </c>
      <c r="BN206" t="s">
        <v>104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V206" t="s">
        <v>217</v>
      </c>
      <c r="BX206">
        <v>0</v>
      </c>
      <c r="BY206">
        <v>4</v>
      </c>
      <c r="BZ206">
        <v>2009</v>
      </c>
      <c r="CA206" t="s">
        <v>109</v>
      </c>
      <c r="CB206" t="s">
        <v>110</v>
      </c>
      <c r="CC206">
        <v>110000</v>
      </c>
    </row>
    <row r="207" spans="1:81" x14ac:dyDescent="0.3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H207" t="s">
        <v>83</v>
      </c>
      <c r="I207" t="s">
        <v>84</v>
      </c>
      <c r="J207" t="s">
        <v>85</v>
      </c>
      <c r="K207" t="s">
        <v>121</v>
      </c>
      <c r="L207" t="s">
        <v>87</v>
      </c>
      <c r="M207" t="s">
        <v>192</v>
      </c>
      <c r="N207" t="s">
        <v>89</v>
      </c>
      <c r="O207" t="s">
        <v>89</v>
      </c>
      <c r="P207" t="s">
        <v>90</v>
      </c>
      <c r="Q207" t="s">
        <v>114</v>
      </c>
      <c r="R207">
        <v>7</v>
      </c>
      <c r="S207">
        <v>5</v>
      </c>
      <c r="T207">
        <v>1990</v>
      </c>
      <c r="U207">
        <v>1990</v>
      </c>
      <c r="V207" t="s">
        <v>92</v>
      </c>
      <c r="W207" t="s">
        <v>93</v>
      </c>
      <c r="X207" t="s">
        <v>139</v>
      </c>
      <c r="Y207" t="s">
        <v>139</v>
      </c>
      <c r="Z207" t="s">
        <v>116</v>
      </c>
      <c r="AA207">
        <v>0</v>
      </c>
      <c r="AB207" t="s">
        <v>97</v>
      </c>
      <c r="AC207" t="s">
        <v>97</v>
      </c>
      <c r="AD207" t="s">
        <v>98</v>
      </c>
      <c r="AE207" t="s">
        <v>96</v>
      </c>
      <c r="AF207" t="s">
        <v>97</v>
      </c>
      <c r="AG207" t="s">
        <v>99</v>
      </c>
      <c r="AH207" t="s">
        <v>101</v>
      </c>
      <c r="AI207">
        <v>0</v>
      </c>
      <c r="AJ207" t="s">
        <v>101</v>
      </c>
      <c r="AK207">
        <v>0</v>
      </c>
      <c r="AL207">
        <v>1424</v>
      </c>
      <c r="AM207">
        <v>1424</v>
      </c>
      <c r="AN207" t="s">
        <v>102</v>
      </c>
      <c r="AO207" t="s">
        <v>103</v>
      </c>
      <c r="AP207" t="s">
        <v>104</v>
      </c>
      <c r="AQ207" t="s">
        <v>105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97</v>
      </c>
      <c r="BC207">
        <v>5</v>
      </c>
      <c r="BD207" t="s">
        <v>106</v>
      </c>
      <c r="BE207">
        <v>0</v>
      </c>
      <c r="BG207" t="s">
        <v>107</v>
      </c>
      <c r="BH207">
        <v>1990</v>
      </c>
      <c r="BI207" t="s">
        <v>108</v>
      </c>
      <c r="BJ207">
        <v>2</v>
      </c>
      <c r="BK207">
        <v>500</v>
      </c>
      <c r="BL207" t="s">
        <v>97</v>
      </c>
      <c r="BM207" t="s">
        <v>97</v>
      </c>
      <c r="BN207" t="s">
        <v>104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X207">
        <v>0</v>
      </c>
      <c r="BY207">
        <v>5</v>
      </c>
      <c r="BZ207">
        <v>2009</v>
      </c>
      <c r="CA207" t="s">
        <v>109</v>
      </c>
      <c r="CB207" t="s">
        <v>110</v>
      </c>
      <c r="CC207">
        <v>180500</v>
      </c>
    </row>
    <row r="208" spans="1:81" x14ac:dyDescent="0.3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H208" t="s">
        <v>119</v>
      </c>
      <c r="I208" t="s">
        <v>84</v>
      </c>
      <c r="J208" t="s">
        <v>85</v>
      </c>
      <c r="K208" t="s">
        <v>165</v>
      </c>
      <c r="L208" t="s">
        <v>87</v>
      </c>
      <c r="M208" t="s">
        <v>150</v>
      </c>
      <c r="N208" t="s">
        <v>170</v>
      </c>
      <c r="O208" t="s">
        <v>89</v>
      </c>
      <c r="P208" t="s">
        <v>90</v>
      </c>
      <c r="Q208" t="s">
        <v>114</v>
      </c>
      <c r="R208">
        <v>5</v>
      </c>
      <c r="S208">
        <v>5</v>
      </c>
      <c r="T208">
        <v>1962</v>
      </c>
      <c r="U208">
        <v>1962</v>
      </c>
      <c r="V208" t="s">
        <v>92</v>
      </c>
      <c r="W208" t="s">
        <v>93</v>
      </c>
      <c r="X208" t="s">
        <v>139</v>
      </c>
      <c r="Y208" t="s">
        <v>139</v>
      </c>
      <c r="Z208" t="s">
        <v>116</v>
      </c>
      <c r="AA208">
        <v>0</v>
      </c>
      <c r="AB208" t="s">
        <v>97</v>
      </c>
      <c r="AC208" t="s">
        <v>96</v>
      </c>
      <c r="AD208" t="s">
        <v>117</v>
      </c>
      <c r="AE208" t="s">
        <v>97</v>
      </c>
      <c r="AF208" t="s">
        <v>97</v>
      </c>
      <c r="AG208" t="s">
        <v>99</v>
      </c>
      <c r="AH208" t="s">
        <v>101</v>
      </c>
      <c r="AI208">
        <v>0</v>
      </c>
      <c r="AJ208" t="s">
        <v>101</v>
      </c>
      <c r="AK208">
        <v>0</v>
      </c>
      <c r="AL208">
        <v>1140</v>
      </c>
      <c r="AM208">
        <v>1140</v>
      </c>
      <c r="AN208" t="s">
        <v>102</v>
      </c>
      <c r="AO208" t="s">
        <v>97</v>
      </c>
      <c r="AP208" t="s">
        <v>104</v>
      </c>
      <c r="AQ208" t="s">
        <v>105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97</v>
      </c>
      <c r="BC208">
        <v>8</v>
      </c>
      <c r="BD208" t="s">
        <v>223</v>
      </c>
      <c r="BE208">
        <v>1</v>
      </c>
      <c r="BF208" t="s">
        <v>97</v>
      </c>
      <c r="BG208" t="s">
        <v>107</v>
      </c>
      <c r="BH208">
        <v>1962</v>
      </c>
      <c r="BI208" t="s">
        <v>108</v>
      </c>
      <c r="BJ208">
        <v>1</v>
      </c>
      <c r="BK208">
        <v>349</v>
      </c>
      <c r="BL208" t="s">
        <v>97</v>
      </c>
      <c r="BM208" t="s">
        <v>97</v>
      </c>
      <c r="BN208" t="s">
        <v>104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3</v>
      </c>
      <c r="BZ208">
        <v>2007</v>
      </c>
      <c r="CA208" t="s">
        <v>109</v>
      </c>
      <c r="CB208" t="s">
        <v>110</v>
      </c>
      <c r="CC208">
        <v>143900</v>
      </c>
    </row>
    <row r="209" spans="1:81" x14ac:dyDescent="0.3">
      <c r="A209">
        <v>208</v>
      </c>
      <c r="B209">
        <v>20</v>
      </c>
      <c r="C209" t="s">
        <v>81</v>
      </c>
      <c r="E209">
        <v>12493</v>
      </c>
      <c r="F209" t="s">
        <v>82</v>
      </c>
      <c r="H209" t="s">
        <v>119</v>
      </c>
      <c r="I209" t="s">
        <v>84</v>
      </c>
      <c r="J209" t="s">
        <v>85</v>
      </c>
      <c r="K209" t="s">
        <v>86</v>
      </c>
      <c r="L209" t="s">
        <v>87</v>
      </c>
      <c r="M209" t="s">
        <v>270</v>
      </c>
      <c r="N209" t="s">
        <v>89</v>
      </c>
      <c r="O209" t="s">
        <v>89</v>
      </c>
      <c r="P209" t="s">
        <v>90</v>
      </c>
      <c r="Q209" t="s">
        <v>114</v>
      </c>
      <c r="R209">
        <v>4</v>
      </c>
      <c r="S209">
        <v>5</v>
      </c>
      <c r="T209">
        <v>1960</v>
      </c>
      <c r="U209">
        <v>1960</v>
      </c>
      <c r="V209" t="s">
        <v>92</v>
      </c>
      <c r="W209" t="s">
        <v>93</v>
      </c>
      <c r="X209" t="s">
        <v>123</v>
      </c>
      <c r="Y209" t="s">
        <v>123</v>
      </c>
      <c r="Z209" t="s">
        <v>116</v>
      </c>
      <c r="AA209">
        <v>0</v>
      </c>
      <c r="AB209" t="s">
        <v>97</v>
      </c>
      <c r="AC209" t="s">
        <v>97</v>
      </c>
      <c r="AD209" t="s">
        <v>98</v>
      </c>
      <c r="AE209" t="s">
        <v>97</v>
      </c>
      <c r="AF209" t="s">
        <v>97</v>
      </c>
      <c r="AG209" t="s">
        <v>99</v>
      </c>
      <c r="AH209" t="s">
        <v>118</v>
      </c>
      <c r="AI209">
        <v>419</v>
      </c>
      <c r="AJ209" t="s">
        <v>152</v>
      </c>
      <c r="AK209">
        <v>306</v>
      </c>
      <c r="AL209">
        <v>375</v>
      </c>
      <c r="AM209">
        <v>1100</v>
      </c>
      <c r="AN209" t="s">
        <v>102</v>
      </c>
      <c r="AO209" t="s">
        <v>97</v>
      </c>
      <c r="AP209" t="s">
        <v>104</v>
      </c>
      <c r="AQ209" t="s">
        <v>105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97</v>
      </c>
      <c r="BC209">
        <v>6</v>
      </c>
      <c r="BD209" t="s">
        <v>106</v>
      </c>
      <c r="BE209">
        <v>1</v>
      </c>
      <c r="BF209" t="s">
        <v>211</v>
      </c>
      <c r="BG209" t="s">
        <v>107</v>
      </c>
      <c r="BH209">
        <v>1960</v>
      </c>
      <c r="BI209" t="s">
        <v>108</v>
      </c>
      <c r="BJ209">
        <v>1</v>
      </c>
      <c r="BK209">
        <v>312</v>
      </c>
      <c r="BL209" t="s">
        <v>97</v>
      </c>
      <c r="BM209" t="s">
        <v>97</v>
      </c>
      <c r="BN209" t="s">
        <v>104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V209" t="s">
        <v>162</v>
      </c>
      <c r="BX209">
        <v>0</v>
      </c>
      <c r="BY209">
        <v>4</v>
      </c>
      <c r="BZ209">
        <v>2008</v>
      </c>
      <c r="CA209" t="s">
        <v>109</v>
      </c>
      <c r="CB209" t="s">
        <v>110</v>
      </c>
      <c r="CC209">
        <v>141000</v>
      </c>
    </row>
    <row r="210" spans="1:81" x14ac:dyDescent="0.3">
      <c r="A210">
        <v>209</v>
      </c>
      <c r="B210">
        <v>60</v>
      </c>
      <c r="C210" t="s">
        <v>81</v>
      </c>
      <c r="E210">
        <v>14364</v>
      </c>
      <c r="F210" t="s">
        <v>82</v>
      </c>
      <c r="H210" t="s">
        <v>119</v>
      </c>
      <c r="I210" t="s">
        <v>194</v>
      </c>
      <c r="J210" t="s">
        <v>85</v>
      </c>
      <c r="K210" t="s">
        <v>86</v>
      </c>
      <c r="L210" t="s">
        <v>193</v>
      </c>
      <c r="M210" t="s">
        <v>169</v>
      </c>
      <c r="N210" t="s">
        <v>89</v>
      </c>
      <c r="O210" t="s">
        <v>89</v>
      </c>
      <c r="P210" t="s">
        <v>90</v>
      </c>
      <c r="Q210" t="s">
        <v>91</v>
      </c>
      <c r="R210">
        <v>7</v>
      </c>
      <c r="S210">
        <v>5</v>
      </c>
      <c r="T210">
        <v>1988</v>
      </c>
      <c r="U210">
        <v>1989</v>
      </c>
      <c r="V210" t="s">
        <v>92</v>
      </c>
      <c r="W210" t="s">
        <v>93</v>
      </c>
      <c r="X210" t="s">
        <v>160</v>
      </c>
      <c r="Y210" t="s">
        <v>160</v>
      </c>
      <c r="Z210" t="s">
        <v>95</v>
      </c>
      <c r="AA210">
        <v>128</v>
      </c>
      <c r="AB210" t="s">
        <v>96</v>
      </c>
      <c r="AC210" t="s">
        <v>97</v>
      </c>
      <c r="AD210" t="s">
        <v>117</v>
      </c>
      <c r="AE210" t="s">
        <v>96</v>
      </c>
      <c r="AF210" t="s">
        <v>97</v>
      </c>
      <c r="AG210" t="s">
        <v>96</v>
      </c>
      <c r="AH210" t="s">
        <v>100</v>
      </c>
      <c r="AI210">
        <v>1065</v>
      </c>
      <c r="AJ210" t="s">
        <v>101</v>
      </c>
      <c r="AK210">
        <v>0</v>
      </c>
      <c r="AL210">
        <v>92</v>
      </c>
      <c r="AM210">
        <v>1157</v>
      </c>
      <c r="AN210" t="s">
        <v>102</v>
      </c>
      <c r="AO210" t="s">
        <v>103</v>
      </c>
      <c r="AP210" t="s">
        <v>104</v>
      </c>
      <c r="AQ210" t="s">
        <v>105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97</v>
      </c>
      <c r="BC210">
        <v>7</v>
      </c>
      <c r="BD210" t="s">
        <v>106</v>
      </c>
      <c r="BE210">
        <v>1</v>
      </c>
      <c r="BF210" t="s">
        <v>96</v>
      </c>
      <c r="BG210" t="s">
        <v>107</v>
      </c>
      <c r="BH210">
        <v>1988</v>
      </c>
      <c r="BI210" t="s">
        <v>156</v>
      </c>
      <c r="BJ210">
        <v>2</v>
      </c>
      <c r="BK210">
        <v>454</v>
      </c>
      <c r="BL210" t="s">
        <v>97</v>
      </c>
      <c r="BM210" t="s">
        <v>97</v>
      </c>
      <c r="BN210" t="s">
        <v>104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X210">
        <v>0</v>
      </c>
      <c r="BY210">
        <v>4</v>
      </c>
      <c r="BZ210">
        <v>2007</v>
      </c>
      <c r="CA210" t="s">
        <v>109</v>
      </c>
      <c r="CB210" t="s">
        <v>110</v>
      </c>
      <c r="CC210">
        <v>277000</v>
      </c>
    </row>
    <row r="211" spans="1:81" x14ac:dyDescent="0.3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H211" t="s">
        <v>83</v>
      </c>
      <c r="I211" t="s">
        <v>84</v>
      </c>
      <c r="J211" t="s">
        <v>85</v>
      </c>
      <c r="K211" t="s">
        <v>86</v>
      </c>
      <c r="L211" t="s">
        <v>87</v>
      </c>
      <c r="M211" t="s">
        <v>270</v>
      </c>
      <c r="N211" t="s">
        <v>89</v>
      </c>
      <c r="O211" t="s">
        <v>89</v>
      </c>
      <c r="P211" t="s">
        <v>90</v>
      </c>
      <c r="Q211" t="s">
        <v>114</v>
      </c>
      <c r="R211">
        <v>6</v>
      </c>
      <c r="S211">
        <v>7</v>
      </c>
      <c r="T211">
        <v>1964</v>
      </c>
      <c r="U211">
        <v>1964</v>
      </c>
      <c r="V211" t="s">
        <v>151</v>
      </c>
      <c r="W211" t="s">
        <v>93</v>
      </c>
      <c r="X211" t="s">
        <v>139</v>
      </c>
      <c r="Y211" t="s">
        <v>139</v>
      </c>
      <c r="Z211" t="s">
        <v>136</v>
      </c>
      <c r="AA211">
        <v>260</v>
      </c>
      <c r="AB211" t="s">
        <v>97</v>
      </c>
      <c r="AC211" t="s">
        <v>97</v>
      </c>
      <c r="AD211" t="s">
        <v>117</v>
      </c>
      <c r="AE211" t="s">
        <v>96</v>
      </c>
      <c r="AF211" t="s">
        <v>97</v>
      </c>
      <c r="AG211" t="s">
        <v>99</v>
      </c>
      <c r="AH211" t="s">
        <v>152</v>
      </c>
      <c r="AI211">
        <v>787</v>
      </c>
      <c r="AJ211" t="s">
        <v>101</v>
      </c>
      <c r="AK211">
        <v>0</v>
      </c>
      <c r="AL211">
        <v>305</v>
      </c>
      <c r="AM211">
        <v>1092</v>
      </c>
      <c r="AN211" t="s">
        <v>102</v>
      </c>
      <c r="AO211" t="s">
        <v>103</v>
      </c>
      <c r="AP211" t="s">
        <v>104</v>
      </c>
      <c r="AQ211" t="s">
        <v>105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97</v>
      </c>
      <c r="BC211">
        <v>6</v>
      </c>
      <c r="BD211" t="s">
        <v>106</v>
      </c>
      <c r="BE211">
        <v>0</v>
      </c>
      <c r="BG211" t="s">
        <v>107</v>
      </c>
      <c r="BH211">
        <v>1964</v>
      </c>
      <c r="BI211" t="s">
        <v>108</v>
      </c>
      <c r="BJ211">
        <v>2</v>
      </c>
      <c r="BK211">
        <v>504</v>
      </c>
      <c r="BL211" t="s">
        <v>97</v>
      </c>
      <c r="BM211" t="s">
        <v>96</v>
      </c>
      <c r="BN211" t="s">
        <v>104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V211" t="s">
        <v>133</v>
      </c>
      <c r="BX211">
        <v>0</v>
      </c>
      <c r="BY211">
        <v>7</v>
      </c>
      <c r="BZ211">
        <v>2008</v>
      </c>
      <c r="CA211" t="s">
        <v>109</v>
      </c>
      <c r="CB211" t="s">
        <v>110</v>
      </c>
      <c r="CC211">
        <v>145000</v>
      </c>
    </row>
    <row r="212" spans="1:81" x14ac:dyDescent="0.3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H212" t="s">
        <v>83</v>
      </c>
      <c r="I212" t="s">
        <v>84</v>
      </c>
      <c r="J212" t="s">
        <v>85</v>
      </c>
      <c r="K212" t="s">
        <v>86</v>
      </c>
      <c r="L212" t="s">
        <v>87</v>
      </c>
      <c r="M212" t="s">
        <v>184</v>
      </c>
      <c r="N212" t="s">
        <v>89</v>
      </c>
      <c r="O212" t="s">
        <v>89</v>
      </c>
      <c r="P212" t="s">
        <v>90</v>
      </c>
      <c r="Q212" t="s">
        <v>114</v>
      </c>
      <c r="R212">
        <v>5</v>
      </c>
      <c r="S212">
        <v>6</v>
      </c>
      <c r="T212">
        <v>1925</v>
      </c>
      <c r="U212">
        <v>1950</v>
      </c>
      <c r="V212" t="s">
        <v>92</v>
      </c>
      <c r="W212" t="s">
        <v>93</v>
      </c>
      <c r="X212" t="s">
        <v>202</v>
      </c>
      <c r="Y212" t="s">
        <v>202</v>
      </c>
      <c r="Z212" t="s">
        <v>116</v>
      </c>
      <c r="AA212">
        <v>0</v>
      </c>
      <c r="AB212" t="s">
        <v>97</v>
      </c>
      <c r="AC212" t="s">
        <v>97</v>
      </c>
      <c r="AD212" t="s">
        <v>117</v>
      </c>
      <c r="AE212" t="s">
        <v>97</v>
      </c>
      <c r="AF212" t="s">
        <v>97</v>
      </c>
      <c r="AG212" t="s">
        <v>99</v>
      </c>
      <c r="AH212" t="s">
        <v>152</v>
      </c>
      <c r="AI212">
        <v>468</v>
      </c>
      <c r="AJ212" t="s">
        <v>101</v>
      </c>
      <c r="AK212">
        <v>0</v>
      </c>
      <c r="AL212">
        <v>396</v>
      </c>
      <c r="AM212">
        <v>864</v>
      </c>
      <c r="AN212" t="s">
        <v>102</v>
      </c>
      <c r="AO212" t="s">
        <v>97</v>
      </c>
      <c r="AP212" t="s">
        <v>176</v>
      </c>
      <c r="AQ212" t="s">
        <v>163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97</v>
      </c>
      <c r="BC212">
        <v>5</v>
      </c>
      <c r="BD212" t="s">
        <v>106</v>
      </c>
      <c r="BE212">
        <v>0</v>
      </c>
      <c r="BJ212">
        <v>0</v>
      </c>
      <c r="BK212">
        <v>0</v>
      </c>
      <c r="BN212" t="s">
        <v>104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X212">
        <v>0</v>
      </c>
      <c r="BY212">
        <v>4</v>
      </c>
      <c r="BZ212">
        <v>2008</v>
      </c>
      <c r="CA212" t="s">
        <v>109</v>
      </c>
      <c r="CB212" t="s">
        <v>110</v>
      </c>
      <c r="CC212">
        <v>98000</v>
      </c>
    </row>
    <row r="213" spans="1:81" x14ac:dyDescent="0.3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H213" t="s">
        <v>83</v>
      </c>
      <c r="I213" t="s">
        <v>84</v>
      </c>
      <c r="J213" t="s">
        <v>85</v>
      </c>
      <c r="K213" t="s">
        <v>121</v>
      </c>
      <c r="L213" t="s">
        <v>87</v>
      </c>
      <c r="M213" t="s">
        <v>184</v>
      </c>
      <c r="N213" t="s">
        <v>89</v>
      </c>
      <c r="O213" t="s">
        <v>89</v>
      </c>
      <c r="P213" t="s">
        <v>90</v>
      </c>
      <c r="Q213" t="s">
        <v>114</v>
      </c>
      <c r="R213">
        <v>6</v>
      </c>
      <c r="S213">
        <v>5</v>
      </c>
      <c r="T213">
        <v>2009</v>
      </c>
      <c r="U213">
        <v>2009</v>
      </c>
      <c r="V213" t="s">
        <v>92</v>
      </c>
      <c r="W213" t="s">
        <v>93</v>
      </c>
      <c r="X213" t="s">
        <v>94</v>
      </c>
      <c r="Y213" t="s">
        <v>94</v>
      </c>
      <c r="Z213" t="s">
        <v>116</v>
      </c>
      <c r="AA213">
        <v>0</v>
      </c>
      <c r="AB213" t="s">
        <v>97</v>
      </c>
      <c r="AC213" t="s">
        <v>97</v>
      </c>
      <c r="AD213" t="s">
        <v>98</v>
      </c>
      <c r="AE213" t="s">
        <v>96</v>
      </c>
      <c r="AF213" t="s">
        <v>97</v>
      </c>
      <c r="AG213" t="s">
        <v>120</v>
      </c>
      <c r="AH213" t="s">
        <v>100</v>
      </c>
      <c r="AI213">
        <v>36</v>
      </c>
      <c r="AJ213" t="s">
        <v>101</v>
      </c>
      <c r="AK213">
        <v>0</v>
      </c>
      <c r="AL213">
        <v>1176</v>
      </c>
      <c r="AM213">
        <v>1212</v>
      </c>
      <c r="AN213" t="s">
        <v>102</v>
      </c>
      <c r="AO213" t="s">
        <v>103</v>
      </c>
      <c r="AP213" t="s">
        <v>104</v>
      </c>
      <c r="AQ213" t="s">
        <v>105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96</v>
      </c>
      <c r="BC213">
        <v>6</v>
      </c>
      <c r="BD213" t="s">
        <v>106</v>
      </c>
      <c r="BE213">
        <v>0</v>
      </c>
      <c r="BG213" t="s">
        <v>107</v>
      </c>
      <c r="BH213">
        <v>2009</v>
      </c>
      <c r="BI213" t="s">
        <v>108</v>
      </c>
      <c r="BJ213">
        <v>2</v>
      </c>
      <c r="BK213">
        <v>460</v>
      </c>
      <c r="BL213" t="s">
        <v>97</v>
      </c>
      <c r="BM213" t="s">
        <v>97</v>
      </c>
      <c r="BN213" t="s">
        <v>104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X213">
        <v>0</v>
      </c>
      <c r="BY213">
        <v>3</v>
      </c>
      <c r="BZ213">
        <v>2010</v>
      </c>
      <c r="CA213" t="s">
        <v>109</v>
      </c>
      <c r="CB213" t="s">
        <v>110</v>
      </c>
      <c r="CC213">
        <v>186000</v>
      </c>
    </row>
    <row r="214" spans="1:81" x14ac:dyDescent="0.3">
      <c r="A214">
        <v>213</v>
      </c>
      <c r="B214">
        <v>60</v>
      </c>
      <c r="C214" t="s">
        <v>191</v>
      </c>
      <c r="D214">
        <v>72</v>
      </c>
      <c r="E214">
        <v>8640</v>
      </c>
      <c r="F214" t="s">
        <v>82</v>
      </c>
      <c r="H214" t="s">
        <v>83</v>
      </c>
      <c r="I214" t="s">
        <v>84</v>
      </c>
      <c r="J214" t="s">
        <v>85</v>
      </c>
      <c r="K214" t="s">
        <v>86</v>
      </c>
      <c r="L214" t="s">
        <v>87</v>
      </c>
      <c r="M214" t="s">
        <v>135</v>
      </c>
      <c r="N214" t="s">
        <v>89</v>
      </c>
      <c r="O214" t="s">
        <v>89</v>
      </c>
      <c r="P214" t="s">
        <v>90</v>
      </c>
      <c r="Q214" t="s">
        <v>91</v>
      </c>
      <c r="R214">
        <v>7</v>
      </c>
      <c r="S214">
        <v>5</v>
      </c>
      <c r="T214">
        <v>2009</v>
      </c>
      <c r="U214">
        <v>2009</v>
      </c>
      <c r="V214" t="s">
        <v>92</v>
      </c>
      <c r="W214" t="s">
        <v>93</v>
      </c>
      <c r="X214" t="s">
        <v>94</v>
      </c>
      <c r="Y214" t="s">
        <v>94</v>
      </c>
      <c r="Z214" t="s">
        <v>116</v>
      </c>
      <c r="AA214">
        <v>0</v>
      </c>
      <c r="AB214" t="s">
        <v>97</v>
      </c>
      <c r="AC214" t="s">
        <v>97</v>
      </c>
      <c r="AD214" t="s">
        <v>98</v>
      </c>
      <c r="AE214" t="s">
        <v>96</v>
      </c>
      <c r="AF214" t="s">
        <v>97</v>
      </c>
      <c r="AG214" t="s">
        <v>99</v>
      </c>
      <c r="AH214" t="s">
        <v>100</v>
      </c>
      <c r="AI214">
        <v>822</v>
      </c>
      <c r="AJ214" t="s">
        <v>101</v>
      </c>
      <c r="AK214">
        <v>0</v>
      </c>
      <c r="AL214">
        <v>78</v>
      </c>
      <c r="AM214">
        <v>900</v>
      </c>
      <c r="AN214" t="s">
        <v>102</v>
      </c>
      <c r="AO214" t="s">
        <v>103</v>
      </c>
      <c r="AP214" t="s">
        <v>104</v>
      </c>
      <c r="AQ214" t="s">
        <v>105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96</v>
      </c>
      <c r="BC214">
        <v>7</v>
      </c>
      <c r="BD214" t="s">
        <v>106</v>
      </c>
      <c r="BE214">
        <v>1</v>
      </c>
      <c r="BF214" t="s">
        <v>97</v>
      </c>
      <c r="BG214" t="s">
        <v>107</v>
      </c>
      <c r="BH214">
        <v>2009</v>
      </c>
      <c r="BI214" t="s">
        <v>108</v>
      </c>
      <c r="BJ214">
        <v>2</v>
      </c>
      <c r="BK214">
        <v>644</v>
      </c>
      <c r="BL214" t="s">
        <v>97</v>
      </c>
      <c r="BM214" t="s">
        <v>97</v>
      </c>
      <c r="BN214" t="s">
        <v>104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X214">
        <v>0</v>
      </c>
      <c r="BY214">
        <v>7</v>
      </c>
      <c r="BZ214">
        <v>2009</v>
      </c>
      <c r="CA214" t="s">
        <v>157</v>
      </c>
      <c r="CB214" t="s">
        <v>158</v>
      </c>
      <c r="CC214">
        <v>252678</v>
      </c>
    </row>
    <row r="215" spans="1:81" x14ac:dyDescent="0.3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H215" t="s">
        <v>159</v>
      </c>
      <c r="I215" t="s">
        <v>84</v>
      </c>
      <c r="J215" t="s">
        <v>85</v>
      </c>
      <c r="K215" t="s">
        <v>165</v>
      </c>
      <c r="L215" t="s">
        <v>87</v>
      </c>
      <c r="M215" t="s">
        <v>88</v>
      </c>
      <c r="N215" t="s">
        <v>89</v>
      </c>
      <c r="O215" t="s">
        <v>89</v>
      </c>
      <c r="P215" t="s">
        <v>90</v>
      </c>
      <c r="Q215" t="s">
        <v>114</v>
      </c>
      <c r="R215">
        <v>5</v>
      </c>
      <c r="S215">
        <v>5</v>
      </c>
      <c r="T215">
        <v>1995</v>
      </c>
      <c r="U215">
        <v>1995</v>
      </c>
      <c r="V215" t="s">
        <v>92</v>
      </c>
      <c r="W215" t="s">
        <v>93</v>
      </c>
      <c r="X215" t="s">
        <v>94</v>
      </c>
      <c r="Y215" t="s">
        <v>94</v>
      </c>
      <c r="Z215" t="s">
        <v>116</v>
      </c>
      <c r="AA215">
        <v>0</v>
      </c>
      <c r="AB215" t="s">
        <v>97</v>
      </c>
      <c r="AC215" t="s">
        <v>97</v>
      </c>
      <c r="AD215" t="s">
        <v>98</v>
      </c>
      <c r="AE215" t="s">
        <v>96</v>
      </c>
      <c r="AF215" t="s">
        <v>97</v>
      </c>
      <c r="AG215" t="s">
        <v>99</v>
      </c>
      <c r="AH215" t="s">
        <v>118</v>
      </c>
      <c r="AI215">
        <v>716</v>
      </c>
      <c r="AJ215" t="s">
        <v>101</v>
      </c>
      <c r="AK215">
        <v>0</v>
      </c>
      <c r="AL215">
        <v>274</v>
      </c>
      <c r="AM215">
        <v>990</v>
      </c>
      <c r="AN215" t="s">
        <v>102</v>
      </c>
      <c r="AO215" t="s">
        <v>103</v>
      </c>
      <c r="AP215" t="s">
        <v>104</v>
      </c>
      <c r="AQ215" t="s">
        <v>105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97</v>
      </c>
      <c r="BC215">
        <v>5</v>
      </c>
      <c r="BD215" t="s">
        <v>106</v>
      </c>
      <c r="BE215">
        <v>0</v>
      </c>
      <c r="BG215" t="s">
        <v>107</v>
      </c>
      <c r="BH215">
        <v>1996</v>
      </c>
      <c r="BI215" t="s">
        <v>101</v>
      </c>
      <c r="BJ215">
        <v>2</v>
      </c>
      <c r="BK215">
        <v>576</v>
      </c>
      <c r="BL215" t="s">
        <v>97</v>
      </c>
      <c r="BM215" t="s">
        <v>97</v>
      </c>
      <c r="BN215" t="s">
        <v>104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X215">
        <v>0</v>
      </c>
      <c r="BY215">
        <v>7</v>
      </c>
      <c r="BZ215">
        <v>2006</v>
      </c>
      <c r="CA215" t="s">
        <v>109</v>
      </c>
      <c r="CB215" t="s">
        <v>110</v>
      </c>
      <c r="CC215">
        <v>156000</v>
      </c>
    </row>
    <row r="216" spans="1:81" x14ac:dyDescent="0.3">
      <c r="A216">
        <v>215</v>
      </c>
      <c r="B216">
        <v>60</v>
      </c>
      <c r="C216" t="s">
        <v>81</v>
      </c>
      <c r="E216">
        <v>10900</v>
      </c>
      <c r="F216" t="s">
        <v>82</v>
      </c>
      <c r="H216" t="s">
        <v>119</v>
      </c>
      <c r="I216" t="s">
        <v>84</v>
      </c>
      <c r="J216" t="s">
        <v>85</v>
      </c>
      <c r="K216" t="s">
        <v>111</v>
      </c>
      <c r="L216" t="s">
        <v>87</v>
      </c>
      <c r="M216" t="s">
        <v>88</v>
      </c>
      <c r="N216" t="s">
        <v>89</v>
      </c>
      <c r="O216" t="s">
        <v>89</v>
      </c>
      <c r="P216" t="s">
        <v>90</v>
      </c>
      <c r="Q216" t="s">
        <v>91</v>
      </c>
      <c r="R216">
        <v>6</v>
      </c>
      <c r="S216">
        <v>7</v>
      </c>
      <c r="T216">
        <v>1977</v>
      </c>
      <c r="U216">
        <v>1977</v>
      </c>
      <c r="V216" t="s">
        <v>92</v>
      </c>
      <c r="W216" t="s">
        <v>93</v>
      </c>
      <c r="X216" t="s">
        <v>139</v>
      </c>
      <c r="Y216" t="s">
        <v>139</v>
      </c>
      <c r="Z216" t="s">
        <v>95</v>
      </c>
      <c r="AA216">
        <v>153</v>
      </c>
      <c r="AB216" t="s">
        <v>97</v>
      </c>
      <c r="AC216" t="s">
        <v>97</v>
      </c>
      <c r="AD216" t="s">
        <v>117</v>
      </c>
      <c r="AE216" t="s">
        <v>96</v>
      </c>
      <c r="AF216" t="s">
        <v>97</v>
      </c>
      <c r="AG216" t="s">
        <v>99</v>
      </c>
      <c r="AH216" t="s">
        <v>100</v>
      </c>
      <c r="AI216">
        <v>378</v>
      </c>
      <c r="AJ216" t="s">
        <v>101</v>
      </c>
      <c r="AK216">
        <v>0</v>
      </c>
      <c r="AL216">
        <v>311</v>
      </c>
      <c r="AM216">
        <v>689</v>
      </c>
      <c r="AN216" t="s">
        <v>102</v>
      </c>
      <c r="AO216" t="s">
        <v>103</v>
      </c>
      <c r="AP216" t="s">
        <v>104</v>
      </c>
      <c r="AQ216" t="s">
        <v>105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97</v>
      </c>
      <c r="BC216">
        <v>6</v>
      </c>
      <c r="BD216" t="s">
        <v>106</v>
      </c>
      <c r="BE216">
        <v>0</v>
      </c>
      <c r="BG216" t="s">
        <v>107</v>
      </c>
      <c r="BH216">
        <v>1977</v>
      </c>
      <c r="BI216" t="s">
        <v>156</v>
      </c>
      <c r="BJ216">
        <v>1</v>
      </c>
      <c r="BK216">
        <v>299</v>
      </c>
      <c r="BL216" t="s">
        <v>97</v>
      </c>
      <c r="BM216" t="s">
        <v>97</v>
      </c>
      <c r="BN216" t="s">
        <v>104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V216" t="s">
        <v>133</v>
      </c>
      <c r="BW216" t="s">
        <v>134</v>
      </c>
      <c r="BX216">
        <v>450</v>
      </c>
      <c r="BY216">
        <v>3</v>
      </c>
      <c r="BZ216">
        <v>2010</v>
      </c>
      <c r="CA216" t="s">
        <v>109</v>
      </c>
      <c r="CB216" t="s">
        <v>110</v>
      </c>
      <c r="CC216">
        <v>161750</v>
      </c>
    </row>
    <row r="217" spans="1:81" x14ac:dyDescent="0.3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H217" t="s">
        <v>119</v>
      </c>
      <c r="I217" t="s">
        <v>84</v>
      </c>
      <c r="J217" t="s">
        <v>85</v>
      </c>
      <c r="K217" t="s">
        <v>86</v>
      </c>
      <c r="L217" t="s">
        <v>87</v>
      </c>
      <c r="M217" t="s">
        <v>270</v>
      </c>
      <c r="N217" t="s">
        <v>89</v>
      </c>
      <c r="O217" t="s">
        <v>89</v>
      </c>
      <c r="P217" t="s">
        <v>90</v>
      </c>
      <c r="Q217" t="s">
        <v>114</v>
      </c>
      <c r="R217">
        <v>5</v>
      </c>
      <c r="S217">
        <v>6</v>
      </c>
      <c r="T217">
        <v>1957</v>
      </c>
      <c r="U217">
        <v>1996</v>
      </c>
      <c r="V217" t="s">
        <v>92</v>
      </c>
      <c r="W217" t="s">
        <v>93</v>
      </c>
      <c r="X217" t="s">
        <v>139</v>
      </c>
      <c r="Y217" t="s">
        <v>139</v>
      </c>
      <c r="Z217" t="s">
        <v>95</v>
      </c>
      <c r="AA217">
        <v>64</v>
      </c>
      <c r="AB217" t="s">
        <v>97</v>
      </c>
      <c r="AC217" t="s">
        <v>97</v>
      </c>
      <c r="AD217" t="s">
        <v>117</v>
      </c>
      <c r="AE217" t="s">
        <v>97</v>
      </c>
      <c r="AF217" t="s">
        <v>97</v>
      </c>
      <c r="AG217" t="s">
        <v>99</v>
      </c>
      <c r="AH217" t="s">
        <v>140</v>
      </c>
      <c r="AI217">
        <v>360</v>
      </c>
      <c r="AJ217" t="s">
        <v>101</v>
      </c>
      <c r="AK217">
        <v>0</v>
      </c>
      <c r="AL217">
        <v>710</v>
      </c>
      <c r="AM217">
        <v>1070</v>
      </c>
      <c r="AN217" t="s">
        <v>102</v>
      </c>
      <c r="AO217" t="s">
        <v>97</v>
      </c>
      <c r="AP217" t="s">
        <v>104</v>
      </c>
      <c r="AQ217" t="s">
        <v>105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96</v>
      </c>
      <c r="BC217">
        <v>6</v>
      </c>
      <c r="BD217" t="s">
        <v>145</v>
      </c>
      <c r="BE217">
        <v>1</v>
      </c>
      <c r="BF217" t="s">
        <v>146</v>
      </c>
      <c r="BG217" t="s">
        <v>107</v>
      </c>
      <c r="BH217">
        <v>1957</v>
      </c>
      <c r="BI217" t="s">
        <v>101</v>
      </c>
      <c r="BJ217">
        <v>1</v>
      </c>
      <c r="BK217">
        <v>447</v>
      </c>
      <c r="BL217" t="s">
        <v>97</v>
      </c>
      <c r="BM217" t="s">
        <v>97</v>
      </c>
      <c r="BN217" t="s">
        <v>104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V217" t="s">
        <v>133</v>
      </c>
      <c r="BX217">
        <v>0</v>
      </c>
      <c r="BY217">
        <v>5</v>
      </c>
      <c r="BZ217">
        <v>2006</v>
      </c>
      <c r="CA217" t="s">
        <v>109</v>
      </c>
      <c r="CB217" t="s">
        <v>110</v>
      </c>
      <c r="CC217">
        <v>134450</v>
      </c>
    </row>
    <row r="218" spans="1:81" x14ac:dyDescent="0.3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H218" t="s">
        <v>83</v>
      </c>
      <c r="I218" t="s">
        <v>84</v>
      </c>
      <c r="J218" t="s">
        <v>85</v>
      </c>
      <c r="K218" t="s">
        <v>86</v>
      </c>
      <c r="L218" t="s">
        <v>87</v>
      </c>
      <c r="M218" t="s">
        <v>88</v>
      </c>
      <c r="N218" t="s">
        <v>89</v>
      </c>
      <c r="O218" t="s">
        <v>89</v>
      </c>
      <c r="P218" t="s">
        <v>90</v>
      </c>
      <c r="Q218" t="s">
        <v>114</v>
      </c>
      <c r="R218">
        <v>7</v>
      </c>
      <c r="S218">
        <v>5</v>
      </c>
      <c r="T218">
        <v>2004</v>
      </c>
      <c r="U218">
        <v>2004</v>
      </c>
      <c r="V218" t="s">
        <v>92</v>
      </c>
      <c r="W218" t="s">
        <v>93</v>
      </c>
      <c r="X218" t="s">
        <v>94</v>
      </c>
      <c r="Y218" t="s">
        <v>94</v>
      </c>
      <c r="Z218" t="s">
        <v>95</v>
      </c>
      <c r="AA218">
        <v>266</v>
      </c>
      <c r="AB218" t="s">
        <v>96</v>
      </c>
      <c r="AC218" t="s">
        <v>97</v>
      </c>
      <c r="AD218" t="s">
        <v>98</v>
      </c>
      <c r="AE218" t="s">
        <v>96</v>
      </c>
      <c r="AF218" t="s">
        <v>97</v>
      </c>
      <c r="AG218" t="s">
        <v>120</v>
      </c>
      <c r="AH218" t="s">
        <v>100</v>
      </c>
      <c r="AI218">
        <v>946</v>
      </c>
      <c r="AJ218" t="s">
        <v>101</v>
      </c>
      <c r="AK218">
        <v>0</v>
      </c>
      <c r="AL218">
        <v>490</v>
      </c>
      <c r="AM218">
        <v>1436</v>
      </c>
      <c r="AN218" t="s">
        <v>102</v>
      </c>
      <c r="AO218" t="s">
        <v>103</v>
      </c>
      <c r="AP218" t="s">
        <v>104</v>
      </c>
      <c r="AQ218" t="s">
        <v>105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96</v>
      </c>
      <c r="BC218">
        <v>8</v>
      </c>
      <c r="BD218" t="s">
        <v>106</v>
      </c>
      <c r="BE218">
        <v>0</v>
      </c>
      <c r="BG218" t="s">
        <v>107</v>
      </c>
      <c r="BH218">
        <v>2004</v>
      </c>
      <c r="BI218" t="s">
        <v>101</v>
      </c>
      <c r="BJ218">
        <v>2</v>
      </c>
      <c r="BK218">
        <v>484</v>
      </c>
      <c r="BL218" t="s">
        <v>97</v>
      </c>
      <c r="BM218" t="s">
        <v>97</v>
      </c>
      <c r="BN218" t="s">
        <v>104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X218">
        <v>0</v>
      </c>
      <c r="BY218">
        <v>4</v>
      </c>
      <c r="BZ218">
        <v>2008</v>
      </c>
      <c r="CA218" t="s">
        <v>109</v>
      </c>
      <c r="CB218" t="s">
        <v>110</v>
      </c>
      <c r="CC218">
        <v>210000</v>
      </c>
    </row>
    <row r="219" spans="1:81" x14ac:dyDescent="0.3">
      <c r="A219">
        <v>218</v>
      </c>
      <c r="B219">
        <v>70</v>
      </c>
      <c r="C219" t="s">
        <v>141</v>
      </c>
      <c r="D219">
        <v>57</v>
      </c>
      <c r="E219">
        <v>9906</v>
      </c>
      <c r="F219" t="s">
        <v>82</v>
      </c>
      <c r="G219" t="s">
        <v>173</v>
      </c>
      <c r="H219" t="s">
        <v>83</v>
      </c>
      <c r="I219" t="s">
        <v>84</v>
      </c>
      <c r="J219" t="s">
        <v>85</v>
      </c>
      <c r="K219" t="s">
        <v>86</v>
      </c>
      <c r="L219" t="s">
        <v>87</v>
      </c>
      <c r="M219" t="s">
        <v>142</v>
      </c>
      <c r="N219" t="s">
        <v>89</v>
      </c>
      <c r="O219" t="s">
        <v>89</v>
      </c>
      <c r="P219" t="s">
        <v>90</v>
      </c>
      <c r="Q219" t="s">
        <v>91</v>
      </c>
      <c r="R219">
        <v>4</v>
      </c>
      <c r="S219">
        <v>4</v>
      </c>
      <c r="T219">
        <v>1925</v>
      </c>
      <c r="U219">
        <v>1950</v>
      </c>
      <c r="V219" t="s">
        <v>92</v>
      </c>
      <c r="W219" t="s">
        <v>93</v>
      </c>
      <c r="X219" t="s">
        <v>115</v>
      </c>
      <c r="Y219" t="s">
        <v>115</v>
      </c>
      <c r="Z219" t="s">
        <v>116</v>
      </c>
      <c r="AA219">
        <v>0</v>
      </c>
      <c r="AB219" t="s">
        <v>97</v>
      </c>
      <c r="AC219" t="s">
        <v>97</v>
      </c>
      <c r="AD219" t="s">
        <v>117</v>
      </c>
      <c r="AE219" t="s">
        <v>97</v>
      </c>
      <c r="AF219" t="s">
        <v>97</v>
      </c>
      <c r="AG219" t="s">
        <v>99</v>
      </c>
      <c r="AH219" t="s">
        <v>101</v>
      </c>
      <c r="AI219">
        <v>0</v>
      </c>
      <c r="AJ219" t="s">
        <v>101</v>
      </c>
      <c r="AK219">
        <v>0</v>
      </c>
      <c r="AL219">
        <v>686</v>
      </c>
      <c r="AM219">
        <v>686</v>
      </c>
      <c r="AN219" t="s">
        <v>102</v>
      </c>
      <c r="AO219" t="s">
        <v>146</v>
      </c>
      <c r="AP219" t="s">
        <v>176</v>
      </c>
      <c r="AQ219" t="s">
        <v>105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97</v>
      </c>
      <c r="BC219">
        <v>8</v>
      </c>
      <c r="BD219" t="s">
        <v>106</v>
      </c>
      <c r="BE219">
        <v>0</v>
      </c>
      <c r="BG219" t="s">
        <v>126</v>
      </c>
      <c r="BH219">
        <v>1940</v>
      </c>
      <c r="BI219" t="s">
        <v>101</v>
      </c>
      <c r="BJ219">
        <v>1</v>
      </c>
      <c r="BK219">
        <v>210</v>
      </c>
      <c r="BL219" t="s">
        <v>97</v>
      </c>
      <c r="BM219" t="s">
        <v>97</v>
      </c>
      <c r="BN219" t="s">
        <v>104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X219">
        <v>0</v>
      </c>
      <c r="BY219">
        <v>9</v>
      </c>
      <c r="BZ219">
        <v>2006</v>
      </c>
      <c r="CA219" t="s">
        <v>109</v>
      </c>
      <c r="CB219" t="s">
        <v>218</v>
      </c>
      <c r="CC219">
        <v>107000</v>
      </c>
    </row>
    <row r="220" spans="1:81" x14ac:dyDescent="0.3">
      <c r="A220">
        <v>219</v>
      </c>
      <c r="B220">
        <v>50</v>
      </c>
      <c r="C220" t="s">
        <v>81</v>
      </c>
      <c r="E220">
        <v>15660</v>
      </c>
      <c r="F220" t="s">
        <v>82</v>
      </c>
      <c r="H220" t="s">
        <v>119</v>
      </c>
      <c r="I220" t="s">
        <v>84</v>
      </c>
      <c r="J220" t="s">
        <v>85</v>
      </c>
      <c r="K220" t="s">
        <v>121</v>
      </c>
      <c r="L220" t="s">
        <v>87</v>
      </c>
      <c r="M220" t="s">
        <v>122</v>
      </c>
      <c r="N220" t="s">
        <v>89</v>
      </c>
      <c r="O220" t="s">
        <v>89</v>
      </c>
      <c r="P220" t="s">
        <v>90</v>
      </c>
      <c r="Q220" t="s">
        <v>131</v>
      </c>
      <c r="R220">
        <v>7</v>
      </c>
      <c r="S220">
        <v>9</v>
      </c>
      <c r="T220">
        <v>1939</v>
      </c>
      <c r="U220">
        <v>2006</v>
      </c>
      <c r="V220" t="s">
        <v>92</v>
      </c>
      <c r="W220" t="s">
        <v>93</v>
      </c>
      <c r="X220" t="s">
        <v>94</v>
      </c>
      <c r="Y220" t="s">
        <v>94</v>
      </c>
      <c r="Z220" t="s">
        <v>95</v>
      </c>
      <c r="AA220">
        <v>312</v>
      </c>
      <c r="AB220" t="s">
        <v>96</v>
      </c>
      <c r="AC220" t="s">
        <v>96</v>
      </c>
      <c r="AD220" t="s">
        <v>117</v>
      </c>
      <c r="AE220" t="s">
        <v>97</v>
      </c>
      <c r="AF220" t="s">
        <v>97</v>
      </c>
      <c r="AG220" t="s">
        <v>99</v>
      </c>
      <c r="AH220" t="s">
        <v>140</v>
      </c>
      <c r="AI220">
        <v>341</v>
      </c>
      <c r="AJ220" t="s">
        <v>101</v>
      </c>
      <c r="AK220">
        <v>0</v>
      </c>
      <c r="AL220">
        <v>457</v>
      </c>
      <c r="AM220">
        <v>798</v>
      </c>
      <c r="AN220" t="s">
        <v>102</v>
      </c>
      <c r="AO220" t="s">
        <v>103</v>
      </c>
      <c r="AP220" t="s">
        <v>104</v>
      </c>
      <c r="AQ220" t="s">
        <v>105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96</v>
      </c>
      <c r="BC220">
        <v>8</v>
      </c>
      <c r="BD220" t="s">
        <v>106</v>
      </c>
      <c r="BE220">
        <v>2</v>
      </c>
      <c r="BF220" t="s">
        <v>97</v>
      </c>
      <c r="BG220" t="s">
        <v>107</v>
      </c>
      <c r="BH220">
        <v>1939</v>
      </c>
      <c r="BI220" t="s">
        <v>101</v>
      </c>
      <c r="BJ220">
        <v>2</v>
      </c>
      <c r="BK220">
        <v>431</v>
      </c>
      <c r="BL220" t="s">
        <v>97</v>
      </c>
      <c r="BM220" t="s">
        <v>97</v>
      </c>
      <c r="BN220" t="s">
        <v>104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X220">
        <v>0</v>
      </c>
      <c r="BY220">
        <v>5</v>
      </c>
      <c r="BZ220">
        <v>2008</v>
      </c>
      <c r="CA220" t="s">
        <v>109</v>
      </c>
      <c r="CB220" t="s">
        <v>110</v>
      </c>
      <c r="CC220">
        <v>311500</v>
      </c>
    </row>
    <row r="221" spans="1:81" x14ac:dyDescent="0.3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H221" t="s">
        <v>83</v>
      </c>
      <c r="I221" t="s">
        <v>84</v>
      </c>
      <c r="J221" t="s">
        <v>85</v>
      </c>
      <c r="K221" t="s">
        <v>86</v>
      </c>
      <c r="L221" t="s">
        <v>87</v>
      </c>
      <c r="M221" t="s">
        <v>226</v>
      </c>
      <c r="N221" t="s">
        <v>89</v>
      </c>
      <c r="O221" t="s">
        <v>89</v>
      </c>
      <c r="P221" t="s">
        <v>178</v>
      </c>
      <c r="Q221" t="s">
        <v>114</v>
      </c>
      <c r="R221">
        <v>7</v>
      </c>
      <c r="S221">
        <v>5</v>
      </c>
      <c r="T221">
        <v>2005</v>
      </c>
      <c r="U221">
        <v>2006</v>
      </c>
      <c r="V221" t="s">
        <v>92</v>
      </c>
      <c r="W221" t="s">
        <v>93</v>
      </c>
      <c r="X221" t="s">
        <v>94</v>
      </c>
      <c r="Y221" t="s">
        <v>94</v>
      </c>
      <c r="Z221" t="s">
        <v>95</v>
      </c>
      <c r="AA221">
        <v>16</v>
      </c>
      <c r="AB221" t="s">
        <v>96</v>
      </c>
      <c r="AC221" t="s">
        <v>97</v>
      </c>
      <c r="AD221" t="s">
        <v>98</v>
      </c>
      <c r="AE221" t="s">
        <v>96</v>
      </c>
      <c r="AF221" t="s">
        <v>97</v>
      </c>
      <c r="AG221" t="s">
        <v>129</v>
      </c>
      <c r="AH221" t="s">
        <v>100</v>
      </c>
      <c r="AI221">
        <v>16</v>
      </c>
      <c r="AJ221" t="s">
        <v>101</v>
      </c>
      <c r="AK221">
        <v>0</v>
      </c>
      <c r="AL221">
        <v>1232</v>
      </c>
      <c r="AM221">
        <v>1248</v>
      </c>
      <c r="AN221" t="s">
        <v>102</v>
      </c>
      <c r="AO221" t="s">
        <v>103</v>
      </c>
      <c r="AP221" t="s">
        <v>104</v>
      </c>
      <c r="AQ221" t="s">
        <v>105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96</v>
      </c>
      <c r="BC221">
        <v>5</v>
      </c>
      <c r="BD221" t="s">
        <v>106</v>
      </c>
      <c r="BE221">
        <v>0</v>
      </c>
      <c r="BG221" t="s">
        <v>107</v>
      </c>
      <c r="BH221">
        <v>2005</v>
      </c>
      <c r="BI221" t="s">
        <v>156</v>
      </c>
      <c r="BJ221">
        <v>2</v>
      </c>
      <c r="BK221">
        <v>438</v>
      </c>
      <c r="BL221" t="s">
        <v>97</v>
      </c>
      <c r="BM221" t="s">
        <v>97</v>
      </c>
      <c r="BN221" t="s">
        <v>104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X221">
        <v>0</v>
      </c>
      <c r="BY221">
        <v>3</v>
      </c>
      <c r="BZ221">
        <v>2006</v>
      </c>
      <c r="CA221" t="s">
        <v>157</v>
      </c>
      <c r="CB221" t="s">
        <v>158</v>
      </c>
      <c r="CC221">
        <v>167240</v>
      </c>
    </row>
    <row r="222" spans="1:81" x14ac:dyDescent="0.3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H222" t="s">
        <v>119</v>
      </c>
      <c r="I222" t="s">
        <v>84</v>
      </c>
      <c r="J222" t="s">
        <v>85</v>
      </c>
      <c r="K222" t="s">
        <v>86</v>
      </c>
      <c r="L222" t="s">
        <v>87</v>
      </c>
      <c r="M222" t="s">
        <v>88</v>
      </c>
      <c r="N222" t="s">
        <v>89</v>
      </c>
      <c r="O222" t="s">
        <v>89</v>
      </c>
      <c r="P222" t="s">
        <v>90</v>
      </c>
      <c r="Q222" t="s">
        <v>114</v>
      </c>
      <c r="R222">
        <v>7</v>
      </c>
      <c r="S222">
        <v>5</v>
      </c>
      <c r="T222">
        <v>2006</v>
      </c>
      <c r="U222">
        <v>2006</v>
      </c>
      <c r="V222" t="s">
        <v>92</v>
      </c>
      <c r="W222" t="s">
        <v>93</v>
      </c>
      <c r="X222" t="s">
        <v>94</v>
      </c>
      <c r="Y222" t="s">
        <v>94</v>
      </c>
      <c r="Z222" t="s">
        <v>116</v>
      </c>
      <c r="AA222">
        <v>0</v>
      </c>
      <c r="AB222" t="s">
        <v>96</v>
      </c>
      <c r="AC222" t="s">
        <v>97</v>
      </c>
      <c r="AD222" t="s">
        <v>98</v>
      </c>
      <c r="AE222" t="s">
        <v>96</v>
      </c>
      <c r="AF222" t="s">
        <v>97</v>
      </c>
      <c r="AG222" t="s">
        <v>120</v>
      </c>
      <c r="AH222" t="s">
        <v>101</v>
      </c>
      <c r="AI222">
        <v>0</v>
      </c>
      <c r="AJ222" t="s">
        <v>101</v>
      </c>
      <c r="AK222">
        <v>0</v>
      </c>
      <c r="AL222">
        <v>1498</v>
      </c>
      <c r="AM222">
        <v>1498</v>
      </c>
      <c r="AN222" t="s">
        <v>102</v>
      </c>
      <c r="AO222" t="s">
        <v>103</v>
      </c>
      <c r="AP222" t="s">
        <v>104</v>
      </c>
      <c r="AQ222" t="s">
        <v>105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96</v>
      </c>
      <c r="BC222">
        <v>5</v>
      </c>
      <c r="BD222" t="s">
        <v>106</v>
      </c>
      <c r="BE222">
        <v>0</v>
      </c>
      <c r="BG222" t="s">
        <v>107</v>
      </c>
      <c r="BH222">
        <v>2006</v>
      </c>
      <c r="BI222" t="s">
        <v>108</v>
      </c>
      <c r="BJ222">
        <v>2</v>
      </c>
      <c r="BK222">
        <v>675</v>
      </c>
      <c r="BL222" t="s">
        <v>97</v>
      </c>
      <c r="BM222" t="s">
        <v>97</v>
      </c>
      <c r="BN222" t="s">
        <v>104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X222">
        <v>0</v>
      </c>
      <c r="BY222">
        <v>4</v>
      </c>
      <c r="BZ222">
        <v>2006</v>
      </c>
      <c r="CA222" t="s">
        <v>157</v>
      </c>
      <c r="CB222" t="s">
        <v>158</v>
      </c>
      <c r="CC222">
        <v>204900</v>
      </c>
    </row>
    <row r="223" spans="1:81" x14ac:dyDescent="0.3">
      <c r="A223">
        <v>222</v>
      </c>
      <c r="B223">
        <v>60</v>
      </c>
      <c r="C223" t="s">
        <v>81</v>
      </c>
      <c r="E223">
        <v>8068</v>
      </c>
      <c r="F223" t="s">
        <v>82</v>
      </c>
      <c r="H223" t="s">
        <v>119</v>
      </c>
      <c r="I223" t="s">
        <v>84</v>
      </c>
      <c r="J223" t="s">
        <v>85</v>
      </c>
      <c r="K223" t="s">
        <v>86</v>
      </c>
      <c r="L223" t="s">
        <v>87</v>
      </c>
      <c r="M223" t="s">
        <v>192</v>
      </c>
      <c r="N223" t="s">
        <v>89</v>
      </c>
      <c r="O223" t="s">
        <v>89</v>
      </c>
      <c r="P223" t="s">
        <v>90</v>
      </c>
      <c r="Q223" t="s">
        <v>91</v>
      </c>
      <c r="R223">
        <v>6</v>
      </c>
      <c r="S223">
        <v>5</v>
      </c>
      <c r="T223">
        <v>2002</v>
      </c>
      <c r="U223">
        <v>2002</v>
      </c>
      <c r="V223" t="s">
        <v>92</v>
      </c>
      <c r="W223" t="s">
        <v>93</v>
      </c>
      <c r="X223" t="s">
        <v>94</v>
      </c>
      <c r="Y223" t="s">
        <v>94</v>
      </c>
      <c r="Z223" t="s">
        <v>116</v>
      </c>
      <c r="AA223">
        <v>0</v>
      </c>
      <c r="AB223" t="s">
        <v>96</v>
      </c>
      <c r="AC223" t="s">
        <v>97</v>
      </c>
      <c r="AD223" t="s">
        <v>98</v>
      </c>
      <c r="AE223" t="s">
        <v>96</v>
      </c>
      <c r="AF223" t="s">
        <v>97</v>
      </c>
      <c r="AG223" t="s">
        <v>99</v>
      </c>
      <c r="AH223" t="s">
        <v>101</v>
      </c>
      <c r="AI223">
        <v>0</v>
      </c>
      <c r="AJ223" t="s">
        <v>101</v>
      </c>
      <c r="AK223">
        <v>0</v>
      </c>
      <c r="AL223">
        <v>1010</v>
      </c>
      <c r="AM223">
        <v>1010</v>
      </c>
      <c r="AN223" t="s">
        <v>102</v>
      </c>
      <c r="AO223" t="s">
        <v>103</v>
      </c>
      <c r="AP223" t="s">
        <v>104</v>
      </c>
      <c r="AQ223" t="s">
        <v>105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96</v>
      </c>
      <c r="BC223">
        <v>8</v>
      </c>
      <c r="BD223" t="s">
        <v>106</v>
      </c>
      <c r="BE223">
        <v>1</v>
      </c>
      <c r="BF223" t="s">
        <v>97</v>
      </c>
      <c r="BG223" t="s">
        <v>155</v>
      </c>
      <c r="BH223">
        <v>2002</v>
      </c>
      <c r="BI223" t="s">
        <v>108</v>
      </c>
      <c r="BJ223">
        <v>2</v>
      </c>
      <c r="BK223">
        <v>390</v>
      </c>
      <c r="BL223" t="s">
        <v>97</v>
      </c>
      <c r="BM223" t="s">
        <v>97</v>
      </c>
      <c r="BN223" t="s">
        <v>104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X223">
        <v>0</v>
      </c>
      <c r="BY223">
        <v>12</v>
      </c>
      <c r="BZ223">
        <v>2009</v>
      </c>
      <c r="CA223" t="s">
        <v>219</v>
      </c>
      <c r="CB223" t="s">
        <v>110</v>
      </c>
      <c r="CC223">
        <v>200000</v>
      </c>
    </row>
    <row r="224" spans="1:81" x14ac:dyDescent="0.3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H224" t="s">
        <v>83</v>
      </c>
      <c r="I224" t="s">
        <v>84</v>
      </c>
      <c r="J224" t="s">
        <v>85</v>
      </c>
      <c r="K224" t="s">
        <v>86</v>
      </c>
      <c r="L224" t="s">
        <v>87</v>
      </c>
      <c r="M224" t="s">
        <v>137</v>
      </c>
      <c r="N224" t="s">
        <v>201</v>
      </c>
      <c r="O224" t="s">
        <v>89</v>
      </c>
      <c r="P224" t="s">
        <v>90</v>
      </c>
      <c r="Q224" t="s">
        <v>91</v>
      </c>
      <c r="R224">
        <v>6</v>
      </c>
      <c r="S224">
        <v>6</v>
      </c>
      <c r="T224">
        <v>1975</v>
      </c>
      <c r="U224">
        <v>1975</v>
      </c>
      <c r="V224" t="s">
        <v>92</v>
      </c>
      <c r="W224" t="s">
        <v>93</v>
      </c>
      <c r="X224" t="s">
        <v>94</v>
      </c>
      <c r="Y224" t="s">
        <v>94</v>
      </c>
      <c r="Z224" t="s">
        <v>116</v>
      </c>
      <c r="AA224">
        <v>0</v>
      </c>
      <c r="AB224" t="s">
        <v>97</v>
      </c>
      <c r="AC224" t="s">
        <v>97</v>
      </c>
      <c r="AD224" t="s">
        <v>117</v>
      </c>
      <c r="AE224" t="s">
        <v>96</v>
      </c>
      <c r="AF224" t="s">
        <v>97</v>
      </c>
      <c r="AG224" t="s">
        <v>99</v>
      </c>
      <c r="AH224" t="s">
        <v>118</v>
      </c>
      <c r="AI224">
        <v>550</v>
      </c>
      <c r="AJ224" t="s">
        <v>101</v>
      </c>
      <c r="AK224">
        <v>0</v>
      </c>
      <c r="AL224">
        <v>163</v>
      </c>
      <c r="AM224">
        <v>713</v>
      </c>
      <c r="AN224" t="s">
        <v>102</v>
      </c>
      <c r="AO224" t="s">
        <v>97</v>
      </c>
      <c r="AP224" t="s">
        <v>104</v>
      </c>
      <c r="AQ224" t="s">
        <v>105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97</v>
      </c>
      <c r="BC224">
        <v>6</v>
      </c>
      <c r="BD224" t="s">
        <v>106</v>
      </c>
      <c r="BE224">
        <v>1</v>
      </c>
      <c r="BF224" t="s">
        <v>97</v>
      </c>
      <c r="BG224" t="s">
        <v>107</v>
      </c>
      <c r="BH224">
        <v>1975</v>
      </c>
      <c r="BI224" t="s">
        <v>108</v>
      </c>
      <c r="BJ224">
        <v>2</v>
      </c>
      <c r="BK224">
        <v>434</v>
      </c>
      <c r="BL224" t="s">
        <v>97</v>
      </c>
      <c r="BM224" t="s">
        <v>97</v>
      </c>
      <c r="BN224" t="s">
        <v>104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V224" t="s">
        <v>133</v>
      </c>
      <c r="BX224">
        <v>0</v>
      </c>
      <c r="BY224">
        <v>2</v>
      </c>
      <c r="BZ224">
        <v>2006</v>
      </c>
      <c r="CA224" t="s">
        <v>109</v>
      </c>
      <c r="CB224" t="s">
        <v>110</v>
      </c>
      <c r="CC224">
        <v>179900</v>
      </c>
    </row>
    <row r="225" spans="1:81" x14ac:dyDescent="0.3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H225" t="s">
        <v>83</v>
      </c>
      <c r="I225" t="s">
        <v>84</v>
      </c>
      <c r="J225" t="s">
        <v>85</v>
      </c>
      <c r="K225" t="s">
        <v>111</v>
      </c>
      <c r="L225" t="s">
        <v>87</v>
      </c>
      <c r="M225" t="s">
        <v>270</v>
      </c>
      <c r="N225" t="s">
        <v>89</v>
      </c>
      <c r="O225" t="s">
        <v>89</v>
      </c>
      <c r="P225" t="s">
        <v>90</v>
      </c>
      <c r="Q225" t="s">
        <v>114</v>
      </c>
      <c r="R225">
        <v>4</v>
      </c>
      <c r="S225">
        <v>6</v>
      </c>
      <c r="T225">
        <v>1971</v>
      </c>
      <c r="U225">
        <v>1971</v>
      </c>
      <c r="V225" t="s">
        <v>92</v>
      </c>
      <c r="W225" t="s">
        <v>93</v>
      </c>
      <c r="X225" t="s">
        <v>139</v>
      </c>
      <c r="Y225" t="s">
        <v>139</v>
      </c>
      <c r="Z225" t="s">
        <v>116</v>
      </c>
      <c r="AA225">
        <v>0</v>
      </c>
      <c r="AB225" t="s">
        <v>97</v>
      </c>
      <c r="AC225" t="s">
        <v>97</v>
      </c>
      <c r="AD225" t="s">
        <v>117</v>
      </c>
      <c r="AE225" t="s">
        <v>97</v>
      </c>
      <c r="AF225" t="s">
        <v>97</v>
      </c>
      <c r="AG225" t="s">
        <v>99</v>
      </c>
      <c r="AH225" t="s">
        <v>118</v>
      </c>
      <c r="AI225">
        <v>524</v>
      </c>
      <c r="AJ225" t="s">
        <v>171</v>
      </c>
      <c r="AK225">
        <v>180</v>
      </c>
      <c r="AL225">
        <v>160</v>
      </c>
      <c r="AM225">
        <v>864</v>
      </c>
      <c r="AN225" t="s">
        <v>102</v>
      </c>
      <c r="AO225" t="s">
        <v>96</v>
      </c>
      <c r="AP225" t="s">
        <v>104</v>
      </c>
      <c r="AQ225" t="s">
        <v>105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97</v>
      </c>
      <c r="BC225">
        <v>4</v>
      </c>
      <c r="BD225" t="s">
        <v>106</v>
      </c>
      <c r="BE225">
        <v>0</v>
      </c>
      <c r="BG225" t="s">
        <v>126</v>
      </c>
      <c r="BH225">
        <v>1989</v>
      </c>
      <c r="BI225" t="s">
        <v>101</v>
      </c>
      <c r="BJ225">
        <v>2</v>
      </c>
      <c r="BK225">
        <v>576</v>
      </c>
      <c r="BL225" t="s">
        <v>97</v>
      </c>
      <c r="BM225" t="s">
        <v>97</v>
      </c>
      <c r="BN225" t="s">
        <v>104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X225">
        <v>0</v>
      </c>
      <c r="BY225">
        <v>3</v>
      </c>
      <c r="BZ225">
        <v>2009</v>
      </c>
      <c r="CA225" t="s">
        <v>109</v>
      </c>
      <c r="CB225" t="s">
        <v>127</v>
      </c>
      <c r="CC225">
        <v>97000</v>
      </c>
    </row>
    <row r="226" spans="1:81" x14ac:dyDescent="0.3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H226" t="s">
        <v>83</v>
      </c>
      <c r="I226" t="s">
        <v>84</v>
      </c>
      <c r="J226" t="s">
        <v>85</v>
      </c>
      <c r="K226" t="s">
        <v>86</v>
      </c>
      <c r="L226" t="s">
        <v>87</v>
      </c>
      <c r="M226" t="s">
        <v>153</v>
      </c>
      <c r="N226" t="s">
        <v>89</v>
      </c>
      <c r="O226" t="s">
        <v>89</v>
      </c>
      <c r="P226" t="s">
        <v>90</v>
      </c>
      <c r="Q226" t="s">
        <v>114</v>
      </c>
      <c r="R226">
        <v>10</v>
      </c>
      <c r="S226">
        <v>5</v>
      </c>
      <c r="T226">
        <v>2003</v>
      </c>
      <c r="U226">
        <v>2003</v>
      </c>
      <c r="V226" t="s">
        <v>151</v>
      </c>
      <c r="W226" t="s">
        <v>93</v>
      </c>
      <c r="X226" t="s">
        <v>94</v>
      </c>
      <c r="Y226" t="s">
        <v>94</v>
      </c>
      <c r="Z226" t="s">
        <v>95</v>
      </c>
      <c r="AA226">
        <v>922</v>
      </c>
      <c r="AB226" t="s">
        <v>103</v>
      </c>
      <c r="AC226" t="s">
        <v>97</v>
      </c>
      <c r="AD226" t="s">
        <v>98</v>
      </c>
      <c r="AE226" t="s">
        <v>103</v>
      </c>
      <c r="AF226" t="s">
        <v>97</v>
      </c>
      <c r="AG226" t="s">
        <v>96</v>
      </c>
      <c r="AH226" t="s">
        <v>100</v>
      </c>
      <c r="AI226">
        <v>56</v>
      </c>
      <c r="AJ226" t="s">
        <v>101</v>
      </c>
      <c r="AK226">
        <v>0</v>
      </c>
      <c r="AL226">
        <v>2336</v>
      </c>
      <c r="AM226">
        <v>2392</v>
      </c>
      <c r="AN226" t="s">
        <v>102</v>
      </c>
      <c r="AO226" t="s">
        <v>103</v>
      </c>
      <c r="AP226" t="s">
        <v>104</v>
      </c>
      <c r="AQ226" t="s">
        <v>105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103</v>
      </c>
      <c r="BC226">
        <v>8</v>
      </c>
      <c r="BD226" t="s">
        <v>106</v>
      </c>
      <c r="BE226">
        <v>1</v>
      </c>
      <c r="BF226" t="s">
        <v>103</v>
      </c>
      <c r="BG226" t="s">
        <v>107</v>
      </c>
      <c r="BH226">
        <v>2003</v>
      </c>
      <c r="BI226" t="s">
        <v>156</v>
      </c>
      <c r="BJ226">
        <v>3</v>
      </c>
      <c r="BK226">
        <v>968</v>
      </c>
      <c r="BL226" t="s">
        <v>97</v>
      </c>
      <c r="BM226" t="s">
        <v>97</v>
      </c>
      <c r="BN226" t="s">
        <v>104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X226">
        <v>0</v>
      </c>
      <c r="BY226">
        <v>6</v>
      </c>
      <c r="BZ226">
        <v>2009</v>
      </c>
      <c r="CA226" t="s">
        <v>109</v>
      </c>
      <c r="CB226" t="s">
        <v>110</v>
      </c>
      <c r="CC226">
        <v>386250</v>
      </c>
    </row>
    <row r="227" spans="1:81" x14ac:dyDescent="0.3">
      <c r="A227">
        <v>226</v>
      </c>
      <c r="B227">
        <v>160</v>
      </c>
      <c r="C227" t="s">
        <v>141</v>
      </c>
      <c r="D227">
        <v>21</v>
      </c>
      <c r="E227">
        <v>1680</v>
      </c>
      <c r="F227" t="s">
        <v>82</v>
      </c>
      <c r="H227" t="s">
        <v>83</v>
      </c>
      <c r="I227" t="s">
        <v>84</v>
      </c>
      <c r="J227" t="s">
        <v>85</v>
      </c>
      <c r="K227" t="s">
        <v>86</v>
      </c>
      <c r="L227" t="s">
        <v>87</v>
      </c>
      <c r="M227" t="s">
        <v>227</v>
      </c>
      <c r="N227" t="s">
        <v>89</v>
      </c>
      <c r="O227" t="s">
        <v>89</v>
      </c>
      <c r="P227" t="s">
        <v>197</v>
      </c>
      <c r="Q227" t="s">
        <v>91</v>
      </c>
      <c r="R227">
        <v>5</v>
      </c>
      <c r="S227">
        <v>5</v>
      </c>
      <c r="T227">
        <v>1971</v>
      </c>
      <c r="U227">
        <v>1971</v>
      </c>
      <c r="V227" t="s">
        <v>92</v>
      </c>
      <c r="W227" t="s">
        <v>93</v>
      </c>
      <c r="X227" t="s">
        <v>139</v>
      </c>
      <c r="Y227" t="s">
        <v>139</v>
      </c>
      <c r="Z227" t="s">
        <v>95</v>
      </c>
      <c r="AA227">
        <v>142</v>
      </c>
      <c r="AB227" t="s">
        <v>97</v>
      </c>
      <c r="AC227" t="s">
        <v>97</v>
      </c>
      <c r="AD227" t="s">
        <v>117</v>
      </c>
      <c r="AE227" t="s">
        <v>97</v>
      </c>
      <c r="AF227" t="s">
        <v>97</v>
      </c>
      <c r="AG227" t="s">
        <v>99</v>
      </c>
      <c r="AH227" t="s">
        <v>101</v>
      </c>
      <c r="AI227">
        <v>0</v>
      </c>
      <c r="AJ227" t="s">
        <v>101</v>
      </c>
      <c r="AK227">
        <v>0</v>
      </c>
      <c r="AL227">
        <v>630</v>
      </c>
      <c r="AM227">
        <v>630</v>
      </c>
      <c r="AN227" t="s">
        <v>102</v>
      </c>
      <c r="AO227" t="s">
        <v>97</v>
      </c>
      <c r="AP227" t="s">
        <v>104</v>
      </c>
      <c r="AQ227" t="s">
        <v>105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97</v>
      </c>
      <c r="BC227">
        <v>6</v>
      </c>
      <c r="BD227" t="s">
        <v>106</v>
      </c>
      <c r="BE227">
        <v>0</v>
      </c>
      <c r="BG227" t="s">
        <v>126</v>
      </c>
      <c r="BH227">
        <v>1991</v>
      </c>
      <c r="BI227" t="s">
        <v>101</v>
      </c>
      <c r="BJ227">
        <v>1</v>
      </c>
      <c r="BK227">
        <v>280</v>
      </c>
      <c r="BL227" t="s">
        <v>97</v>
      </c>
      <c r="BM227" t="s">
        <v>97</v>
      </c>
      <c r="BN227" t="s">
        <v>104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X227">
        <v>0</v>
      </c>
      <c r="BY227">
        <v>5</v>
      </c>
      <c r="BZ227">
        <v>2009</v>
      </c>
      <c r="CA227" t="s">
        <v>172</v>
      </c>
      <c r="CB227" t="s">
        <v>127</v>
      </c>
      <c r="CC227">
        <v>112000</v>
      </c>
    </row>
    <row r="228" spans="1:81" x14ac:dyDescent="0.3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H228" t="s">
        <v>119</v>
      </c>
      <c r="I228" t="s">
        <v>84</v>
      </c>
      <c r="J228" t="s">
        <v>85</v>
      </c>
      <c r="K228" t="s">
        <v>86</v>
      </c>
      <c r="L228" t="s">
        <v>87</v>
      </c>
      <c r="M228" t="s">
        <v>128</v>
      </c>
      <c r="N228" t="s">
        <v>89</v>
      </c>
      <c r="O228" t="s">
        <v>89</v>
      </c>
      <c r="P228" t="s">
        <v>90</v>
      </c>
      <c r="Q228" t="s">
        <v>91</v>
      </c>
      <c r="R228">
        <v>7</v>
      </c>
      <c r="S228">
        <v>5</v>
      </c>
      <c r="T228">
        <v>1995</v>
      </c>
      <c r="U228">
        <v>1995</v>
      </c>
      <c r="V228" t="s">
        <v>92</v>
      </c>
      <c r="W228" t="s">
        <v>93</v>
      </c>
      <c r="X228" t="s">
        <v>94</v>
      </c>
      <c r="Y228" t="s">
        <v>94</v>
      </c>
      <c r="Z228" t="s">
        <v>95</v>
      </c>
      <c r="AA228">
        <v>290</v>
      </c>
      <c r="AB228" t="s">
        <v>96</v>
      </c>
      <c r="AC228" t="s">
        <v>97</v>
      </c>
      <c r="AD228" t="s">
        <v>98</v>
      </c>
      <c r="AE228" t="s">
        <v>96</v>
      </c>
      <c r="AF228" t="s">
        <v>97</v>
      </c>
      <c r="AG228" t="s">
        <v>99</v>
      </c>
      <c r="AH228" t="s">
        <v>100</v>
      </c>
      <c r="AI228">
        <v>565</v>
      </c>
      <c r="AJ228" t="s">
        <v>101</v>
      </c>
      <c r="AK228">
        <v>0</v>
      </c>
      <c r="AL228">
        <v>638</v>
      </c>
      <c r="AM228">
        <v>1203</v>
      </c>
      <c r="AN228" t="s">
        <v>102</v>
      </c>
      <c r="AO228" t="s">
        <v>103</v>
      </c>
      <c r="AP228" t="s">
        <v>104</v>
      </c>
      <c r="AQ228" t="s">
        <v>105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96</v>
      </c>
      <c r="BC228">
        <v>9</v>
      </c>
      <c r="BD228" t="s">
        <v>106</v>
      </c>
      <c r="BE228">
        <v>1</v>
      </c>
      <c r="BF228" t="s">
        <v>97</v>
      </c>
      <c r="BG228" t="s">
        <v>107</v>
      </c>
      <c r="BH228">
        <v>1995</v>
      </c>
      <c r="BI228" t="s">
        <v>108</v>
      </c>
      <c r="BJ228">
        <v>3</v>
      </c>
      <c r="BK228">
        <v>721</v>
      </c>
      <c r="BL228" t="s">
        <v>97</v>
      </c>
      <c r="BM228" t="s">
        <v>97</v>
      </c>
      <c r="BN228" t="s">
        <v>104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X228">
        <v>0</v>
      </c>
      <c r="BY228">
        <v>6</v>
      </c>
      <c r="BZ228">
        <v>2007</v>
      </c>
      <c r="CA228" t="s">
        <v>109</v>
      </c>
      <c r="CB228" t="s">
        <v>127</v>
      </c>
      <c r="CC228">
        <v>290000</v>
      </c>
    </row>
    <row r="229" spans="1:81" x14ac:dyDescent="0.3">
      <c r="A229">
        <v>228</v>
      </c>
      <c r="B229">
        <v>160</v>
      </c>
      <c r="C229" t="s">
        <v>141</v>
      </c>
      <c r="D229">
        <v>21</v>
      </c>
      <c r="E229">
        <v>1869</v>
      </c>
      <c r="F229" t="s">
        <v>82</v>
      </c>
      <c r="H229" t="s">
        <v>83</v>
      </c>
      <c r="I229" t="s">
        <v>84</v>
      </c>
      <c r="J229" t="s">
        <v>85</v>
      </c>
      <c r="K229" t="s">
        <v>86</v>
      </c>
      <c r="L229" t="s">
        <v>87</v>
      </c>
      <c r="M229" t="s">
        <v>227</v>
      </c>
      <c r="N229" t="s">
        <v>89</v>
      </c>
      <c r="O229" t="s">
        <v>89</v>
      </c>
      <c r="P229" t="s">
        <v>197</v>
      </c>
      <c r="Q229" t="s">
        <v>91</v>
      </c>
      <c r="R229">
        <v>6</v>
      </c>
      <c r="S229">
        <v>6</v>
      </c>
      <c r="T229">
        <v>1970</v>
      </c>
      <c r="U229">
        <v>1970</v>
      </c>
      <c r="V229" t="s">
        <v>92</v>
      </c>
      <c r="W229" t="s">
        <v>93</v>
      </c>
      <c r="X229" t="s">
        <v>139</v>
      </c>
      <c r="Y229" t="s">
        <v>139</v>
      </c>
      <c r="Z229" t="s">
        <v>95</v>
      </c>
      <c r="AA229">
        <v>127</v>
      </c>
      <c r="AB229" t="s">
        <v>97</v>
      </c>
      <c r="AC229" t="s">
        <v>97</v>
      </c>
      <c r="AD229" t="s">
        <v>117</v>
      </c>
      <c r="AE229" t="s">
        <v>97</v>
      </c>
      <c r="AF229" t="s">
        <v>97</v>
      </c>
      <c r="AG229" t="s">
        <v>99</v>
      </c>
      <c r="AH229" t="s">
        <v>152</v>
      </c>
      <c r="AI229">
        <v>321</v>
      </c>
      <c r="AJ229" t="s">
        <v>101</v>
      </c>
      <c r="AK229">
        <v>0</v>
      </c>
      <c r="AL229">
        <v>162</v>
      </c>
      <c r="AM229">
        <v>483</v>
      </c>
      <c r="AN229" t="s">
        <v>102</v>
      </c>
      <c r="AO229" t="s">
        <v>97</v>
      </c>
      <c r="AP229" t="s">
        <v>104</v>
      </c>
      <c r="AQ229" t="s">
        <v>105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97</v>
      </c>
      <c r="BC229">
        <v>5</v>
      </c>
      <c r="BD229" t="s">
        <v>106</v>
      </c>
      <c r="BE229">
        <v>0</v>
      </c>
      <c r="BG229" t="s">
        <v>126</v>
      </c>
      <c r="BH229">
        <v>1987</v>
      </c>
      <c r="BI229" t="s">
        <v>101</v>
      </c>
      <c r="BJ229">
        <v>1</v>
      </c>
      <c r="BK229">
        <v>280</v>
      </c>
      <c r="BL229" t="s">
        <v>97</v>
      </c>
      <c r="BM229" t="s">
        <v>97</v>
      </c>
      <c r="BN229" t="s">
        <v>104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X229">
        <v>0</v>
      </c>
      <c r="BY229">
        <v>9</v>
      </c>
      <c r="BZ229">
        <v>2008</v>
      </c>
      <c r="CA229" t="s">
        <v>109</v>
      </c>
      <c r="CB229" t="s">
        <v>110</v>
      </c>
      <c r="CC229">
        <v>106000</v>
      </c>
    </row>
    <row r="230" spans="1:81" x14ac:dyDescent="0.3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H230" t="s">
        <v>83</v>
      </c>
      <c r="I230" t="s">
        <v>84</v>
      </c>
      <c r="J230" t="s">
        <v>85</v>
      </c>
      <c r="K230" t="s">
        <v>111</v>
      </c>
      <c r="L230" t="s">
        <v>87</v>
      </c>
      <c r="M230" t="s">
        <v>150</v>
      </c>
      <c r="N230" t="s">
        <v>113</v>
      </c>
      <c r="O230" t="s">
        <v>89</v>
      </c>
      <c r="P230" t="s">
        <v>90</v>
      </c>
      <c r="Q230" t="s">
        <v>114</v>
      </c>
      <c r="R230">
        <v>5</v>
      </c>
      <c r="S230">
        <v>5</v>
      </c>
      <c r="T230">
        <v>1967</v>
      </c>
      <c r="U230">
        <v>1967</v>
      </c>
      <c r="V230" t="s">
        <v>92</v>
      </c>
      <c r="W230" t="s">
        <v>93</v>
      </c>
      <c r="X230" t="s">
        <v>139</v>
      </c>
      <c r="Y230" t="s">
        <v>139</v>
      </c>
      <c r="Z230" t="s">
        <v>116</v>
      </c>
      <c r="AA230">
        <v>0</v>
      </c>
      <c r="AB230" t="s">
        <v>97</v>
      </c>
      <c r="AC230" t="s">
        <v>97</v>
      </c>
      <c r="AD230" t="s">
        <v>117</v>
      </c>
      <c r="AE230" t="s">
        <v>97</v>
      </c>
      <c r="AF230" t="s">
        <v>97</v>
      </c>
      <c r="AG230" t="s">
        <v>99</v>
      </c>
      <c r="AH230" t="s">
        <v>118</v>
      </c>
      <c r="AI230">
        <v>842</v>
      </c>
      <c r="AJ230" t="s">
        <v>101</v>
      </c>
      <c r="AK230">
        <v>0</v>
      </c>
      <c r="AL230">
        <v>70</v>
      </c>
      <c r="AM230">
        <v>912</v>
      </c>
      <c r="AN230" t="s">
        <v>102</v>
      </c>
      <c r="AO230" t="s">
        <v>97</v>
      </c>
      <c r="AP230" t="s">
        <v>104</v>
      </c>
      <c r="AQ230" t="s">
        <v>105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97</v>
      </c>
      <c r="BC230">
        <v>5</v>
      </c>
      <c r="BD230" t="s">
        <v>106</v>
      </c>
      <c r="BE230">
        <v>1</v>
      </c>
      <c r="BF230" t="s">
        <v>146</v>
      </c>
      <c r="BG230" t="s">
        <v>126</v>
      </c>
      <c r="BH230">
        <v>1974</v>
      </c>
      <c r="BI230" t="s">
        <v>101</v>
      </c>
      <c r="BJ230">
        <v>1</v>
      </c>
      <c r="BK230">
        <v>336</v>
      </c>
      <c r="BL230" t="s">
        <v>97</v>
      </c>
      <c r="BM230" t="s">
        <v>97</v>
      </c>
      <c r="BN230" t="s">
        <v>104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V230" t="s">
        <v>133</v>
      </c>
      <c r="BX230">
        <v>0</v>
      </c>
      <c r="BY230">
        <v>5</v>
      </c>
      <c r="BZ230">
        <v>2010</v>
      </c>
      <c r="CA230" t="s">
        <v>109</v>
      </c>
      <c r="CB230" t="s">
        <v>110</v>
      </c>
      <c r="CC230">
        <v>125000</v>
      </c>
    </row>
    <row r="231" spans="1:81" x14ac:dyDescent="0.3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H231" t="s">
        <v>83</v>
      </c>
      <c r="I231" t="s">
        <v>84</v>
      </c>
      <c r="J231" t="s">
        <v>85</v>
      </c>
      <c r="K231" t="s">
        <v>86</v>
      </c>
      <c r="L231" t="s">
        <v>87</v>
      </c>
      <c r="M231" t="s">
        <v>226</v>
      </c>
      <c r="N231" t="s">
        <v>89</v>
      </c>
      <c r="O231" t="s">
        <v>89</v>
      </c>
      <c r="P231" t="s">
        <v>178</v>
      </c>
      <c r="Q231" t="s">
        <v>114</v>
      </c>
      <c r="R231">
        <v>7</v>
      </c>
      <c r="S231">
        <v>5</v>
      </c>
      <c r="T231">
        <v>2005</v>
      </c>
      <c r="U231">
        <v>2006</v>
      </c>
      <c r="V231" t="s">
        <v>92</v>
      </c>
      <c r="W231" t="s">
        <v>93</v>
      </c>
      <c r="X231" t="s">
        <v>94</v>
      </c>
      <c r="Y231" t="s">
        <v>94</v>
      </c>
      <c r="Z231" t="s">
        <v>95</v>
      </c>
      <c r="AA231">
        <v>16</v>
      </c>
      <c r="AB231" t="s">
        <v>96</v>
      </c>
      <c r="AC231" t="s">
        <v>97</v>
      </c>
      <c r="AD231" t="s">
        <v>98</v>
      </c>
      <c r="AE231" t="s">
        <v>96</v>
      </c>
      <c r="AF231" t="s">
        <v>97</v>
      </c>
      <c r="AG231" t="s">
        <v>129</v>
      </c>
      <c r="AH231" t="s">
        <v>100</v>
      </c>
      <c r="AI231">
        <v>16</v>
      </c>
      <c r="AJ231" t="s">
        <v>101</v>
      </c>
      <c r="AK231">
        <v>0</v>
      </c>
      <c r="AL231">
        <v>1357</v>
      </c>
      <c r="AM231">
        <v>1373</v>
      </c>
      <c r="AN231" t="s">
        <v>102</v>
      </c>
      <c r="AO231" t="s">
        <v>103</v>
      </c>
      <c r="AP231" t="s">
        <v>104</v>
      </c>
      <c r="AQ231" t="s">
        <v>105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96</v>
      </c>
      <c r="BC231">
        <v>7</v>
      </c>
      <c r="BD231" t="s">
        <v>106</v>
      </c>
      <c r="BE231">
        <v>1</v>
      </c>
      <c r="BF231" t="s">
        <v>97</v>
      </c>
      <c r="BG231" t="s">
        <v>107</v>
      </c>
      <c r="BH231">
        <v>2005</v>
      </c>
      <c r="BI231" t="s">
        <v>156</v>
      </c>
      <c r="BJ231">
        <v>2</v>
      </c>
      <c r="BK231">
        <v>430</v>
      </c>
      <c r="BL231" t="s">
        <v>97</v>
      </c>
      <c r="BM231" t="s">
        <v>97</v>
      </c>
      <c r="BN231" t="s">
        <v>104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X231">
        <v>0</v>
      </c>
      <c r="BY231">
        <v>5</v>
      </c>
      <c r="BZ231">
        <v>2009</v>
      </c>
      <c r="CA231" t="s">
        <v>109</v>
      </c>
      <c r="CB231" t="s">
        <v>110</v>
      </c>
      <c r="CC231">
        <v>192500</v>
      </c>
    </row>
    <row r="232" spans="1:81" x14ac:dyDescent="0.3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H232" t="s">
        <v>83</v>
      </c>
      <c r="I232" t="s">
        <v>84</v>
      </c>
      <c r="J232" t="s">
        <v>85</v>
      </c>
      <c r="K232" t="s">
        <v>86</v>
      </c>
      <c r="L232" t="s">
        <v>87</v>
      </c>
      <c r="M232" t="s">
        <v>270</v>
      </c>
      <c r="N232" t="s">
        <v>89</v>
      </c>
      <c r="O232" t="s">
        <v>89</v>
      </c>
      <c r="P232" t="s">
        <v>90</v>
      </c>
      <c r="Q232" t="s">
        <v>114</v>
      </c>
      <c r="R232">
        <v>6</v>
      </c>
      <c r="S232">
        <v>6</v>
      </c>
      <c r="T232">
        <v>1959</v>
      </c>
      <c r="U232">
        <v>1959</v>
      </c>
      <c r="V232" t="s">
        <v>151</v>
      </c>
      <c r="W232" t="s">
        <v>93</v>
      </c>
      <c r="X232" t="s">
        <v>115</v>
      </c>
      <c r="Y232" t="s">
        <v>115</v>
      </c>
      <c r="Z232" t="s">
        <v>95</v>
      </c>
      <c r="AA232">
        <v>220</v>
      </c>
      <c r="AB232" t="s">
        <v>97</v>
      </c>
      <c r="AC232" t="s">
        <v>97</v>
      </c>
      <c r="AD232" t="s">
        <v>117</v>
      </c>
      <c r="AE232" t="s">
        <v>97</v>
      </c>
      <c r="AF232" t="s">
        <v>97</v>
      </c>
      <c r="AG232" t="s">
        <v>99</v>
      </c>
      <c r="AH232" t="s">
        <v>101</v>
      </c>
      <c r="AI232">
        <v>0</v>
      </c>
      <c r="AJ232" t="s">
        <v>101</v>
      </c>
      <c r="AK232">
        <v>0</v>
      </c>
      <c r="AL232">
        <v>1194</v>
      </c>
      <c r="AM232">
        <v>1194</v>
      </c>
      <c r="AN232" t="s">
        <v>102</v>
      </c>
      <c r="AO232" t="s">
        <v>97</v>
      </c>
      <c r="AP232" t="s">
        <v>104</v>
      </c>
      <c r="AQ232" t="s">
        <v>105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97</v>
      </c>
      <c r="BC232">
        <v>6</v>
      </c>
      <c r="BD232" t="s">
        <v>106</v>
      </c>
      <c r="BE232">
        <v>0</v>
      </c>
      <c r="BG232" t="s">
        <v>107</v>
      </c>
      <c r="BH232">
        <v>1959</v>
      </c>
      <c r="BI232" t="s">
        <v>108</v>
      </c>
      <c r="BJ232">
        <v>1</v>
      </c>
      <c r="BK232">
        <v>312</v>
      </c>
      <c r="BL232" t="s">
        <v>97</v>
      </c>
      <c r="BM232" t="s">
        <v>97</v>
      </c>
      <c r="BN232" t="s">
        <v>104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X232">
        <v>0</v>
      </c>
      <c r="BY232">
        <v>4</v>
      </c>
      <c r="BZ232">
        <v>2010</v>
      </c>
      <c r="CA232" t="s">
        <v>109</v>
      </c>
      <c r="CB232" t="s">
        <v>110</v>
      </c>
      <c r="CC232">
        <v>148000</v>
      </c>
    </row>
    <row r="233" spans="1:81" x14ac:dyDescent="0.3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H233" t="s">
        <v>119</v>
      </c>
      <c r="I233" t="s">
        <v>84</v>
      </c>
      <c r="J233" t="s">
        <v>85</v>
      </c>
      <c r="K233" t="s">
        <v>86</v>
      </c>
      <c r="L233" t="s">
        <v>87</v>
      </c>
      <c r="M233" t="s">
        <v>128</v>
      </c>
      <c r="N233" t="s">
        <v>89</v>
      </c>
      <c r="O233" t="s">
        <v>89</v>
      </c>
      <c r="P233" t="s">
        <v>90</v>
      </c>
      <c r="Q233" t="s">
        <v>91</v>
      </c>
      <c r="R233">
        <v>8</v>
      </c>
      <c r="S233">
        <v>5</v>
      </c>
      <c r="T233">
        <v>1995</v>
      </c>
      <c r="U233">
        <v>1996</v>
      </c>
      <c r="V233" t="s">
        <v>92</v>
      </c>
      <c r="W233" t="s">
        <v>93</v>
      </c>
      <c r="X233" t="s">
        <v>94</v>
      </c>
      <c r="Y233" t="s">
        <v>94</v>
      </c>
      <c r="Z233" t="s">
        <v>95</v>
      </c>
      <c r="AA233">
        <v>506</v>
      </c>
      <c r="AB233" t="s">
        <v>96</v>
      </c>
      <c r="AC233" t="s">
        <v>97</v>
      </c>
      <c r="AD233" t="s">
        <v>98</v>
      </c>
      <c r="AE233" t="s">
        <v>96</v>
      </c>
      <c r="AF233" t="s">
        <v>97</v>
      </c>
      <c r="AG233" t="s">
        <v>99</v>
      </c>
      <c r="AH233" t="s">
        <v>100</v>
      </c>
      <c r="AI233">
        <v>689</v>
      </c>
      <c r="AJ233" t="s">
        <v>101</v>
      </c>
      <c r="AK233">
        <v>0</v>
      </c>
      <c r="AL233">
        <v>773</v>
      </c>
      <c r="AM233">
        <v>1462</v>
      </c>
      <c r="AN233" t="s">
        <v>102</v>
      </c>
      <c r="AO233" t="s">
        <v>103</v>
      </c>
      <c r="AP233" t="s">
        <v>104</v>
      </c>
      <c r="AQ233" t="s">
        <v>105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103</v>
      </c>
      <c r="BC233">
        <v>9</v>
      </c>
      <c r="BD233" t="s">
        <v>106</v>
      </c>
      <c r="BE233">
        <v>1</v>
      </c>
      <c r="BF233" t="s">
        <v>97</v>
      </c>
      <c r="BG233" t="s">
        <v>107</v>
      </c>
      <c r="BH233">
        <v>1995</v>
      </c>
      <c r="BI233" t="s">
        <v>156</v>
      </c>
      <c r="BJ233">
        <v>3</v>
      </c>
      <c r="BK233">
        <v>810</v>
      </c>
      <c r="BL233" t="s">
        <v>97</v>
      </c>
      <c r="BM233" t="s">
        <v>97</v>
      </c>
      <c r="BN233" t="s">
        <v>104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X233">
        <v>0</v>
      </c>
      <c r="BY233">
        <v>7</v>
      </c>
      <c r="BZ233">
        <v>2009</v>
      </c>
      <c r="CA233" t="s">
        <v>109</v>
      </c>
      <c r="CB233" t="s">
        <v>110</v>
      </c>
      <c r="CC233">
        <v>403000</v>
      </c>
    </row>
    <row r="234" spans="1:81" x14ac:dyDescent="0.3">
      <c r="A234">
        <v>233</v>
      </c>
      <c r="B234">
        <v>160</v>
      </c>
      <c r="C234" t="s">
        <v>141</v>
      </c>
      <c r="D234">
        <v>21</v>
      </c>
      <c r="E234">
        <v>1680</v>
      </c>
      <c r="F234" t="s">
        <v>82</v>
      </c>
      <c r="H234" t="s">
        <v>83</v>
      </c>
      <c r="I234" t="s">
        <v>84</v>
      </c>
      <c r="J234" t="s">
        <v>85</v>
      </c>
      <c r="K234" t="s">
        <v>86</v>
      </c>
      <c r="L234" t="s">
        <v>87</v>
      </c>
      <c r="M234" t="s">
        <v>227</v>
      </c>
      <c r="N234" t="s">
        <v>89</v>
      </c>
      <c r="O234" t="s">
        <v>89</v>
      </c>
      <c r="P234" t="s">
        <v>197</v>
      </c>
      <c r="Q234" t="s">
        <v>91</v>
      </c>
      <c r="R234">
        <v>6</v>
      </c>
      <c r="S234">
        <v>5</v>
      </c>
      <c r="T234">
        <v>1972</v>
      </c>
      <c r="U234">
        <v>1972</v>
      </c>
      <c r="V234" t="s">
        <v>92</v>
      </c>
      <c r="W234" t="s">
        <v>93</v>
      </c>
      <c r="X234" t="s">
        <v>139</v>
      </c>
      <c r="Y234" t="s">
        <v>139</v>
      </c>
      <c r="Z234" t="s">
        <v>95</v>
      </c>
      <c r="AA234">
        <v>297</v>
      </c>
      <c r="AB234" t="s">
        <v>97</v>
      </c>
      <c r="AC234" t="s">
        <v>97</v>
      </c>
      <c r="AD234" t="s">
        <v>117</v>
      </c>
      <c r="AE234" t="s">
        <v>97</v>
      </c>
      <c r="AF234" t="s">
        <v>97</v>
      </c>
      <c r="AG234" t="s">
        <v>99</v>
      </c>
      <c r="AH234" t="s">
        <v>101</v>
      </c>
      <c r="AI234">
        <v>0</v>
      </c>
      <c r="AJ234" t="s">
        <v>101</v>
      </c>
      <c r="AK234">
        <v>0</v>
      </c>
      <c r="AL234">
        <v>483</v>
      </c>
      <c r="AM234">
        <v>483</v>
      </c>
      <c r="AN234" t="s">
        <v>102</v>
      </c>
      <c r="AO234" t="s">
        <v>97</v>
      </c>
      <c r="AP234" t="s">
        <v>104</v>
      </c>
      <c r="AQ234" t="s">
        <v>105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97</v>
      </c>
      <c r="BC234">
        <v>5</v>
      </c>
      <c r="BD234" t="s">
        <v>106</v>
      </c>
      <c r="BE234">
        <v>1</v>
      </c>
      <c r="BF234" t="s">
        <v>211</v>
      </c>
      <c r="BG234" t="s">
        <v>107</v>
      </c>
      <c r="BH234">
        <v>1972</v>
      </c>
      <c r="BI234" t="s">
        <v>101</v>
      </c>
      <c r="BJ234">
        <v>1</v>
      </c>
      <c r="BK234">
        <v>288</v>
      </c>
      <c r="BL234" t="s">
        <v>97</v>
      </c>
      <c r="BM234" t="s">
        <v>97</v>
      </c>
      <c r="BN234" t="s">
        <v>104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X234">
        <v>0</v>
      </c>
      <c r="BY234">
        <v>6</v>
      </c>
      <c r="BZ234">
        <v>2006</v>
      </c>
      <c r="CA234" t="s">
        <v>109</v>
      </c>
      <c r="CB234" t="s">
        <v>110</v>
      </c>
      <c r="CC234">
        <v>94500</v>
      </c>
    </row>
    <row r="235" spans="1:81" x14ac:dyDescent="0.3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H235" t="s">
        <v>83</v>
      </c>
      <c r="I235" t="s">
        <v>84</v>
      </c>
      <c r="J235" t="s">
        <v>85</v>
      </c>
      <c r="K235" t="s">
        <v>121</v>
      </c>
      <c r="L235" t="s">
        <v>87</v>
      </c>
      <c r="M235" t="s">
        <v>88</v>
      </c>
      <c r="N235" t="s">
        <v>89</v>
      </c>
      <c r="O235" t="s">
        <v>89</v>
      </c>
      <c r="P235" t="s">
        <v>90</v>
      </c>
      <c r="Q235" t="s">
        <v>114</v>
      </c>
      <c r="R235">
        <v>5</v>
      </c>
      <c r="S235">
        <v>6</v>
      </c>
      <c r="T235">
        <v>1976</v>
      </c>
      <c r="U235">
        <v>1976</v>
      </c>
      <c r="V235" t="s">
        <v>92</v>
      </c>
      <c r="W235" t="s">
        <v>93</v>
      </c>
      <c r="X235" t="s">
        <v>139</v>
      </c>
      <c r="Y235" t="s">
        <v>139</v>
      </c>
      <c r="Z235" t="s">
        <v>116</v>
      </c>
      <c r="AA235">
        <v>0</v>
      </c>
      <c r="AB235" t="s">
        <v>97</v>
      </c>
      <c r="AC235" t="s">
        <v>97</v>
      </c>
      <c r="AD235" t="s">
        <v>117</v>
      </c>
      <c r="AE235" t="s">
        <v>97</v>
      </c>
      <c r="AF235" t="s">
        <v>96</v>
      </c>
      <c r="AG235" t="s">
        <v>129</v>
      </c>
      <c r="AH235" t="s">
        <v>171</v>
      </c>
      <c r="AI235">
        <v>182</v>
      </c>
      <c r="AJ235" t="s">
        <v>118</v>
      </c>
      <c r="AK235">
        <v>712</v>
      </c>
      <c r="AL235">
        <v>0</v>
      </c>
      <c r="AM235">
        <v>894</v>
      </c>
      <c r="AN235" t="s">
        <v>102</v>
      </c>
      <c r="AO235" t="s">
        <v>97</v>
      </c>
      <c r="AP235" t="s">
        <v>104</v>
      </c>
      <c r="AQ235" t="s">
        <v>105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97</v>
      </c>
      <c r="BC235">
        <v>5</v>
      </c>
      <c r="BD235" t="s">
        <v>106</v>
      </c>
      <c r="BE235">
        <v>0</v>
      </c>
      <c r="BG235" t="s">
        <v>107</v>
      </c>
      <c r="BH235">
        <v>1976</v>
      </c>
      <c r="BI235" t="s">
        <v>101</v>
      </c>
      <c r="BJ235">
        <v>1</v>
      </c>
      <c r="BK235">
        <v>308</v>
      </c>
      <c r="BL235" t="s">
        <v>97</v>
      </c>
      <c r="BM235" t="s">
        <v>97</v>
      </c>
      <c r="BN235" t="s">
        <v>104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V235" t="s">
        <v>133</v>
      </c>
      <c r="BX235">
        <v>0</v>
      </c>
      <c r="BY235">
        <v>2</v>
      </c>
      <c r="BZ235">
        <v>2010</v>
      </c>
      <c r="CA235" t="s">
        <v>109</v>
      </c>
      <c r="CB235" t="s">
        <v>110</v>
      </c>
      <c r="CC235">
        <v>128200</v>
      </c>
    </row>
    <row r="236" spans="1:81" x14ac:dyDescent="0.3">
      <c r="A236">
        <v>235</v>
      </c>
      <c r="B236">
        <v>60</v>
      </c>
      <c r="C236" t="s">
        <v>81</v>
      </c>
      <c r="E236">
        <v>7851</v>
      </c>
      <c r="F236" t="s">
        <v>82</v>
      </c>
      <c r="H236" t="s">
        <v>83</v>
      </c>
      <c r="I236" t="s">
        <v>84</v>
      </c>
      <c r="J236" t="s">
        <v>85</v>
      </c>
      <c r="K236" t="s">
        <v>86</v>
      </c>
      <c r="L236" t="s">
        <v>87</v>
      </c>
      <c r="M236" t="s">
        <v>192</v>
      </c>
      <c r="N236" t="s">
        <v>89</v>
      </c>
      <c r="O236" t="s">
        <v>89</v>
      </c>
      <c r="P236" t="s">
        <v>90</v>
      </c>
      <c r="Q236" t="s">
        <v>91</v>
      </c>
      <c r="R236">
        <v>6</v>
      </c>
      <c r="S236">
        <v>5</v>
      </c>
      <c r="T236">
        <v>2002</v>
      </c>
      <c r="U236">
        <v>2002</v>
      </c>
      <c r="V236" t="s">
        <v>92</v>
      </c>
      <c r="W236" t="s">
        <v>93</v>
      </c>
      <c r="X236" t="s">
        <v>94</v>
      </c>
      <c r="Y236" t="s">
        <v>94</v>
      </c>
      <c r="AB236" t="s">
        <v>96</v>
      </c>
      <c r="AC236" t="s">
        <v>97</v>
      </c>
      <c r="AD236" t="s">
        <v>98</v>
      </c>
      <c r="AE236" t="s">
        <v>96</v>
      </c>
      <c r="AF236" t="s">
        <v>97</v>
      </c>
      <c r="AG236" t="s">
        <v>99</v>
      </c>
      <c r="AH236" t="s">
        <v>100</v>
      </c>
      <c r="AI236">
        <v>625</v>
      </c>
      <c r="AJ236" t="s">
        <v>101</v>
      </c>
      <c r="AK236">
        <v>0</v>
      </c>
      <c r="AL236">
        <v>235</v>
      </c>
      <c r="AM236">
        <v>860</v>
      </c>
      <c r="AN236" t="s">
        <v>102</v>
      </c>
      <c r="AO236" t="s">
        <v>103</v>
      </c>
      <c r="AP236" t="s">
        <v>104</v>
      </c>
      <c r="AQ236" t="s">
        <v>105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96</v>
      </c>
      <c r="BC236">
        <v>8</v>
      </c>
      <c r="BD236" t="s">
        <v>106</v>
      </c>
      <c r="BE236">
        <v>2</v>
      </c>
      <c r="BF236" t="s">
        <v>97</v>
      </c>
      <c r="BG236" t="s">
        <v>155</v>
      </c>
      <c r="BH236">
        <v>2002</v>
      </c>
      <c r="BI236" t="s">
        <v>156</v>
      </c>
      <c r="BJ236">
        <v>2</v>
      </c>
      <c r="BK236">
        <v>440</v>
      </c>
      <c r="BL236" t="s">
        <v>97</v>
      </c>
      <c r="BM236" t="s">
        <v>97</v>
      </c>
      <c r="BN236" t="s">
        <v>104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X236">
        <v>0</v>
      </c>
      <c r="BY236">
        <v>5</v>
      </c>
      <c r="BZ236">
        <v>2010</v>
      </c>
      <c r="CA236" t="s">
        <v>109</v>
      </c>
      <c r="CB236" t="s">
        <v>110</v>
      </c>
      <c r="CC236">
        <v>216500</v>
      </c>
    </row>
    <row r="237" spans="1:81" x14ac:dyDescent="0.3">
      <c r="A237">
        <v>236</v>
      </c>
      <c r="B237">
        <v>160</v>
      </c>
      <c r="C237" t="s">
        <v>141</v>
      </c>
      <c r="D237">
        <v>21</v>
      </c>
      <c r="E237">
        <v>1680</v>
      </c>
      <c r="F237" t="s">
        <v>82</v>
      </c>
      <c r="H237" t="s">
        <v>83</v>
      </c>
      <c r="I237" t="s">
        <v>84</v>
      </c>
      <c r="J237" t="s">
        <v>85</v>
      </c>
      <c r="K237" t="s">
        <v>86</v>
      </c>
      <c r="L237" t="s">
        <v>87</v>
      </c>
      <c r="M237" t="s">
        <v>227</v>
      </c>
      <c r="N237" t="s">
        <v>89</v>
      </c>
      <c r="O237" t="s">
        <v>89</v>
      </c>
      <c r="P237" t="s">
        <v>178</v>
      </c>
      <c r="Q237" t="s">
        <v>91</v>
      </c>
      <c r="R237">
        <v>6</v>
      </c>
      <c r="S237">
        <v>3</v>
      </c>
      <c r="T237">
        <v>1971</v>
      </c>
      <c r="U237">
        <v>1971</v>
      </c>
      <c r="V237" t="s">
        <v>92</v>
      </c>
      <c r="W237" t="s">
        <v>93</v>
      </c>
      <c r="X237" t="s">
        <v>139</v>
      </c>
      <c r="Y237" t="s">
        <v>139</v>
      </c>
      <c r="Z237" t="s">
        <v>95</v>
      </c>
      <c r="AA237">
        <v>604</v>
      </c>
      <c r="AB237" t="s">
        <v>97</v>
      </c>
      <c r="AC237" t="s">
        <v>97</v>
      </c>
      <c r="AD237" t="s">
        <v>117</v>
      </c>
      <c r="AE237" t="s">
        <v>97</v>
      </c>
      <c r="AF237" t="s">
        <v>97</v>
      </c>
      <c r="AG237" t="s">
        <v>99</v>
      </c>
      <c r="AH237" t="s">
        <v>118</v>
      </c>
      <c r="AI237">
        <v>358</v>
      </c>
      <c r="AJ237" t="s">
        <v>101</v>
      </c>
      <c r="AK237">
        <v>0</v>
      </c>
      <c r="AL237">
        <v>125</v>
      </c>
      <c r="AM237">
        <v>483</v>
      </c>
      <c r="AN237" t="s">
        <v>102</v>
      </c>
      <c r="AO237" t="s">
        <v>97</v>
      </c>
      <c r="AP237" t="s">
        <v>104</v>
      </c>
      <c r="AQ237" t="s">
        <v>105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97</v>
      </c>
      <c r="BC237">
        <v>5</v>
      </c>
      <c r="BD237" t="s">
        <v>106</v>
      </c>
      <c r="BE237">
        <v>0</v>
      </c>
      <c r="BG237" t="s">
        <v>126</v>
      </c>
      <c r="BH237">
        <v>1971</v>
      </c>
      <c r="BI237" t="s">
        <v>101</v>
      </c>
      <c r="BJ237">
        <v>1</v>
      </c>
      <c r="BK237">
        <v>264</v>
      </c>
      <c r="BL237" t="s">
        <v>97</v>
      </c>
      <c r="BM237" t="s">
        <v>97</v>
      </c>
      <c r="BN237" t="s">
        <v>104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X237">
        <v>0</v>
      </c>
      <c r="BY237">
        <v>8</v>
      </c>
      <c r="BZ237">
        <v>2008</v>
      </c>
      <c r="CA237" t="s">
        <v>109</v>
      </c>
      <c r="CB237" t="s">
        <v>110</v>
      </c>
      <c r="CC237">
        <v>89500</v>
      </c>
    </row>
    <row r="238" spans="1:81" x14ac:dyDescent="0.3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H238" t="s">
        <v>83</v>
      </c>
      <c r="I238" t="s">
        <v>84</v>
      </c>
      <c r="J238" t="s">
        <v>85</v>
      </c>
      <c r="K238" t="s">
        <v>111</v>
      </c>
      <c r="L238" t="s">
        <v>87</v>
      </c>
      <c r="M238" t="s">
        <v>88</v>
      </c>
      <c r="N238" t="s">
        <v>89</v>
      </c>
      <c r="O238" t="s">
        <v>89</v>
      </c>
      <c r="P238" t="s">
        <v>90</v>
      </c>
      <c r="Q238" t="s">
        <v>114</v>
      </c>
      <c r="R238">
        <v>7</v>
      </c>
      <c r="S238">
        <v>5</v>
      </c>
      <c r="T238">
        <v>2004</v>
      </c>
      <c r="U238">
        <v>2004</v>
      </c>
      <c r="V238" t="s">
        <v>92</v>
      </c>
      <c r="W238" t="s">
        <v>93</v>
      </c>
      <c r="X238" t="s">
        <v>94</v>
      </c>
      <c r="Y238" t="s">
        <v>94</v>
      </c>
      <c r="Z238" t="s">
        <v>95</v>
      </c>
      <c r="AA238">
        <v>98</v>
      </c>
      <c r="AB238" t="s">
        <v>96</v>
      </c>
      <c r="AC238" t="s">
        <v>97</v>
      </c>
      <c r="AD238" t="s">
        <v>98</v>
      </c>
      <c r="AE238" t="s">
        <v>96</v>
      </c>
      <c r="AF238" t="s">
        <v>97</v>
      </c>
      <c r="AG238" t="s">
        <v>129</v>
      </c>
      <c r="AH238" t="s">
        <v>100</v>
      </c>
      <c r="AI238">
        <v>24</v>
      </c>
      <c r="AJ238" t="s">
        <v>101</v>
      </c>
      <c r="AK238">
        <v>0</v>
      </c>
      <c r="AL238">
        <v>1390</v>
      </c>
      <c r="AM238">
        <v>1414</v>
      </c>
      <c r="AN238" t="s">
        <v>102</v>
      </c>
      <c r="AO238" t="s">
        <v>103</v>
      </c>
      <c r="AP238" t="s">
        <v>104</v>
      </c>
      <c r="AQ238" t="s">
        <v>105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96</v>
      </c>
      <c r="BC238">
        <v>6</v>
      </c>
      <c r="BD238" t="s">
        <v>106</v>
      </c>
      <c r="BE238">
        <v>0</v>
      </c>
      <c r="BG238" t="s">
        <v>107</v>
      </c>
      <c r="BH238">
        <v>2004</v>
      </c>
      <c r="BI238" t="s">
        <v>108</v>
      </c>
      <c r="BJ238">
        <v>2</v>
      </c>
      <c r="BK238">
        <v>494</v>
      </c>
      <c r="BL238" t="s">
        <v>97</v>
      </c>
      <c r="BM238" t="s">
        <v>97</v>
      </c>
      <c r="BN238" t="s">
        <v>104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X238">
        <v>0</v>
      </c>
      <c r="BY238">
        <v>5</v>
      </c>
      <c r="BZ238">
        <v>2010</v>
      </c>
      <c r="CA238" t="s">
        <v>109</v>
      </c>
      <c r="CB238" t="s">
        <v>110</v>
      </c>
      <c r="CC238">
        <v>185500</v>
      </c>
    </row>
    <row r="239" spans="1:81" x14ac:dyDescent="0.3">
      <c r="A239">
        <v>238</v>
      </c>
      <c r="B239">
        <v>60</v>
      </c>
      <c r="C239" t="s">
        <v>81</v>
      </c>
      <c r="E239">
        <v>9453</v>
      </c>
      <c r="F239" t="s">
        <v>82</v>
      </c>
      <c r="H239" t="s">
        <v>119</v>
      </c>
      <c r="I239" t="s">
        <v>84</v>
      </c>
      <c r="J239" t="s">
        <v>85</v>
      </c>
      <c r="K239" t="s">
        <v>165</v>
      </c>
      <c r="L239" t="s">
        <v>87</v>
      </c>
      <c r="M239" t="s">
        <v>169</v>
      </c>
      <c r="N239" t="s">
        <v>228</v>
      </c>
      <c r="O239" t="s">
        <v>89</v>
      </c>
      <c r="P239" t="s">
        <v>90</v>
      </c>
      <c r="Q239" t="s">
        <v>91</v>
      </c>
      <c r="R239">
        <v>7</v>
      </c>
      <c r="S239">
        <v>7</v>
      </c>
      <c r="T239">
        <v>1993</v>
      </c>
      <c r="U239">
        <v>2003</v>
      </c>
      <c r="V239" t="s">
        <v>92</v>
      </c>
      <c r="W239" t="s">
        <v>93</v>
      </c>
      <c r="X239" t="s">
        <v>139</v>
      </c>
      <c r="Y239" t="s">
        <v>139</v>
      </c>
      <c r="Z239" t="s">
        <v>116</v>
      </c>
      <c r="AA239">
        <v>0</v>
      </c>
      <c r="AB239" t="s">
        <v>96</v>
      </c>
      <c r="AC239" t="s">
        <v>97</v>
      </c>
      <c r="AD239" t="s">
        <v>98</v>
      </c>
      <c r="AE239" t="s">
        <v>96</v>
      </c>
      <c r="AF239" t="s">
        <v>97</v>
      </c>
      <c r="AG239" t="s">
        <v>99</v>
      </c>
      <c r="AH239" t="s">
        <v>140</v>
      </c>
      <c r="AI239">
        <v>402</v>
      </c>
      <c r="AJ239" t="s">
        <v>101</v>
      </c>
      <c r="AK239">
        <v>0</v>
      </c>
      <c r="AL239">
        <v>594</v>
      </c>
      <c r="AM239">
        <v>996</v>
      </c>
      <c r="AN239" t="s">
        <v>102</v>
      </c>
      <c r="AO239" t="s">
        <v>103</v>
      </c>
      <c r="AP239" t="s">
        <v>104</v>
      </c>
      <c r="AQ239" t="s">
        <v>105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96</v>
      </c>
      <c r="BC239">
        <v>7</v>
      </c>
      <c r="BD239" t="s">
        <v>106</v>
      </c>
      <c r="BE239">
        <v>0</v>
      </c>
      <c r="BG239" t="s">
        <v>107</v>
      </c>
      <c r="BH239">
        <v>1993</v>
      </c>
      <c r="BI239" t="s">
        <v>108</v>
      </c>
      <c r="BJ239">
        <v>2</v>
      </c>
      <c r="BK239">
        <v>457</v>
      </c>
      <c r="BL239" t="s">
        <v>97</v>
      </c>
      <c r="BM239" t="s">
        <v>97</v>
      </c>
      <c r="BN239" t="s">
        <v>104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X239">
        <v>0</v>
      </c>
      <c r="BY239">
        <v>2</v>
      </c>
      <c r="BZ239">
        <v>2010</v>
      </c>
      <c r="CA239" t="s">
        <v>109</v>
      </c>
      <c r="CB239" t="s">
        <v>110</v>
      </c>
      <c r="CC239">
        <v>194500</v>
      </c>
    </row>
    <row r="240" spans="1:81" x14ac:dyDescent="0.3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H240" t="s">
        <v>83</v>
      </c>
      <c r="I240" t="s">
        <v>84</v>
      </c>
      <c r="J240" t="s">
        <v>85</v>
      </c>
      <c r="K240" t="s">
        <v>86</v>
      </c>
      <c r="L240" t="s">
        <v>87</v>
      </c>
      <c r="M240" t="s">
        <v>153</v>
      </c>
      <c r="N240" t="s">
        <v>89</v>
      </c>
      <c r="O240" t="s">
        <v>89</v>
      </c>
      <c r="P240" t="s">
        <v>90</v>
      </c>
      <c r="Q240" t="s">
        <v>114</v>
      </c>
      <c r="R240">
        <v>8</v>
      </c>
      <c r="S240">
        <v>5</v>
      </c>
      <c r="T240">
        <v>2007</v>
      </c>
      <c r="U240">
        <v>2007</v>
      </c>
      <c r="V240" t="s">
        <v>151</v>
      </c>
      <c r="W240" t="s">
        <v>93</v>
      </c>
      <c r="X240" t="s">
        <v>94</v>
      </c>
      <c r="Y240" t="s">
        <v>94</v>
      </c>
      <c r="Z240" t="s">
        <v>95</v>
      </c>
      <c r="AA240">
        <v>254</v>
      </c>
      <c r="AB240" t="s">
        <v>103</v>
      </c>
      <c r="AC240" t="s">
        <v>97</v>
      </c>
      <c r="AD240" t="s">
        <v>98</v>
      </c>
      <c r="AE240" t="s">
        <v>103</v>
      </c>
      <c r="AF240" t="s">
        <v>97</v>
      </c>
      <c r="AG240" t="s">
        <v>99</v>
      </c>
      <c r="AH240" t="s">
        <v>101</v>
      </c>
      <c r="AI240">
        <v>0</v>
      </c>
      <c r="AJ240" t="s">
        <v>101</v>
      </c>
      <c r="AK240">
        <v>0</v>
      </c>
      <c r="AL240">
        <v>1694</v>
      </c>
      <c r="AM240">
        <v>1694</v>
      </c>
      <c r="AN240" t="s">
        <v>102</v>
      </c>
      <c r="AO240" t="s">
        <v>103</v>
      </c>
      <c r="AP240" t="s">
        <v>104</v>
      </c>
      <c r="AQ240" t="s">
        <v>105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96</v>
      </c>
      <c r="BC240">
        <v>7</v>
      </c>
      <c r="BD240" t="s">
        <v>106</v>
      </c>
      <c r="BE240">
        <v>0</v>
      </c>
      <c r="BG240" t="s">
        <v>107</v>
      </c>
      <c r="BH240">
        <v>2007</v>
      </c>
      <c r="BI240" t="s">
        <v>156</v>
      </c>
      <c r="BJ240">
        <v>3</v>
      </c>
      <c r="BK240">
        <v>818</v>
      </c>
      <c r="BL240" t="s">
        <v>97</v>
      </c>
      <c r="BM240" t="s">
        <v>97</v>
      </c>
      <c r="BN240" t="s">
        <v>104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X240">
        <v>0</v>
      </c>
      <c r="BY240">
        <v>12</v>
      </c>
      <c r="BZ240">
        <v>2007</v>
      </c>
      <c r="CA240" t="s">
        <v>157</v>
      </c>
      <c r="CB240" t="s">
        <v>158</v>
      </c>
      <c r="CC240">
        <v>318000</v>
      </c>
    </row>
    <row r="241" spans="1:81" x14ac:dyDescent="0.3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H241" t="s">
        <v>83</v>
      </c>
      <c r="I241" t="s">
        <v>84</v>
      </c>
      <c r="J241" t="s">
        <v>85</v>
      </c>
      <c r="K241" t="s">
        <v>86</v>
      </c>
      <c r="L241" t="s">
        <v>87</v>
      </c>
      <c r="M241" t="s">
        <v>184</v>
      </c>
      <c r="N241" t="s">
        <v>89</v>
      </c>
      <c r="O241" t="s">
        <v>89</v>
      </c>
      <c r="P241" t="s">
        <v>90</v>
      </c>
      <c r="Q241" t="s">
        <v>131</v>
      </c>
      <c r="R241">
        <v>6</v>
      </c>
      <c r="S241">
        <v>4</v>
      </c>
      <c r="T241">
        <v>1945</v>
      </c>
      <c r="U241">
        <v>1950</v>
      </c>
      <c r="V241" t="s">
        <v>92</v>
      </c>
      <c r="W241" t="s">
        <v>93</v>
      </c>
      <c r="X241" t="s">
        <v>94</v>
      </c>
      <c r="Y241" t="s">
        <v>94</v>
      </c>
      <c r="Z241" t="s">
        <v>116</v>
      </c>
      <c r="AA241">
        <v>0</v>
      </c>
      <c r="AB241" t="s">
        <v>97</v>
      </c>
      <c r="AC241" t="s">
        <v>97</v>
      </c>
      <c r="AD241" t="s">
        <v>117</v>
      </c>
      <c r="AE241" t="s">
        <v>97</v>
      </c>
      <c r="AF241" t="s">
        <v>146</v>
      </c>
      <c r="AG241" t="s">
        <v>99</v>
      </c>
      <c r="AH241" t="s">
        <v>171</v>
      </c>
      <c r="AI241">
        <v>94</v>
      </c>
      <c r="AJ241" t="s">
        <v>101</v>
      </c>
      <c r="AK241">
        <v>0</v>
      </c>
      <c r="AL241">
        <v>641</v>
      </c>
      <c r="AM241">
        <v>735</v>
      </c>
      <c r="AN241" t="s">
        <v>102</v>
      </c>
      <c r="AO241" t="s">
        <v>97</v>
      </c>
      <c r="AP241" t="s">
        <v>104</v>
      </c>
      <c r="AQ241" t="s">
        <v>163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97</v>
      </c>
      <c r="BC241">
        <v>7</v>
      </c>
      <c r="BD241" t="s">
        <v>106</v>
      </c>
      <c r="BE241">
        <v>1</v>
      </c>
      <c r="BF241" t="s">
        <v>96</v>
      </c>
      <c r="BG241" t="s">
        <v>126</v>
      </c>
      <c r="BH241">
        <v>1949</v>
      </c>
      <c r="BI241" t="s">
        <v>101</v>
      </c>
      <c r="BJ241">
        <v>1</v>
      </c>
      <c r="BK241">
        <v>220</v>
      </c>
      <c r="BL241" t="s">
        <v>97</v>
      </c>
      <c r="BM241" t="s">
        <v>97</v>
      </c>
      <c r="BN241" t="s">
        <v>104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V241" t="s">
        <v>133</v>
      </c>
      <c r="BX241">
        <v>0</v>
      </c>
      <c r="BY241">
        <v>4</v>
      </c>
      <c r="BZ241">
        <v>2010</v>
      </c>
      <c r="CA241" t="s">
        <v>109</v>
      </c>
      <c r="CB241" t="s">
        <v>110</v>
      </c>
      <c r="CC241">
        <v>113000</v>
      </c>
    </row>
    <row r="242" spans="1:81" x14ac:dyDescent="0.3">
      <c r="A242">
        <v>241</v>
      </c>
      <c r="B242">
        <v>20</v>
      </c>
      <c r="C242" t="s">
        <v>191</v>
      </c>
      <c r="D242">
        <v>75</v>
      </c>
      <c r="E242">
        <v>9000</v>
      </c>
      <c r="F242" t="s">
        <v>82</v>
      </c>
      <c r="H242" t="s">
        <v>83</v>
      </c>
      <c r="I242" t="s">
        <v>84</v>
      </c>
      <c r="J242" t="s">
        <v>85</v>
      </c>
      <c r="K242" t="s">
        <v>86</v>
      </c>
      <c r="L242" t="s">
        <v>87</v>
      </c>
      <c r="M242" t="s">
        <v>135</v>
      </c>
      <c r="N242" t="s">
        <v>89</v>
      </c>
      <c r="O242" t="s">
        <v>89</v>
      </c>
      <c r="P242" t="s">
        <v>90</v>
      </c>
      <c r="Q242" t="s">
        <v>114</v>
      </c>
      <c r="R242">
        <v>8</v>
      </c>
      <c r="S242">
        <v>5</v>
      </c>
      <c r="T242">
        <v>2008</v>
      </c>
      <c r="U242">
        <v>2008</v>
      </c>
      <c r="V242" t="s">
        <v>92</v>
      </c>
      <c r="W242" t="s">
        <v>93</v>
      </c>
      <c r="X242" t="s">
        <v>94</v>
      </c>
      <c r="Y242" t="s">
        <v>94</v>
      </c>
      <c r="Z242" t="s">
        <v>136</v>
      </c>
      <c r="AA242">
        <v>36</v>
      </c>
      <c r="AB242" t="s">
        <v>96</v>
      </c>
      <c r="AC242" t="s">
        <v>97</v>
      </c>
      <c r="AD242" t="s">
        <v>98</v>
      </c>
      <c r="AE242" t="s">
        <v>96</v>
      </c>
      <c r="AF242" t="s">
        <v>97</v>
      </c>
      <c r="AG242" t="s">
        <v>129</v>
      </c>
      <c r="AH242" t="s">
        <v>100</v>
      </c>
      <c r="AI242">
        <v>1078</v>
      </c>
      <c r="AJ242" t="s">
        <v>101</v>
      </c>
      <c r="AK242">
        <v>0</v>
      </c>
      <c r="AL242">
        <v>488</v>
      </c>
      <c r="AM242">
        <v>1566</v>
      </c>
      <c r="AN242" t="s">
        <v>102</v>
      </c>
      <c r="AO242" t="s">
        <v>103</v>
      </c>
      <c r="AP242" t="s">
        <v>104</v>
      </c>
      <c r="AQ242" t="s">
        <v>105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96</v>
      </c>
      <c r="BC242">
        <v>7</v>
      </c>
      <c r="BD242" t="s">
        <v>106</v>
      </c>
      <c r="BE242">
        <v>0</v>
      </c>
      <c r="BG242" t="s">
        <v>107</v>
      </c>
      <c r="BH242">
        <v>2008</v>
      </c>
      <c r="BI242" t="s">
        <v>108</v>
      </c>
      <c r="BJ242">
        <v>2</v>
      </c>
      <c r="BK242">
        <v>750</v>
      </c>
      <c r="BL242" t="s">
        <v>97</v>
      </c>
      <c r="BM242" t="s">
        <v>97</v>
      </c>
      <c r="BN242" t="s">
        <v>104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X242">
        <v>0</v>
      </c>
      <c r="BY242">
        <v>4</v>
      </c>
      <c r="BZ242">
        <v>2010</v>
      </c>
      <c r="CA242" t="s">
        <v>109</v>
      </c>
      <c r="CB242" t="s">
        <v>110</v>
      </c>
      <c r="CC242">
        <v>262500</v>
      </c>
    </row>
    <row r="243" spans="1:81" x14ac:dyDescent="0.3">
      <c r="A243">
        <v>242</v>
      </c>
      <c r="B243">
        <v>30</v>
      </c>
      <c r="C243" t="s">
        <v>141</v>
      </c>
      <c r="D243">
        <v>40</v>
      </c>
      <c r="E243">
        <v>3880</v>
      </c>
      <c r="F243" t="s">
        <v>82</v>
      </c>
      <c r="H243" t="s">
        <v>83</v>
      </c>
      <c r="I243" t="s">
        <v>84</v>
      </c>
      <c r="J243" t="s">
        <v>85</v>
      </c>
      <c r="K243" t="s">
        <v>86</v>
      </c>
      <c r="L243" t="s">
        <v>87</v>
      </c>
      <c r="M243" t="s">
        <v>142</v>
      </c>
      <c r="N243" t="s">
        <v>89</v>
      </c>
      <c r="O243" t="s">
        <v>89</v>
      </c>
      <c r="P243" t="s">
        <v>90</v>
      </c>
      <c r="Q243" t="s">
        <v>114</v>
      </c>
      <c r="R243">
        <v>5</v>
      </c>
      <c r="S243">
        <v>9</v>
      </c>
      <c r="T243">
        <v>1945</v>
      </c>
      <c r="U243">
        <v>1997</v>
      </c>
      <c r="V243" t="s">
        <v>92</v>
      </c>
      <c r="W243" t="s">
        <v>93</v>
      </c>
      <c r="X243" t="s">
        <v>94</v>
      </c>
      <c r="Y243" t="s">
        <v>94</v>
      </c>
      <c r="Z243" t="s">
        <v>116</v>
      </c>
      <c r="AA243">
        <v>0</v>
      </c>
      <c r="AB243" t="s">
        <v>97</v>
      </c>
      <c r="AC243" t="s">
        <v>96</v>
      </c>
      <c r="AD243" t="s">
        <v>117</v>
      </c>
      <c r="AE243" t="s">
        <v>97</v>
      </c>
      <c r="AF243" t="s">
        <v>97</v>
      </c>
      <c r="AG243" t="s">
        <v>99</v>
      </c>
      <c r="AH243" t="s">
        <v>118</v>
      </c>
      <c r="AI243">
        <v>329</v>
      </c>
      <c r="AJ243" t="s">
        <v>101</v>
      </c>
      <c r="AK243">
        <v>0</v>
      </c>
      <c r="AL243">
        <v>357</v>
      </c>
      <c r="AM243">
        <v>686</v>
      </c>
      <c r="AN243" t="s">
        <v>102</v>
      </c>
      <c r="AO243" t="s">
        <v>96</v>
      </c>
      <c r="AP243" t="s">
        <v>104</v>
      </c>
      <c r="AQ243" t="s">
        <v>105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96</v>
      </c>
      <c r="BC243">
        <v>4</v>
      </c>
      <c r="BD243" t="s">
        <v>106</v>
      </c>
      <c r="BE243">
        <v>0</v>
      </c>
      <c r="BJ243">
        <v>0</v>
      </c>
      <c r="BK243">
        <v>0</v>
      </c>
      <c r="BN243" t="s">
        <v>104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X243">
        <v>0</v>
      </c>
      <c r="BY243">
        <v>8</v>
      </c>
      <c r="BZ243">
        <v>2007</v>
      </c>
      <c r="CA243" t="s">
        <v>109</v>
      </c>
      <c r="CB243" t="s">
        <v>110</v>
      </c>
      <c r="CC243">
        <v>110500</v>
      </c>
    </row>
    <row r="244" spans="1:81" x14ac:dyDescent="0.3">
      <c r="A244">
        <v>243</v>
      </c>
      <c r="B244">
        <v>50</v>
      </c>
      <c r="C244" t="s">
        <v>141</v>
      </c>
      <c r="D244">
        <v>63</v>
      </c>
      <c r="E244">
        <v>5000</v>
      </c>
      <c r="F244" t="s">
        <v>82</v>
      </c>
      <c r="H244" t="s">
        <v>83</v>
      </c>
      <c r="I244" t="s">
        <v>84</v>
      </c>
      <c r="J244" t="s">
        <v>85</v>
      </c>
      <c r="K244" t="s">
        <v>121</v>
      </c>
      <c r="L244" t="s">
        <v>87</v>
      </c>
      <c r="M244" t="s">
        <v>142</v>
      </c>
      <c r="N244" t="s">
        <v>89</v>
      </c>
      <c r="O244" t="s">
        <v>89</v>
      </c>
      <c r="P244" t="s">
        <v>90</v>
      </c>
      <c r="Q244" t="s">
        <v>131</v>
      </c>
      <c r="R244">
        <v>5</v>
      </c>
      <c r="S244">
        <v>4</v>
      </c>
      <c r="T244">
        <v>1900</v>
      </c>
      <c r="U244">
        <v>1950</v>
      </c>
      <c r="V244" t="s">
        <v>92</v>
      </c>
      <c r="W244" t="s">
        <v>93</v>
      </c>
      <c r="X244" t="s">
        <v>123</v>
      </c>
      <c r="Y244" t="s">
        <v>123</v>
      </c>
      <c r="Z244" t="s">
        <v>116</v>
      </c>
      <c r="AA244">
        <v>0</v>
      </c>
      <c r="AB244" t="s">
        <v>97</v>
      </c>
      <c r="AC244" t="s">
        <v>97</v>
      </c>
      <c r="AD244" t="s">
        <v>125</v>
      </c>
      <c r="AE244" t="s">
        <v>97</v>
      </c>
      <c r="AF244" t="s">
        <v>97</v>
      </c>
      <c r="AG244" t="s">
        <v>99</v>
      </c>
      <c r="AH244" t="s">
        <v>101</v>
      </c>
      <c r="AI244">
        <v>0</v>
      </c>
      <c r="AJ244" t="s">
        <v>101</v>
      </c>
      <c r="AK244">
        <v>0</v>
      </c>
      <c r="AL244">
        <v>540</v>
      </c>
      <c r="AM244">
        <v>540</v>
      </c>
      <c r="AN244" t="s">
        <v>102</v>
      </c>
      <c r="AO244" t="s">
        <v>96</v>
      </c>
      <c r="AP244" t="s">
        <v>176</v>
      </c>
      <c r="AQ244" t="s">
        <v>163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97</v>
      </c>
      <c r="BC244">
        <v>6</v>
      </c>
      <c r="BD244" t="s">
        <v>106</v>
      </c>
      <c r="BE244">
        <v>0</v>
      </c>
      <c r="BG244" t="s">
        <v>107</v>
      </c>
      <c r="BH244">
        <v>1940</v>
      </c>
      <c r="BI244" t="s">
        <v>101</v>
      </c>
      <c r="BJ244">
        <v>1</v>
      </c>
      <c r="BK244">
        <v>352</v>
      </c>
      <c r="BL244" t="s">
        <v>146</v>
      </c>
      <c r="BM244" t="s">
        <v>97</v>
      </c>
      <c r="BN244" t="s">
        <v>104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X244">
        <v>0</v>
      </c>
      <c r="BY244">
        <v>4</v>
      </c>
      <c r="BZ244">
        <v>2006</v>
      </c>
      <c r="CA244" t="s">
        <v>109</v>
      </c>
      <c r="CB244" t="s">
        <v>110</v>
      </c>
      <c r="CC244">
        <v>79000</v>
      </c>
    </row>
    <row r="245" spans="1:81" x14ac:dyDescent="0.3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H245" t="s">
        <v>83</v>
      </c>
      <c r="I245" t="s">
        <v>84</v>
      </c>
      <c r="J245" t="s">
        <v>85</v>
      </c>
      <c r="K245" t="s">
        <v>121</v>
      </c>
      <c r="L245" t="s">
        <v>87</v>
      </c>
      <c r="M245" t="s">
        <v>169</v>
      </c>
      <c r="N245" t="s">
        <v>89</v>
      </c>
      <c r="O245" t="s">
        <v>89</v>
      </c>
      <c r="P245" t="s">
        <v>178</v>
      </c>
      <c r="Q245" t="s">
        <v>91</v>
      </c>
      <c r="R245">
        <v>6</v>
      </c>
      <c r="S245">
        <v>6</v>
      </c>
      <c r="T245">
        <v>1980</v>
      </c>
      <c r="U245">
        <v>1980</v>
      </c>
      <c r="V245" t="s">
        <v>92</v>
      </c>
      <c r="W245" t="s">
        <v>93</v>
      </c>
      <c r="X245" t="s">
        <v>160</v>
      </c>
      <c r="Y245" t="s">
        <v>160</v>
      </c>
      <c r="Z245" t="s">
        <v>116</v>
      </c>
      <c r="AA245">
        <v>0</v>
      </c>
      <c r="AB245" t="s">
        <v>97</v>
      </c>
      <c r="AC245" t="s">
        <v>97</v>
      </c>
      <c r="AD245" t="s">
        <v>117</v>
      </c>
      <c r="AE245" t="s">
        <v>96</v>
      </c>
      <c r="AF245" t="s">
        <v>97</v>
      </c>
      <c r="AG245" t="s">
        <v>99</v>
      </c>
      <c r="AH245" t="s">
        <v>101</v>
      </c>
      <c r="AI245">
        <v>0</v>
      </c>
      <c r="AJ245" t="s">
        <v>101</v>
      </c>
      <c r="AK245">
        <v>0</v>
      </c>
      <c r="AL245">
        <v>626</v>
      </c>
      <c r="AM245">
        <v>626</v>
      </c>
      <c r="AN245" t="s">
        <v>102</v>
      </c>
      <c r="AO245" t="s">
        <v>97</v>
      </c>
      <c r="AP245" t="s">
        <v>104</v>
      </c>
      <c r="AQ245" t="s">
        <v>105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97</v>
      </c>
      <c r="BC245">
        <v>6</v>
      </c>
      <c r="BD245" t="s">
        <v>106</v>
      </c>
      <c r="BE245">
        <v>1</v>
      </c>
      <c r="BF245" t="s">
        <v>97</v>
      </c>
      <c r="BG245" t="s">
        <v>107</v>
      </c>
      <c r="BH245">
        <v>1980</v>
      </c>
      <c r="BI245" t="s">
        <v>108</v>
      </c>
      <c r="BJ245">
        <v>1</v>
      </c>
      <c r="BK245">
        <v>288</v>
      </c>
      <c r="BL245" t="s">
        <v>97</v>
      </c>
      <c r="BM245" t="s">
        <v>97</v>
      </c>
      <c r="BN245" t="s">
        <v>104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X245">
        <v>0</v>
      </c>
      <c r="BY245">
        <v>4</v>
      </c>
      <c r="BZ245">
        <v>2009</v>
      </c>
      <c r="CA245" t="s">
        <v>109</v>
      </c>
      <c r="CB245" t="s">
        <v>110</v>
      </c>
      <c r="CC245">
        <v>120000</v>
      </c>
    </row>
    <row r="246" spans="1:81" x14ac:dyDescent="0.3">
      <c r="A246">
        <v>245</v>
      </c>
      <c r="B246">
        <v>60</v>
      </c>
      <c r="C246" t="s">
        <v>81</v>
      </c>
      <c r="E246">
        <v>8880</v>
      </c>
      <c r="F246" t="s">
        <v>82</v>
      </c>
      <c r="H246" t="s">
        <v>119</v>
      </c>
      <c r="I246" t="s">
        <v>84</v>
      </c>
      <c r="J246" t="s">
        <v>85</v>
      </c>
      <c r="K246" t="s">
        <v>86</v>
      </c>
      <c r="L246" t="s">
        <v>87</v>
      </c>
      <c r="M246" t="s">
        <v>169</v>
      </c>
      <c r="N246" t="s">
        <v>89</v>
      </c>
      <c r="O246" t="s">
        <v>89</v>
      </c>
      <c r="P246" t="s">
        <v>90</v>
      </c>
      <c r="Q246" t="s">
        <v>91</v>
      </c>
      <c r="R246">
        <v>7</v>
      </c>
      <c r="S246">
        <v>5</v>
      </c>
      <c r="T246">
        <v>1994</v>
      </c>
      <c r="U246">
        <v>2002</v>
      </c>
      <c r="V246" t="s">
        <v>92</v>
      </c>
      <c r="W246" t="s">
        <v>93</v>
      </c>
      <c r="X246" t="s">
        <v>94</v>
      </c>
      <c r="Y246" t="s">
        <v>94</v>
      </c>
      <c r="Z246" t="s">
        <v>116</v>
      </c>
      <c r="AA246">
        <v>0</v>
      </c>
      <c r="AB246" t="s">
        <v>96</v>
      </c>
      <c r="AC246" t="s">
        <v>97</v>
      </c>
      <c r="AD246" t="s">
        <v>98</v>
      </c>
      <c r="AE246" t="s">
        <v>96</v>
      </c>
      <c r="AF246" t="s">
        <v>97</v>
      </c>
      <c r="AG246" t="s">
        <v>99</v>
      </c>
      <c r="AH246" t="s">
        <v>100</v>
      </c>
      <c r="AI246">
        <v>695</v>
      </c>
      <c r="AJ246" t="s">
        <v>101</v>
      </c>
      <c r="AK246">
        <v>0</v>
      </c>
      <c r="AL246">
        <v>253</v>
      </c>
      <c r="AM246">
        <v>948</v>
      </c>
      <c r="AN246" t="s">
        <v>102</v>
      </c>
      <c r="AO246" t="s">
        <v>103</v>
      </c>
      <c r="AP246" t="s">
        <v>104</v>
      </c>
      <c r="AQ246" t="s">
        <v>105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96</v>
      </c>
      <c r="BC246">
        <v>8</v>
      </c>
      <c r="BD246" t="s">
        <v>106</v>
      </c>
      <c r="BE246">
        <v>2</v>
      </c>
      <c r="BF246" t="s">
        <v>146</v>
      </c>
      <c r="BG246" t="s">
        <v>107</v>
      </c>
      <c r="BH246">
        <v>1994</v>
      </c>
      <c r="BI246" t="s">
        <v>108</v>
      </c>
      <c r="BJ246">
        <v>2</v>
      </c>
      <c r="BK246">
        <v>463</v>
      </c>
      <c r="BL246" t="s">
        <v>97</v>
      </c>
      <c r="BM246" t="s">
        <v>97</v>
      </c>
      <c r="BN246" t="s">
        <v>104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X246">
        <v>0</v>
      </c>
      <c r="BY246">
        <v>5</v>
      </c>
      <c r="BZ246">
        <v>2010</v>
      </c>
      <c r="CA246" t="s">
        <v>109</v>
      </c>
      <c r="CB246" t="s">
        <v>110</v>
      </c>
      <c r="CC246">
        <v>205000</v>
      </c>
    </row>
    <row r="247" spans="1:81" x14ac:dyDescent="0.3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H247" t="s">
        <v>83</v>
      </c>
      <c r="I247" t="s">
        <v>84</v>
      </c>
      <c r="J247" t="s">
        <v>85</v>
      </c>
      <c r="K247" t="s">
        <v>86</v>
      </c>
      <c r="L247" t="s">
        <v>87</v>
      </c>
      <c r="M247" t="s">
        <v>137</v>
      </c>
      <c r="N247" t="s">
        <v>89</v>
      </c>
      <c r="O247" t="s">
        <v>89</v>
      </c>
      <c r="P247" t="s">
        <v>90</v>
      </c>
      <c r="Q247" t="s">
        <v>114</v>
      </c>
      <c r="R247">
        <v>7</v>
      </c>
      <c r="S247">
        <v>5</v>
      </c>
      <c r="T247">
        <v>1988</v>
      </c>
      <c r="U247">
        <v>1988</v>
      </c>
      <c r="V247" t="s">
        <v>92</v>
      </c>
      <c r="W247" t="s">
        <v>93</v>
      </c>
      <c r="X247" t="s">
        <v>123</v>
      </c>
      <c r="Y247" t="s">
        <v>123</v>
      </c>
      <c r="Z247" t="s">
        <v>95</v>
      </c>
      <c r="AA247">
        <v>102</v>
      </c>
      <c r="AB247" t="s">
        <v>97</v>
      </c>
      <c r="AC247" t="s">
        <v>97</v>
      </c>
      <c r="AD247" t="s">
        <v>117</v>
      </c>
      <c r="AE247" t="s">
        <v>96</v>
      </c>
      <c r="AF247" t="s">
        <v>97</v>
      </c>
      <c r="AG247" t="s">
        <v>129</v>
      </c>
      <c r="AH247" t="s">
        <v>100</v>
      </c>
      <c r="AI247">
        <v>929</v>
      </c>
      <c r="AJ247" t="s">
        <v>101</v>
      </c>
      <c r="AK247">
        <v>0</v>
      </c>
      <c r="AL247">
        <v>916</v>
      </c>
      <c r="AM247">
        <v>1845</v>
      </c>
      <c r="AN247" t="s">
        <v>102</v>
      </c>
      <c r="AO247" t="s">
        <v>96</v>
      </c>
      <c r="AP247" t="s">
        <v>104</v>
      </c>
      <c r="AQ247" t="s">
        <v>105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97</v>
      </c>
      <c r="BC247">
        <v>6</v>
      </c>
      <c r="BD247" t="s">
        <v>106</v>
      </c>
      <c r="BE247">
        <v>1</v>
      </c>
      <c r="BF247" t="s">
        <v>97</v>
      </c>
      <c r="BG247" t="s">
        <v>107</v>
      </c>
      <c r="BH247">
        <v>1988</v>
      </c>
      <c r="BI247" t="s">
        <v>156</v>
      </c>
      <c r="BJ247">
        <v>2</v>
      </c>
      <c r="BK247">
        <v>604</v>
      </c>
      <c r="BL247" t="s">
        <v>97</v>
      </c>
      <c r="BM247" t="s">
        <v>97</v>
      </c>
      <c r="BN247" t="s">
        <v>104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X247">
        <v>0</v>
      </c>
      <c r="BY247">
        <v>6</v>
      </c>
      <c r="BZ247">
        <v>2006</v>
      </c>
      <c r="CA247" t="s">
        <v>109</v>
      </c>
      <c r="CB247" t="s">
        <v>110</v>
      </c>
      <c r="CC247">
        <v>241500</v>
      </c>
    </row>
    <row r="248" spans="1:81" x14ac:dyDescent="0.3">
      <c r="A248">
        <v>247</v>
      </c>
      <c r="B248">
        <v>190</v>
      </c>
      <c r="C248" t="s">
        <v>141</v>
      </c>
      <c r="D248">
        <v>69</v>
      </c>
      <c r="E248">
        <v>9142</v>
      </c>
      <c r="F248" t="s">
        <v>82</v>
      </c>
      <c r="G248" t="s">
        <v>173</v>
      </c>
      <c r="H248" t="s">
        <v>83</v>
      </c>
      <c r="I248" t="s">
        <v>84</v>
      </c>
      <c r="J248" t="s">
        <v>85</v>
      </c>
      <c r="K248" t="s">
        <v>86</v>
      </c>
      <c r="L248" t="s">
        <v>87</v>
      </c>
      <c r="M248" t="s">
        <v>142</v>
      </c>
      <c r="N248" t="s">
        <v>89</v>
      </c>
      <c r="O248" t="s">
        <v>89</v>
      </c>
      <c r="P248" t="s">
        <v>148</v>
      </c>
      <c r="Q248" t="s">
        <v>91</v>
      </c>
      <c r="R248">
        <v>6</v>
      </c>
      <c r="S248">
        <v>8</v>
      </c>
      <c r="T248">
        <v>1910</v>
      </c>
      <c r="U248">
        <v>1950</v>
      </c>
      <c r="V248" t="s">
        <v>92</v>
      </c>
      <c r="W248" t="s">
        <v>93</v>
      </c>
      <c r="X248" t="s">
        <v>185</v>
      </c>
      <c r="Y248" t="s">
        <v>185</v>
      </c>
      <c r="Z248" t="s">
        <v>116</v>
      </c>
      <c r="AA248">
        <v>0</v>
      </c>
      <c r="AB248" t="s">
        <v>97</v>
      </c>
      <c r="AC248" t="s">
        <v>146</v>
      </c>
      <c r="AD248" t="s">
        <v>136</v>
      </c>
      <c r="AE248" t="s">
        <v>146</v>
      </c>
      <c r="AF248" t="s">
        <v>97</v>
      </c>
      <c r="AG248" t="s">
        <v>99</v>
      </c>
      <c r="AH248" t="s">
        <v>101</v>
      </c>
      <c r="AI248">
        <v>0</v>
      </c>
      <c r="AJ248" t="s">
        <v>101</v>
      </c>
      <c r="AK248">
        <v>0</v>
      </c>
      <c r="AL248">
        <v>1020</v>
      </c>
      <c r="AM248">
        <v>1020</v>
      </c>
      <c r="AN248" t="s">
        <v>102</v>
      </c>
      <c r="AO248" t="s">
        <v>96</v>
      </c>
      <c r="AP248" t="s">
        <v>176</v>
      </c>
      <c r="AQ248" t="s">
        <v>186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146</v>
      </c>
      <c r="BC248">
        <v>9</v>
      </c>
      <c r="BD248" t="s">
        <v>106</v>
      </c>
      <c r="BE248">
        <v>0</v>
      </c>
      <c r="BG248" t="s">
        <v>126</v>
      </c>
      <c r="BH248">
        <v>1910</v>
      </c>
      <c r="BI248" t="s">
        <v>101</v>
      </c>
      <c r="BJ248">
        <v>1</v>
      </c>
      <c r="BK248">
        <v>440</v>
      </c>
      <c r="BL248" t="s">
        <v>211</v>
      </c>
      <c r="BM248" t="s">
        <v>211</v>
      </c>
      <c r="BN248" t="s">
        <v>104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X248">
        <v>0</v>
      </c>
      <c r="BY248">
        <v>4</v>
      </c>
      <c r="BZ248">
        <v>2006</v>
      </c>
      <c r="CA248" t="s">
        <v>109</v>
      </c>
      <c r="CB248" t="s">
        <v>110</v>
      </c>
      <c r="CC248">
        <v>137000</v>
      </c>
    </row>
    <row r="249" spans="1:81" x14ac:dyDescent="0.3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H249" t="s">
        <v>83</v>
      </c>
      <c r="I249" t="s">
        <v>84</v>
      </c>
      <c r="J249" t="s">
        <v>85</v>
      </c>
      <c r="K249" t="s">
        <v>86</v>
      </c>
      <c r="L249" t="s">
        <v>87</v>
      </c>
      <c r="M249" t="s">
        <v>270</v>
      </c>
      <c r="N249" t="s">
        <v>89</v>
      </c>
      <c r="O249" t="s">
        <v>89</v>
      </c>
      <c r="P249" t="s">
        <v>90</v>
      </c>
      <c r="Q249" t="s">
        <v>114</v>
      </c>
      <c r="R249">
        <v>6</v>
      </c>
      <c r="S249">
        <v>5</v>
      </c>
      <c r="T249">
        <v>1954</v>
      </c>
      <c r="U249">
        <v>1954</v>
      </c>
      <c r="V249" t="s">
        <v>151</v>
      </c>
      <c r="W249" t="s">
        <v>93</v>
      </c>
      <c r="X249" t="s">
        <v>123</v>
      </c>
      <c r="Y249" t="s">
        <v>95</v>
      </c>
      <c r="Z249" t="s">
        <v>116</v>
      </c>
      <c r="AA249">
        <v>0</v>
      </c>
      <c r="AB249" t="s">
        <v>97</v>
      </c>
      <c r="AC249" t="s">
        <v>97</v>
      </c>
      <c r="AD249" t="s">
        <v>117</v>
      </c>
      <c r="AE249" t="s">
        <v>97</v>
      </c>
      <c r="AF249" t="s">
        <v>97</v>
      </c>
      <c r="AG249" t="s">
        <v>99</v>
      </c>
      <c r="AH249" t="s">
        <v>101</v>
      </c>
      <c r="AI249">
        <v>0</v>
      </c>
      <c r="AJ249" t="s">
        <v>101</v>
      </c>
      <c r="AK249">
        <v>0</v>
      </c>
      <c r="AL249">
        <v>1367</v>
      </c>
      <c r="AM249">
        <v>1367</v>
      </c>
      <c r="AN249" t="s">
        <v>102</v>
      </c>
      <c r="AO249" t="s">
        <v>103</v>
      </c>
      <c r="AP249" t="s">
        <v>104</v>
      </c>
      <c r="AQ249" t="s">
        <v>105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97</v>
      </c>
      <c r="BC249">
        <v>5</v>
      </c>
      <c r="BD249" t="s">
        <v>106</v>
      </c>
      <c r="BE249">
        <v>1</v>
      </c>
      <c r="BF249" t="s">
        <v>97</v>
      </c>
      <c r="BG249" t="s">
        <v>107</v>
      </c>
      <c r="BH249">
        <v>1954</v>
      </c>
      <c r="BI249" t="s">
        <v>101</v>
      </c>
      <c r="BJ249">
        <v>2</v>
      </c>
      <c r="BK249">
        <v>451</v>
      </c>
      <c r="BL249" t="s">
        <v>97</v>
      </c>
      <c r="BM249" t="s">
        <v>97</v>
      </c>
      <c r="BN249" t="s">
        <v>104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X249">
        <v>0</v>
      </c>
      <c r="BY249">
        <v>6</v>
      </c>
      <c r="BZ249">
        <v>2006</v>
      </c>
      <c r="CA249" t="s">
        <v>109</v>
      </c>
      <c r="CB249" t="s">
        <v>110</v>
      </c>
      <c r="CC249">
        <v>140000</v>
      </c>
    </row>
    <row r="250" spans="1:81" x14ac:dyDescent="0.3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H250" t="s">
        <v>83</v>
      </c>
      <c r="I250" t="s">
        <v>84</v>
      </c>
      <c r="J250" t="s">
        <v>85</v>
      </c>
      <c r="K250" t="s">
        <v>86</v>
      </c>
      <c r="L250" t="s">
        <v>87</v>
      </c>
      <c r="M250" t="s">
        <v>88</v>
      </c>
      <c r="N250" t="s">
        <v>89</v>
      </c>
      <c r="O250" t="s">
        <v>89</v>
      </c>
      <c r="P250" t="s">
        <v>90</v>
      </c>
      <c r="Q250" t="s">
        <v>91</v>
      </c>
      <c r="R250">
        <v>7</v>
      </c>
      <c r="S250">
        <v>5</v>
      </c>
      <c r="T250">
        <v>2003</v>
      </c>
      <c r="U250">
        <v>2003</v>
      </c>
      <c r="V250" t="s">
        <v>92</v>
      </c>
      <c r="W250" t="s">
        <v>93</v>
      </c>
      <c r="X250" t="s">
        <v>94</v>
      </c>
      <c r="Y250" t="s">
        <v>94</v>
      </c>
      <c r="Z250" t="s">
        <v>95</v>
      </c>
      <c r="AA250">
        <v>101</v>
      </c>
      <c r="AB250" t="s">
        <v>96</v>
      </c>
      <c r="AC250" t="s">
        <v>97</v>
      </c>
      <c r="AD250" t="s">
        <v>98</v>
      </c>
      <c r="AE250" t="s">
        <v>96</v>
      </c>
      <c r="AF250" t="s">
        <v>97</v>
      </c>
      <c r="AG250" t="s">
        <v>99</v>
      </c>
      <c r="AH250" t="s">
        <v>101</v>
      </c>
      <c r="AI250">
        <v>0</v>
      </c>
      <c r="AJ250" t="s">
        <v>101</v>
      </c>
      <c r="AK250">
        <v>0</v>
      </c>
      <c r="AL250">
        <v>840</v>
      </c>
      <c r="AM250">
        <v>840</v>
      </c>
      <c r="AN250" t="s">
        <v>102</v>
      </c>
      <c r="AO250" t="s">
        <v>103</v>
      </c>
      <c r="AP250" t="s">
        <v>104</v>
      </c>
      <c r="AQ250" t="s">
        <v>105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96</v>
      </c>
      <c r="BC250">
        <v>8</v>
      </c>
      <c r="BD250" t="s">
        <v>106</v>
      </c>
      <c r="BE250">
        <v>0</v>
      </c>
      <c r="BG250" t="s">
        <v>107</v>
      </c>
      <c r="BH250">
        <v>2003</v>
      </c>
      <c r="BI250" t="s">
        <v>108</v>
      </c>
      <c r="BJ250">
        <v>2</v>
      </c>
      <c r="BK250">
        <v>500</v>
      </c>
      <c r="BL250" t="s">
        <v>97</v>
      </c>
      <c r="BM250" t="s">
        <v>97</v>
      </c>
      <c r="BN250" t="s">
        <v>104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X250">
        <v>0</v>
      </c>
      <c r="BY250">
        <v>9</v>
      </c>
      <c r="BZ250">
        <v>2007</v>
      </c>
      <c r="CA250" t="s">
        <v>109</v>
      </c>
      <c r="CB250" t="s">
        <v>110</v>
      </c>
      <c r="CC250">
        <v>180000</v>
      </c>
    </row>
    <row r="251" spans="1:81" x14ac:dyDescent="0.3">
      <c r="A251">
        <v>250</v>
      </c>
      <c r="B251">
        <v>50</v>
      </c>
      <c r="C251" t="s">
        <v>81</v>
      </c>
      <c r="E251">
        <v>159000</v>
      </c>
      <c r="F251" t="s">
        <v>82</v>
      </c>
      <c r="H251" t="s">
        <v>159</v>
      </c>
      <c r="I251" t="s">
        <v>194</v>
      </c>
      <c r="J251" t="s">
        <v>85</v>
      </c>
      <c r="K251" t="s">
        <v>165</v>
      </c>
      <c r="L251" t="s">
        <v>212</v>
      </c>
      <c r="M251" t="s">
        <v>204</v>
      </c>
      <c r="N251" t="s">
        <v>89</v>
      </c>
      <c r="O251" t="s">
        <v>89</v>
      </c>
      <c r="P251" t="s">
        <v>90</v>
      </c>
      <c r="Q251" t="s">
        <v>131</v>
      </c>
      <c r="R251">
        <v>6</v>
      </c>
      <c r="S251">
        <v>7</v>
      </c>
      <c r="T251">
        <v>1958</v>
      </c>
      <c r="U251">
        <v>2006</v>
      </c>
      <c r="V251" t="s">
        <v>92</v>
      </c>
      <c r="W251" t="s">
        <v>93</v>
      </c>
      <c r="X251" t="s">
        <v>123</v>
      </c>
      <c r="Y251" t="s">
        <v>139</v>
      </c>
      <c r="Z251" t="s">
        <v>206</v>
      </c>
      <c r="AA251">
        <v>472</v>
      </c>
      <c r="AB251" t="s">
        <v>96</v>
      </c>
      <c r="AC251" t="s">
        <v>97</v>
      </c>
      <c r="AD251" t="s">
        <v>117</v>
      </c>
      <c r="AE251" t="s">
        <v>96</v>
      </c>
      <c r="AF251" t="s">
        <v>97</v>
      </c>
      <c r="AG251" t="s">
        <v>96</v>
      </c>
      <c r="AH251" t="s">
        <v>152</v>
      </c>
      <c r="AI251">
        <v>697</v>
      </c>
      <c r="AJ251" t="s">
        <v>101</v>
      </c>
      <c r="AK251">
        <v>0</v>
      </c>
      <c r="AL251">
        <v>747</v>
      </c>
      <c r="AM251">
        <v>1444</v>
      </c>
      <c r="AN251" t="s">
        <v>102</v>
      </c>
      <c r="AO251" t="s">
        <v>96</v>
      </c>
      <c r="AP251" t="s">
        <v>104</v>
      </c>
      <c r="AQ251" t="s">
        <v>105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96</v>
      </c>
      <c r="BC251">
        <v>7</v>
      </c>
      <c r="BD251" t="s">
        <v>106</v>
      </c>
      <c r="BE251">
        <v>2</v>
      </c>
      <c r="BF251" t="s">
        <v>97</v>
      </c>
      <c r="BG251" t="s">
        <v>107</v>
      </c>
      <c r="BH251">
        <v>1958</v>
      </c>
      <c r="BI251" t="s">
        <v>156</v>
      </c>
      <c r="BJ251">
        <v>2</v>
      </c>
      <c r="BK251">
        <v>389</v>
      </c>
      <c r="BL251" t="s">
        <v>97</v>
      </c>
      <c r="BM251" t="s">
        <v>97</v>
      </c>
      <c r="BN251" t="s">
        <v>104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W251" t="s">
        <v>134</v>
      </c>
      <c r="BX251">
        <v>500</v>
      </c>
      <c r="BY251">
        <v>6</v>
      </c>
      <c r="BZ251">
        <v>2007</v>
      </c>
      <c r="CA251" t="s">
        <v>109</v>
      </c>
      <c r="CB251" t="s">
        <v>110</v>
      </c>
      <c r="CC251">
        <v>277000</v>
      </c>
    </row>
    <row r="252" spans="1:81" x14ac:dyDescent="0.3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H252" t="s">
        <v>119</v>
      </c>
      <c r="I252" t="s">
        <v>84</v>
      </c>
      <c r="J252" t="s">
        <v>85</v>
      </c>
      <c r="K252" t="s">
        <v>86</v>
      </c>
      <c r="L252" t="s">
        <v>87</v>
      </c>
      <c r="M252" t="s">
        <v>147</v>
      </c>
      <c r="N252" t="s">
        <v>89</v>
      </c>
      <c r="O252" t="s">
        <v>89</v>
      </c>
      <c r="P252" t="s">
        <v>90</v>
      </c>
      <c r="Q252" t="s">
        <v>114</v>
      </c>
      <c r="R252">
        <v>3</v>
      </c>
      <c r="S252">
        <v>2</v>
      </c>
      <c r="T252">
        <v>1940</v>
      </c>
      <c r="U252">
        <v>1966</v>
      </c>
      <c r="V252" t="s">
        <v>92</v>
      </c>
      <c r="W252" t="s">
        <v>93</v>
      </c>
      <c r="X252" t="s">
        <v>123</v>
      </c>
      <c r="Y252" t="s">
        <v>160</v>
      </c>
      <c r="Z252" t="s">
        <v>116</v>
      </c>
      <c r="AA252">
        <v>0</v>
      </c>
      <c r="AB252" t="s">
        <v>97</v>
      </c>
      <c r="AC252" t="s">
        <v>211</v>
      </c>
      <c r="AD252" t="s">
        <v>117</v>
      </c>
      <c r="AE252" t="s">
        <v>97</v>
      </c>
      <c r="AF252" t="s">
        <v>97</v>
      </c>
      <c r="AG252" t="s">
        <v>99</v>
      </c>
      <c r="AH252" t="s">
        <v>101</v>
      </c>
      <c r="AI252">
        <v>0</v>
      </c>
      <c r="AJ252" t="s">
        <v>101</v>
      </c>
      <c r="AK252">
        <v>0</v>
      </c>
      <c r="AL252">
        <v>728</v>
      </c>
      <c r="AM252">
        <v>728</v>
      </c>
      <c r="AN252" t="s">
        <v>102</v>
      </c>
      <c r="AO252" t="s">
        <v>103</v>
      </c>
      <c r="AP252" t="s">
        <v>104</v>
      </c>
      <c r="AQ252" t="s">
        <v>105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146</v>
      </c>
      <c r="BC252">
        <v>6</v>
      </c>
      <c r="BD252" t="s">
        <v>193</v>
      </c>
      <c r="BE252">
        <v>0</v>
      </c>
      <c r="BJ252">
        <v>0</v>
      </c>
      <c r="BK252">
        <v>0</v>
      </c>
      <c r="BN252" t="s">
        <v>104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V252" t="s">
        <v>162</v>
      </c>
      <c r="BW252" t="s">
        <v>134</v>
      </c>
      <c r="BX252">
        <v>450</v>
      </c>
      <c r="BY252">
        <v>5</v>
      </c>
      <c r="BZ252">
        <v>2010</v>
      </c>
      <c r="CA252" t="s">
        <v>109</v>
      </c>
      <c r="CB252" t="s">
        <v>110</v>
      </c>
      <c r="CC252">
        <v>76500</v>
      </c>
    </row>
    <row r="253" spans="1:81" x14ac:dyDescent="0.3">
      <c r="A253">
        <v>252</v>
      </c>
      <c r="B253">
        <v>120</v>
      </c>
      <c r="C253" t="s">
        <v>141</v>
      </c>
      <c r="D253">
        <v>44</v>
      </c>
      <c r="E253">
        <v>4750</v>
      </c>
      <c r="F253" t="s">
        <v>82</v>
      </c>
      <c r="H253" t="s">
        <v>119</v>
      </c>
      <c r="I253" t="s">
        <v>198</v>
      </c>
      <c r="J253" t="s">
        <v>85</v>
      </c>
      <c r="K253" t="s">
        <v>86</v>
      </c>
      <c r="L253" t="s">
        <v>193</v>
      </c>
      <c r="M253" t="s">
        <v>122</v>
      </c>
      <c r="N253" t="s">
        <v>89</v>
      </c>
      <c r="O253" t="s">
        <v>89</v>
      </c>
      <c r="P253" t="s">
        <v>178</v>
      </c>
      <c r="Q253" t="s">
        <v>114</v>
      </c>
      <c r="R253">
        <v>8</v>
      </c>
      <c r="S253">
        <v>5</v>
      </c>
      <c r="T253">
        <v>2006</v>
      </c>
      <c r="U253">
        <v>2007</v>
      </c>
      <c r="V253" t="s">
        <v>151</v>
      </c>
      <c r="W253" t="s">
        <v>93</v>
      </c>
      <c r="X253" t="s">
        <v>94</v>
      </c>
      <c r="Y253" t="s">
        <v>94</v>
      </c>
      <c r="Z253" t="s">
        <v>136</v>
      </c>
      <c r="AA253">
        <v>481</v>
      </c>
      <c r="AB253" t="s">
        <v>96</v>
      </c>
      <c r="AC253" t="s">
        <v>97</v>
      </c>
      <c r="AD253" t="s">
        <v>98</v>
      </c>
      <c r="AE253" t="s">
        <v>96</v>
      </c>
      <c r="AF253" t="s">
        <v>97</v>
      </c>
      <c r="AG253" t="s">
        <v>96</v>
      </c>
      <c r="AH253" t="s">
        <v>100</v>
      </c>
      <c r="AI253">
        <v>1573</v>
      </c>
      <c r="AJ253" t="s">
        <v>101</v>
      </c>
      <c r="AK253">
        <v>0</v>
      </c>
      <c r="AL253">
        <v>0</v>
      </c>
      <c r="AM253">
        <v>1573</v>
      </c>
      <c r="AN253" t="s">
        <v>102</v>
      </c>
      <c r="AO253" t="s">
        <v>103</v>
      </c>
      <c r="AP253" t="s">
        <v>104</v>
      </c>
      <c r="AQ253" t="s">
        <v>105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96</v>
      </c>
      <c r="BC253">
        <v>5</v>
      </c>
      <c r="BD253" t="s">
        <v>106</v>
      </c>
      <c r="BE253">
        <v>1</v>
      </c>
      <c r="BF253" t="s">
        <v>96</v>
      </c>
      <c r="BG253" t="s">
        <v>107</v>
      </c>
      <c r="BH253">
        <v>2006</v>
      </c>
      <c r="BI253" t="s">
        <v>156</v>
      </c>
      <c r="BJ253">
        <v>2</v>
      </c>
      <c r="BK253">
        <v>538</v>
      </c>
      <c r="BL253" t="s">
        <v>97</v>
      </c>
      <c r="BM253" t="s">
        <v>97</v>
      </c>
      <c r="BN253" t="s">
        <v>104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X253">
        <v>0</v>
      </c>
      <c r="BY253">
        <v>12</v>
      </c>
      <c r="BZ253">
        <v>2007</v>
      </c>
      <c r="CA253" t="s">
        <v>109</v>
      </c>
      <c r="CB253" t="s">
        <v>218</v>
      </c>
      <c r="CC253">
        <v>235000</v>
      </c>
    </row>
    <row r="254" spans="1:81" x14ac:dyDescent="0.3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H254" t="s">
        <v>119</v>
      </c>
      <c r="I254" t="s">
        <v>84</v>
      </c>
      <c r="J254" t="s">
        <v>85</v>
      </c>
      <c r="K254" t="s">
        <v>86</v>
      </c>
      <c r="L254" t="s">
        <v>87</v>
      </c>
      <c r="M254" t="s">
        <v>169</v>
      </c>
      <c r="N254" t="s">
        <v>89</v>
      </c>
      <c r="O254" t="s">
        <v>89</v>
      </c>
      <c r="P254" t="s">
        <v>90</v>
      </c>
      <c r="Q254" t="s">
        <v>91</v>
      </c>
      <c r="R254">
        <v>6</v>
      </c>
      <c r="S254">
        <v>5</v>
      </c>
      <c r="T254">
        <v>2004</v>
      </c>
      <c r="U254">
        <v>2004</v>
      </c>
      <c r="V254" t="s">
        <v>92</v>
      </c>
      <c r="W254" t="s">
        <v>93</v>
      </c>
      <c r="X254" t="s">
        <v>94</v>
      </c>
      <c r="Y254" t="s">
        <v>94</v>
      </c>
      <c r="Z254" t="s">
        <v>116</v>
      </c>
      <c r="AA254">
        <v>0</v>
      </c>
      <c r="AB254" t="s">
        <v>96</v>
      </c>
      <c r="AC254" t="s">
        <v>97</v>
      </c>
      <c r="AD254" t="s">
        <v>98</v>
      </c>
      <c r="AE254" t="s">
        <v>96</v>
      </c>
      <c r="AF254" t="s">
        <v>97</v>
      </c>
      <c r="AG254" t="s">
        <v>99</v>
      </c>
      <c r="AH254" t="s">
        <v>101</v>
      </c>
      <c r="AI254">
        <v>0</v>
      </c>
      <c r="AJ254" t="s">
        <v>101</v>
      </c>
      <c r="AK254">
        <v>0</v>
      </c>
      <c r="AL254">
        <v>798</v>
      </c>
      <c r="AM254">
        <v>798</v>
      </c>
      <c r="AN254" t="s">
        <v>102</v>
      </c>
      <c r="AO254" t="s">
        <v>103</v>
      </c>
      <c r="AP254" t="s">
        <v>104</v>
      </c>
      <c r="AQ254" t="s">
        <v>105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96</v>
      </c>
      <c r="BC254">
        <v>6</v>
      </c>
      <c r="BD254" t="s">
        <v>106</v>
      </c>
      <c r="BE254">
        <v>0</v>
      </c>
      <c r="BG254" t="s">
        <v>107</v>
      </c>
      <c r="BH254">
        <v>2004</v>
      </c>
      <c r="BI254" t="s">
        <v>108</v>
      </c>
      <c r="BJ254">
        <v>2</v>
      </c>
      <c r="BK254">
        <v>520</v>
      </c>
      <c r="BL254" t="s">
        <v>97</v>
      </c>
      <c r="BM254" t="s">
        <v>97</v>
      </c>
      <c r="BN254" t="s">
        <v>104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X254">
        <v>0</v>
      </c>
      <c r="BY254">
        <v>12</v>
      </c>
      <c r="BZ254">
        <v>2008</v>
      </c>
      <c r="CA254" t="s">
        <v>109</v>
      </c>
      <c r="CB254" t="s">
        <v>110</v>
      </c>
      <c r="CC254">
        <v>173000</v>
      </c>
    </row>
    <row r="255" spans="1:81" x14ac:dyDescent="0.3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H255" t="s">
        <v>83</v>
      </c>
      <c r="I255" t="s">
        <v>84</v>
      </c>
      <c r="J255" t="s">
        <v>85</v>
      </c>
      <c r="K255" t="s">
        <v>86</v>
      </c>
      <c r="L255" t="s">
        <v>87</v>
      </c>
      <c r="M255" t="s">
        <v>270</v>
      </c>
      <c r="N255" t="s">
        <v>89</v>
      </c>
      <c r="O255" t="s">
        <v>89</v>
      </c>
      <c r="P255" t="s">
        <v>90</v>
      </c>
      <c r="Q255" t="s">
        <v>196</v>
      </c>
      <c r="R255">
        <v>6</v>
      </c>
      <c r="S255">
        <v>7</v>
      </c>
      <c r="T255">
        <v>1964</v>
      </c>
      <c r="U255">
        <v>1991</v>
      </c>
      <c r="V255" t="s">
        <v>151</v>
      </c>
      <c r="W255" t="s">
        <v>93</v>
      </c>
      <c r="X255" t="s">
        <v>139</v>
      </c>
      <c r="Y255" t="s">
        <v>139</v>
      </c>
      <c r="Z255" t="s">
        <v>95</v>
      </c>
      <c r="AA255">
        <v>108</v>
      </c>
      <c r="AB255" t="s">
        <v>97</v>
      </c>
      <c r="AC255" t="s">
        <v>97</v>
      </c>
      <c r="AD255" t="s">
        <v>117</v>
      </c>
      <c r="AE255" t="s">
        <v>96</v>
      </c>
      <c r="AF255" t="s">
        <v>97</v>
      </c>
      <c r="AG255" t="s">
        <v>96</v>
      </c>
      <c r="AH255" t="s">
        <v>171</v>
      </c>
      <c r="AI255">
        <v>270</v>
      </c>
      <c r="AJ255" t="s">
        <v>118</v>
      </c>
      <c r="AK255">
        <v>580</v>
      </c>
      <c r="AL255">
        <v>452</v>
      </c>
      <c r="AM255">
        <v>1302</v>
      </c>
      <c r="AN255" t="s">
        <v>102</v>
      </c>
      <c r="AO255" t="s">
        <v>103</v>
      </c>
      <c r="AP255" t="s">
        <v>104</v>
      </c>
      <c r="AQ255" t="s">
        <v>105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96</v>
      </c>
      <c r="BC255">
        <v>7</v>
      </c>
      <c r="BD255" t="s">
        <v>145</v>
      </c>
      <c r="BE255">
        <v>0</v>
      </c>
      <c r="BG255" t="s">
        <v>107</v>
      </c>
      <c r="BH255">
        <v>1964</v>
      </c>
      <c r="BI255" t="s">
        <v>108</v>
      </c>
      <c r="BJ255">
        <v>1</v>
      </c>
      <c r="BK255">
        <v>309</v>
      </c>
      <c r="BL255" t="s">
        <v>97</v>
      </c>
      <c r="BM255" t="s">
        <v>97</v>
      </c>
      <c r="BN255" t="s">
        <v>104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V255" t="s">
        <v>133</v>
      </c>
      <c r="BX255">
        <v>0</v>
      </c>
      <c r="BY255">
        <v>10</v>
      </c>
      <c r="BZ255">
        <v>2007</v>
      </c>
      <c r="CA255" t="s">
        <v>229</v>
      </c>
      <c r="CB255" t="s">
        <v>110</v>
      </c>
      <c r="CC255">
        <v>158000</v>
      </c>
    </row>
    <row r="256" spans="1:81" x14ac:dyDescent="0.3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H256" t="s">
        <v>83</v>
      </c>
      <c r="I256" t="s">
        <v>84</v>
      </c>
      <c r="J256" t="s">
        <v>85</v>
      </c>
      <c r="K256" t="s">
        <v>86</v>
      </c>
      <c r="L256" t="s">
        <v>87</v>
      </c>
      <c r="M256" t="s">
        <v>270</v>
      </c>
      <c r="N256" t="s">
        <v>89</v>
      </c>
      <c r="O256" t="s">
        <v>89</v>
      </c>
      <c r="P256" t="s">
        <v>90</v>
      </c>
      <c r="Q256" t="s">
        <v>114</v>
      </c>
      <c r="R256">
        <v>5</v>
      </c>
      <c r="S256">
        <v>6</v>
      </c>
      <c r="T256">
        <v>1957</v>
      </c>
      <c r="U256">
        <v>1957</v>
      </c>
      <c r="V256" t="s">
        <v>92</v>
      </c>
      <c r="W256" t="s">
        <v>93</v>
      </c>
      <c r="X256" t="s">
        <v>115</v>
      </c>
      <c r="Y256" t="s">
        <v>115</v>
      </c>
      <c r="Z256" t="s">
        <v>116</v>
      </c>
      <c r="AA256">
        <v>0</v>
      </c>
      <c r="AB256" t="s">
        <v>97</v>
      </c>
      <c r="AC256" t="s">
        <v>96</v>
      </c>
      <c r="AD256" t="s">
        <v>117</v>
      </c>
      <c r="AE256" t="s">
        <v>97</v>
      </c>
      <c r="AF256" t="s">
        <v>97</v>
      </c>
      <c r="AG256" t="s">
        <v>99</v>
      </c>
      <c r="AH256" t="s">
        <v>152</v>
      </c>
      <c r="AI256">
        <v>922</v>
      </c>
      <c r="AJ256" t="s">
        <v>101</v>
      </c>
      <c r="AK256">
        <v>0</v>
      </c>
      <c r="AL256">
        <v>392</v>
      </c>
      <c r="AM256">
        <v>1314</v>
      </c>
      <c r="AN256" t="s">
        <v>102</v>
      </c>
      <c r="AO256" t="s">
        <v>97</v>
      </c>
      <c r="AP256" t="s">
        <v>104</v>
      </c>
      <c r="AQ256" t="s">
        <v>105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97</v>
      </c>
      <c r="BC256">
        <v>5</v>
      </c>
      <c r="BD256" t="s">
        <v>106</v>
      </c>
      <c r="BE256">
        <v>0</v>
      </c>
      <c r="BG256" t="s">
        <v>107</v>
      </c>
      <c r="BH256">
        <v>1957</v>
      </c>
      <c r="BI256" t="s">
        <v>108</v>
      </c>
      <c r="BJ256">
        <v>1</v>
      </c>
      <c r="BK256">
        <v>294</v>
      </c>
      <c r="BL256" t="s">
        <v>97</v>
      </c>
      <c r="BM256" t="s">
        <v>97</v>
      </c>
      <c r="BN256" t="s">
        <v>104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X256">
        <v>0</v>
      </c>
      <c r="BY256">
        <v>6</v>
      </c>
      <c r="BZ256">
        <v>2010</v>
      </c>
      <c r="CA256" t="s">
        <v>109</v>
      </c>
      <c r="CB256" t="s">
        <v>110</v>
      </c>
      <c r="CC256">
        <v>145000</v>
      </c>
    </row>
    <row r="257" spans="1:81" x14ac:dyDescent="0.3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H257" t="s">
        <v>119</v>
      </c>
      <c r="I257" t="s">
        <v>84</v>
      </c>
      <c r="J257" t="s">
        <v>85</v>
      </c>
      <c r="K257" t="s">
        <v>86</v>
      </c>
      <c r="L257" t="s">
        <v>87</v>
      </c>
      <c r="M257" t="s">
        <v>192</v>
      </c>
      <c r="N257" t="s">
        <v>89</v>
      </c>
      <c r="O257" t="s">
        <v>89</v>
      </c>
      <c r="P257" t="s">
        <v>90</v>
      </c>
      <c r="Q257" t="s">
        <v>91</v>
      </c>
      <c r="R257">
        <v>7</v>
      </c>
      <c r="S257">
        <v>5</v>
      </c>
      <c r="T257">
        <v>1999</v>
      </c>
      <c r="U257">
        <v>1999</v>
      </c>
      <c r="V257" t="s">
        <v>92</v>
      </c>
      <c r="W257" t="s">
        <v>93</v>
      </c>
      <c r="X257" t="s">
        <v>94</v>
      </c>
      <c r="Y257" t="s">
        <v>94</v>
      </c>
      <c r="Z257" t="s">
        <v>95</v>
      </c>
      <c r="AA257">
        <v>302</v>
      </c>
      <c r="AB257" t="s">
        <v>96</v>
      </c>
      <c r="AC257" t="s">
        <v>97</v>
      </c>
      <c r="AD257" t="s">
        <v>98</v>
      </c>
      <c r="AE257" t="s">
        <v>96</v>
      </c>
      <c r="AF257" t="s">
        <v>97</v>
      </c>
      <c r="AG257" t="s">
        <v>99</v>
      </c>
      <c r="AH257" t="s">
        <v>101</v>
      </c>
      <c r="AI257">
        <v>0</v>
      </c>
      <c r="AJ257" t="s">
        <v>101</v>
      </c>
      <c r="AK257">
        <v>0</v>
      </c>
      <c r="AL257">
        <v>975</v>
      </c>
      <c r="AM257">
        <v>975</v>
      </c>
      <c r="AN257" t="s">
        <v>102</v>
      </c>
      <c r="AO257" t="s">
        <v>103</v>
      </c>
      <c r="AP257" t="s">
        <v>104</v>
      </c>
      <c r="AQ257" t="s">
        <v>105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96</v>
      </c>
      <c r="BC257">
        <v>8</v>
      </c>
      <c r="BD257" t="s">
        <v>106</v>
      </c>
      <c r="BE257">
        <v>1</v>
      </c>
      <c r="BF257" t="s">
        <v>97</v>
      </c>
      <c r="BG257" t="s">
        <v>155</v>
      </c>
      <c r="BH257">
        <v>1999</v>
      </c>
      <c r="BI257" t="s">
        <v>156</v>
      </c>
      <c r="BJ257">
        <v>2</v>
      </c>
      <c r="BK257">
        <v>429</v>
      </c>
      <c r="BL257" t="s">
        <v>97</v>
      </c>
      <c r="BM257" t="s">
        <v>97</v>
      </c>
      <c r="BN257" t="s">
        <v>104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X257">
        <v>0</v>
      </c>
      <c r="BY257">
        <v>2</v>
      </c>
      <c r="BZ257">
        <v>2006</v>
      </c>
      <c r="CA257" t="s">
        <v>109</v>
      </c>
      <c r="CB257" t="s">
        <v>110</v>
      </c>
      <c r="CC257">
        <v>230000</v>
      </c>
    </row>
    <row r="258" spans="1:81" x14ac:dyDescent="0.3">
      <c r="A258">
        <v>257</v>
      </c>
      <c r="B258">
        <v>60</v>
      </c>
      <c r="C258" t="s">
        <v>191</v>
      </c>
      <c r="D258">
        <v>64</v>
      </c>
      <c r="E258">
        <v>8791</v>
      </c>
      <c r="F258" t="s">
        <v>82</v>
      </c>
      <c r="H258" t="s">
        <v>119</v>
      </c>
      <c r="I258" t="s">
        <v>84</v>
      </c>
      <c r="J258" t="s">
        <v>85</v>
      </c>
      <c r="K258" t="s">
        <v>86</v>
      </c>
      <c r="L258" t="s">
        <v>87</v>
      </c>
      <c r="M258" t="s">
        <v>135</v>
      </c>
      <c r="N258" t="s">
        <v>89</v>
      </c>
      <c r="O258" t="s">
        <v>89</v>
      </c>
      <c r="P258" t="s">
        <v>90</v>
      </c>
      <c r="Q258" t="s">
        <v>91</v>
      </c>
      <c r="R258">
        <v>6</v>
      </c>
      <c r="S258">
        <v>5</v>
      </c>
      <c r="T258">
        <v>2003</v>
      </c>
      <c r="U258">
        <v>2003</v>
      </c>
      <c r="V258" t="s">
        <v>92</v>
      </c>
      <c r="W258" t="s">
        <v>93</v>
      </c>
      <c r="X258" t="s">
        <v>94</v>
      </c>
      <c r="Y258" t="s">
        <v>94</v>
      </c>
      <c r="Z258" t="s">
        <v>116</v>
      </c>
      <c r="AA258">
        <v>0</v>
      </c>
      <c r="AB258" t="s">
        <v>96</v>
      </c>
      <c r="AC258" t="s">
        <v>97</v>
      </c>
      <c r="AD258" t="s">
        <v>98</v>
      </c>
      <c r="AE258" t="s">
        <v>96</v>
      </c>
      <c r="AF258" t="s">
        <v>97</v>
      </c>
      <c r="AG258" t="s">
        <v>99</v>
      </c>
      <c r="AH258" t="s">
        <v>152</v>
      </c>
      <c r="AI258">
        <v>503</v>
      </c>
      <c r="AJ258" t="s">
        <v>101</v>
      </c>
      <c r="AK258">
        <v>0</v>
      </c>
      <c r="AL258">
        <v>361</v>
      </c>
      <c r="AM258">
        <v>864</v>
      </c>
      <c r="AN258" t="s">
        <v>102</v>
      </c>
      <c r="AO258" t="s">
        <v>103</v>
      </c>
      <c r="AP258" t="s">
        <v>104</v>
      </c>
      <c r="AQ258" t="s">
        <v>105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96</v>
      </c>
      <c r="BC258">
        <v>7</v>
      </c>
      <c r="BD258" t="s">
        <v>106</v>
      </c>
      <c r="BE258">
        <v>0</v>
      </c>
      <c r="BG258" t="s">
        <v>107</v>
      </c>
      <c r="BH258">
        <v>2003</v>
      </c>
      <c r="BI258" t="s">
        <v>108</v>
      </c>
      <c r="BJ258">
        <v>2</v>
      </c>
      <c r="BK258">
        <v>673</v>
      </c>
      <c r="BL258" t="s">
        <v>97</v>
      </c>
      <c r="BM258" t="s">
        <v>97</v>
      </c>
      <c r="BN258" t="s">
        <v>104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X258">
        <v>0</v>
      </c>
      <c r="BY258">
        <v>5</v>
      </c>
      <c r="BZ258">
        <v>2008</v>
      </c>
      <c r="CA258" t="s">
        <v>109</v>
      </c>
      <c r="CB258" t="s">
        <v>110</v>
      </c>
      <c r="CC258">
        <v>207500</v>
      </c>
    </row>
    <row r="259" spans="1:81" x14ac:dyDescent="0.3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H259" t="s">
        <v>83</v>
      </c>
      <c r="I259" t="s">
        <v>84</v>
      </c>
      <c r="J259" t="s">
        <v>85</v>
      </c>
      <c r="K259" t="s">
        <v>86</v>
      </c>
      <c r="L259" t="s">
        <v>87</v>
      </c>
      <c r="M259" t="s">
        <v>88</v>
      </c>
      <c r="N259" t="s">
        <v>89</v>
      </c>
      <c r="O259" t="s">
        <v>89</v>
      </c>
      <c r="P259" t="s">
        <v>90</v>
      </c>
      <c r="Q259" t="s">
        <v>114</v>
      </c>
      <c r="R259">
        <v>7</v>
      </c>
      <c r="S259">
        <v>5</v>
      </c>
      <c r="T259">
        <v>2006</v>
      </c>
      <c r="U259">
        <v>2006</v>
      </c>
      <c r="V259" t="s">
        <v>92</v>
      </c>
      <c r="W259" t="s">
        <v>93</v>
      </c>
      <c r="X259" t="s">
        <v>94</v>
      </c>
      <c r="Y259" t="s">
        <v>94</v>
      </c>
      <c r="Z259" t="s">
        <v>136</v>
      </c>
      <c r="AA259">
        <v>180</v>
      </c>
      <c r="AB259" t="s">
        <v>96</v>
      </c>
      <c r="AC259" t="s">
        <v>97</v>
      </c>
      <c r="AD259" t="s">
        <v>98</v>
      </c>
      <c r="AE259" t="s">
        <v>96</v>
      </c>
      <c r="AF259" t="s">
        <v>97</v>
      </c>
      <c r="AG259" t="s">
        <v>99</v>
      </c>
      <c r="AH259" t="s">
        <v>100</v>
      </c>
      <c r="AI259">
        <v>1334</v>
      </c>
      <c r="AJ259" t="s">
        <v>101</v>
      </c>
      <c r="AK259">
        <v>0</v>
      </c>
      <c r="AL259">
        <v>270</v>
      </c>
      <c r="AM259">
        <v>1604</v>
      </c>
      <c r="AN259" t="s">
        <v>102</v>
      </c>
      <c r="AO259" t="s">
        <v>103</v>
      </c>
      <c r="AP259" t="s">
        <v>104</v>
      </c>
      <c r="AQ259" t="s">
        <v>105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96</v>
      </c>
      <c r="BC259">
        <v>8</v>
      </c>
      <c r="BD259" t="s">
        <v>106</v>
      </c>
      <c r="BE259">
        <v>1</v>
      </c>
      <c r="BF259" t="s">
        <v>96</v>
      </c>
      <c r="BG259" t="s">
        <v>107</v>
      </c>
      <c r="BH259">
        <v>2006</v>
      </c>
      <c r="BI259" t="s">
        <v>108</v>
      </c>
      <c r="BJ259">
        <v>2</v>
      </c>
      <c r="BK259">
        <v>660</v>
      </c>
      <c r="BL259" t="s">
        <v>97</v>
      </c>
      <c r="BM259" t="s">
        <v>97</v>
      </c>
      <c r="BN259" t="s">
        <v>104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X259">
        <v>0</v>
      </c>
      <c r="BY259">
        <v>3</v>
      </c>
      <c r="BZ259">
        <v>2009</v>
      </c>
      <c r="CA259" t="s">
        <v>109</v>
      </c>
      <c r="CB259" t="s">
        <v>127</v>
      </c>
      <c r="CC259">
        <v>220000</v>
      </c>
    </row>
    <row r="260" spans="1:81" x14ac:dyDescent="0.3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H260" t="s">
        <v>83</v>
      </c>
      <c r="I260" t="s">
        <v>84</v>
      </c>
      <c r="J260" t="s">
        <v>85</v>
      </c>
      <c r="K260" t="s">
        <v>86</v>
      </c>
      <c r="L260" t="s">
        <v>87</v>
      </c>
      <c r="M260" t="s">
        <v>88</v>
      </c>
      <c r="N260" t="s">
        <v>89</v>
      </c>
      <c r="O260" t="s">
        <v>89</v>
      </c>
      <c r="P260" t="s">
        <v>90</v>
      </c>
      <c r="Q260" t="s">
        <v>91</v>
      </c>
      <c r="R260">
        <v>7</v>
      </c>
      <c r="S260">
        <v>5</v>
      </c>
      <c r="T260">
        <v>2001</v>
      </c>
      <c r="U260">
        <v>2001</v>
      </c>
      <c r="V260" t="s">
        <v>92</v>
      </c>
      <c r="W260" t="s">
        <v>93</v>
      </c>
      <c r="X260" t="s">
        <v>94</v>
      </c>
      <c r="Y260" t="s">
        <v>94</v>
      </c>
      <c r="Z260" t="s">
        <v>95</v>
      </c>
      <c r="AA260">
        <v>172</v>
      </c>
      <c r="AB260" t="s">
        <v>96</v>
      </c>
      <c r="AC260" t="s">
        <v>97</v>
      </c>
      <c r="AD260" t="s">
        <v>98</v>
      </c>
      <c r="AE260" t="s">
        <v>96</v>
      </c>
      <c r="AF260" t="s">
        <v>97</v>
      </c>
      <c r="AG260" t="s">
        <v>99</v>
      </c>
      <c r="AH260" t="s">
        <v>100</v>
      </c>
      <c r="AI260">
        <v>361</v>
      </c>
      <c r="AJ260" t="s">
        <v>101</v>
      </c>
      <c r="AK260">
        <v>0</v>
      </c>
      <c r="AL260">
        <v>602</v>
      </c>
      <c r="AM260">
        <v>963</v>
      </c>
      <c r="AN260" t="s">
        <v>102</v>
      </c>
      <c r="AO260" t="s">
        <v>103</v>
      </c>
      <c r="AP260" t="s">
        <v>104</v>
      </c>
      <c r="AQ260" t="s">
        <v>105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96</v>
      </c>
      <c r="BC260">
        <v>7</v>
      </c>
      <c r="BD260" t="s">
        <v>106</v>
      </c>
      <c r="BE260">
        <v>1</v>
      </c>
      <c r="BF260" t="s">
        <v>97</v>
      </c>
      <c r="BG260" t="s">
        <v>107</v>
      </c>
      <c r="BH260">
        <v>2001</v>
      </c>
      <c r="BI260" t="s">
        <v>108</v>
      </c>
      <c r="BJ260">
        <v>2</v>
      </c>
      <c r="BK260">
        <v>564</v>
      </c>
      <c r="BL260" t="s">
        <v>97</v>
      </c>
      <c r="BM260" t="s">
        <v>97</v>
      </c>
      <c r="BN260" t="s">
        <v>104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X260">
        <v>0</v>
      </c>
      <c r="BY260">
        <v>5</v>
      </c>
      <c r="BZ260">
        <v>2008</v>
      </c>
      <c r="CA260" t="s">
        <v>109</v>
      </c>
      <c r="CB260" t="s">
        <v>110</v>
      </c>
      <c r="CC260">
        <v>231500</v>
      </c>
    </row>
    <row r="261" spans="1:81" x14ac:dyDescent="0.3">
      <c r="A261">
        <v>260</v>
      </c>
      <c r="B261">
        <v>20</v>
      </c>
      <c r="C261" t="s">
        <v>141</v>
      </c>
      <c r="D261">
        <v>70</v>
      </c>
      <c r="E261">
        <v>12702</v>
      </c>
      <c r="F261" t="s">
        <v>82</v>
      </c>
      <c r="H261" t="s">
        <v>83</v>
      </c>
      <c r="I261" t="s">
        <v>84</v>
      </c>
      <c r="J261" t="s">
        <v>85</v>
      </c>
      <c r="K261" t="s">
        <v>86</v>
      </c>
      <c r="L261" t="s">
        <v>87</v>
      </c>
      <c r="M261" t="s">
        <v>142</v>
      </c>
      <c r="N261" t="s">
        <v>89</v>
      </c>
      <c r="O261" t="s">
        <v>89</v>
      </c>
      <c r="P261" t="s">
        <v>90</v>
      </c>
      <c r="Q261" t="s">
        <v>114</v>
      </c>
      <c r="R261">
        <v>5</v>
      </c>
      <c r="S261">
        <v>5</v>
      </c>
      <c r="T261">
        <v>1956</v>
      </c>
      <c r="U261">
        <v>1956</v>
      </c>
      <c r="V261" t="s">
        <v>92</v>
      </c>
      <c r="W261" t="s">
        <v>93</v>
      </c>
      <c r="X261" t="s">
        <v>95</v>
      </c>
      <c r="Y261" t="s">
        <v>95</v>
      </c>
      <c r="Z261" t="s">
        <v>116</v>
      </c>
      <c r="AA261">
        <v>0</v>
      </c>
      <c r="AB261" t="s">
        <v>97</v>
      </c>
      <c r="AC261" t="s">
        <v>97</v>
      </c>
      <c r="AD261" t="s">
        <v>98</v>
      </c>
      <c r="AI261">
        <v>0</v>
      </c>
      <c r="AK261">
        <v>0</v>
      </c>
      <c r="AL261">
        <v>0</v>
      </c>
      <c r="AM261">
        <v>0</v>
      </c>
      <c r="AN261" t="s">
        <v>102</v>
      </c>
      <c r="AO261" t="s">
        <v>96</v>
      </c>
      <c r="AP261" t="s">
        <v>104</v>
      </c>
      <c r="AQ261" t="s">
        <v>163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97</v>
      </c>
      <c r="BC261">
        <v>4</v>
      </c>
      <c r="BD261" t="s">
        <v>106</v>
      </c>
      <c r="BE261">
        <v>0</v>
      </c>
      <c r="BG261" t="s">
        <v>126</v>
      </c>
      <c r="BH261">
        <v>1956</v>
      </c>
      <c r="BI261" t="s">
        <v>101</v>
      </c>
      <c r="BJ261">
        <v>1</v>
      </c>
      <c r="BK261">
        <v>308</v>
      </c>
      <c r="BL261" t="s">
        <v>97</v>
      </c>
      <c r="BM261" t="s">
        <v>97</v>
      </c>
      <c r="BN261" t="s">
        <v>104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X261">
        <v>0</v>
      </c>
      <c r="BY261">
        <v>12</v>
      </c>
      <c r="BZ261">
        <v>2008</v>
      </c>
      <c r="CA261" t="s">
        <v>109</v>
      </c>
      <c r="CB261" t="s">
        <v>110</v>
      </c>
      <c r="CC261">
        <v>97000</v>
      </c>
    </row>
    <row r="262" spans="1:81" x14ac:dyDescent="0.3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H262" t="s">
        <v>83</v>
      </c>
      <c r="I262" t="s">
        <v>84</v>
      </c>
      <c r="J262" t="s">
        <v>85</v>
      </c>
      <c r="K262" t="s">
        <v>121</v>
      </c>
      <c r="L262" t="s">
        <v>87</v>
      </c>
      <c r="M262" t="s">
        <v>270</v>
      </c>
      <c r="N262" t="s">
        <v>143</v>
      </c>
      <c r="O262" t="s">
        <v>89</v>
      </c>
      <c r="P262" t="s">
        <v>90</v>
      </c>
      <c r="Q262" t="s">
        <v>196</v>
      </c>
      <c r="R262">
        <v>6</v>
      </c>
      <c r="S262">
        <v>5</v>
      </c>
      <c r="T262">
        <v>1962</v>
      </c>
      <c r="U262">
        <v>1962</v>
      </c>
      <c r="V262" t="s">
        <v>92</v>
      </c>
      <c r="W262" t="s">
        <v>93</v>
      </c>
      <c r="X262" t="s">
        <v>123</v>
      </c>
      <c r="Y262" t="s">
        <v>123</v>
      </c>
      <c r="Z262" t="s">
        <v>95</v>
      </c>
      <c r="AA262">
        <v>399</v>
      </c>
      <c r="AB262" t="s">
        <v>97</v>
      </c>
      <c r="AC262" t="s">
        <v>97</v>
      </c>
      <c r="AD262" t="s">
        <v>117</v>
      </c>
      <c r="AE262" t="s">
        <v>97</v>
      </c>
      <c r="AF262" t="s">
        <v>97</v>
      </c>
      <c r="AG262" t="s">
        <v>96</v>
      </c>
      <c r="AH262" t="s">
        <v>152</v>
      </c>
      <c r="AI262">
        <v>672</v>
      </c>
      <c r="AJ262" t="s">
        <v>118</v>
      </c>
      <c r="AK262">
        <v>690</v>
      </c>
      <c r="AL262">
        <v>0</v>
      </c>
      <c r="AM262">
        <v>1362</v>
      </c>
      <c r="AN262" t="s">
        <v>102</v>
      </c>
      <c r="AO262" t="s">
        <v>97</v>
      </c>
      <c r="AP262" t="s">
        <v>104</v>
      </c>
      <c r="AQ262" t="s">
        <v>105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97</v>
      </c>
      <c r="BC262">
        <v>6</v>
      </c>
      <c r="BD262" t="s">
        <v>106</v>
      </c>
      <c r="BE262">
        <v>1</v>
      </c>
      <c r="BF262" t="s">
        <v>97</v>
      </c>
      <c r="BG262" t="s">
        <v>107</v>
      </c>
      <c r="BH262">
        <v>1991</v>
      </c>
      <c r="BI262" t="s">
        <v>101</v>
      </c>
      <c r="BJ262">
        <v>2</v>
      </c>
      <c r="BK262">
        <v>884</v>
      </c>
      <c r="BL262" t="s">
        <v>97</v>
      </c>
      <c r="BM262" t="s">
        <v>97</v>
      </c>
      <c r="BN262" t="s">
        <v>104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V262" t="s">
        <v>162</v>
      </c>
      <c r="BX262">
        <v>0</v>
      </c>
      <c r="BY262">
        <v>5</v>
      </c>
      <c r="BZ262">
        <v>2009</v>
      </c>
      <c r="CA262" t="s">
        <v>109</v>
      </c>
      <c r="CB262" t="s">
        <v>110</v>
      </c>
      <c r="CC262">
        <v>176000</v>
      </c>
    </row>
    <row r="263" spans="1:81" x14ac:dyDescent="0.3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H263" t="s">
        <v>119</v>
      </c>
      <c r="I263" t="s">
        <v>84</v>
      </c>
      <c r="J263" t="s">
        <v>85</v>
      </c>
      <c r="K263" t="s">
        <v>86</v>
      </c>
      <c r="L263" t="s">
        <v>87</v>
      </c>
      <c r="M263" t="s">
        <v>88</v>
      </c>
      <c r="N263" t="s">
        <v>89</v>
      </c>
      <c r="O263" t="s">
        <v>89</v>
      </c>
      <c r="P263" t="s">
        <v>90</v>
      </c>
      <c r="Q263" t="s">
        <v>91</v>
      </c>
      <c r="R263">
        <v>8</v>
      </c>
      <c r="S263">
        <v>5</v>
      </c>
      <c r="T263">
        <v>2007</v>
      </c>
      <c r="U263">
        <v>2007</v>
      </c>
      <c r="V263" t="s">
        <v>92</v>
      </c>
      <c r="W263" t="s">
        <v>93</v>
      </c>
      <c r="X263" t="s">
        <v>179</v>
      </c>
      <c r="Y263" t="s">
        <v>180</v>
      </c>
      <c r="Z263" t="s">
        <v>136</v>
      </c>
      <c r="AA263">
        <v>270</v>
      </c>
      <c r="AB263" t="s">
        <v>96</v>
      </c>
      <c r="AC263" t="s">
        <v>97</v>
      </c>
      <c r="AD263" t="s">
        <v>98</v>
      </c>
      <c r="AE263" t="s">
        <v>103</v>
      </c>
      <c r="AF263" t="s">
        <v>97</v>
      </c>
      <c r="AG263" t="s">
        <v>99</v>
      </c>
      <c r="AH263" t="s">
        <v>101</v>
      </c>
      <c r="AI263">
        <v>0</v>
      </c>
      <c r="AJ263" t="s">
        <v>101</v>
      </c>
      <c r="AK263">
        <v>0</v>
      </c>
      <c r="AL263">
        <v>1482</v>
      </c>
      <c r="AM263">
        <v>1482</v>
      </c>
      <c r="AN263" t="s">
        <v>102</v>
      </c>
      <c r="AO263" t="s">
        <v>103</v>
      </c>
      <c r="AP263" t="s">
        <v>104</v>
      </c>
      <c r="AQ263" t="s">
        <v>105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103</v>
      </c>
      <c r="BC263">
        <v>10</v>
      </c>
      <c r="BD263" t="s">
        <v>106</v>
      </c>
      <c r="BE263">
        <v>1</v>
      </c>
      <c r="BF263" t="s">
        <v>96</v>
      </c>
      <c r="BG263" t="s">
        <v>155</v>
      </c>
      <c r="BH263">
        <v>2007</v>
      </c>
      <c r="BI263" t="s">
        <v>156</v>
      </c>
      <c r="BJ263">
        <v>3</v>
      </c>
      <c r="BK263">
        <v>868</v>
      </c>
      <c r="BL263" t="s">
        <v>97</v>
      </c>
      <c r="BM263" t="s">
        <v>97</v>
      </c>
      <c r="BN263" t="s">
        <v>104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X263">
        <v>0</v>
      </c>
      <c r="BY263">
        <v>11</v>
      </c>
      <c r="BZ263">
        <v>2007</v>
      </c>
      <c r="CA263" t="s">
        <v>157</v>
      </c>
      <c r="CB263" t="s">
        <v>158</v>
      </c>
      <c r="CC263">
        <v>276000</v>
      </c>
    </row>
    <row r="264" spans="1:81" x14ac:dyDescent="0.3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H264" t="s">
        <v>119</v>
      </c>
      <c r="I264" t="s">
        <v>84</v>
      </c>
      <c r="J264" t="s">
        <v>85</v>
      </c>
      <c r="K264" t="s">
        <v>121</v>
      </c>
      <c r="L264" t="s">
        <v>87</v>
      </c>
      <c r="M264" t="s">
        <v>150</v>
      </c>
      <c r="N264" t="s">
        <v>89</v>
      </c>
      <c r="O264" t="s">
        <v>89</v>
      </c>
      <c r="P264" t="s">
        <v>90</v>
      </c>
      <c r="Q264" t="s">
        <v>196</v>
      </c>
      <c r="R264">
        <v>6</v>
      </c>
      <c r="S264">
        <v>7</v>
      </c>
      <c r="T264">
        <v>1977</v>
      </c>
      <c r="U264">
        <v>1995</v>
      </c>
      <c r="V264" t="s">
        <v>92</v>
      </c>
      <c r="W264" t="s">
        <v>93</v>
      </c>
      <c r="X264" t="s">
        <v>139</v>
      </c>
      <c r="Y264" t="s">
        <v>160</v>
      </c>
      <c r="Z264" t="s">
        <v>95</v>
      </c>
      <c r="AA264">
        <v>46</v>
      </c>
      <c r="AB264" t="s">
        <v>97</v>
      </c>
      <c r="AC264" t="s">
        <v>97</v>
      </c>
      <c r="AD264" t="s">
        <v>117</v>
      </c>
      <c r="AE264" t="s">
        <v>96</v>
      </c>
      <c r="AF264" t="s">
        <v>96</v>
      </c>
      <c r="AG264" t="s">
        <v>129</v>
      </c>
      <c r="AH264" t="s">
        <v>118</v>
      </c>
      <c r="AI264">
        <v>506</v>
      </c>
      <c r="AJ264" t="s">
        <v>101</v>
      </c>
      <c r="AK264">
        <v>0</v>
      </c>
      <c r="AL264">
        <v>0</v>
      </c>
      <c r="AM264">
        <v>506</v>
      </c>
      <c r="AN264" t="s">
        <v>102</v>
      </c>
      <c r="AO264" t="s">
        <v>97</v>
      </c>
      <c r="AP264" t="s">
        <v>104</v>
      </c>
      <c r="AQ264" t="s">
        <v>105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97</v>
      </c>
      <c r="BC264">
        <v>6</v>
      </c>
      <c r="BD264" t="s">
        <v>106</v>
      </c>
      <c r="BE264">
        <v>1</v>
      </c>
      <c r="BF264" t="s">
        <v>97</v>
      </c>
      <c r="BG264" t="s">
        <v>107</v>
      </c>
      <c r="BH264">
        <v>1978</v>
      </c>
      <c r="BI264" t="s">
        <v>101</v>
      </c>
      <c r="BJ264">
        <v>2</v>
      </c>
      <c r="BK264">
        <v>492</v>
      </c>
      <c r="BL264" t="s">
        <v>97</v>
      </c>
      <c r="BM264" t="s">
        <v>97</v>
      </c>
      <c r="BN264" t="s">
        <v>104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V264" t="s">
        <v>162</v>
      </c>
      <c r="BX264">
        <v>0</v>
      </c>
      <c r="BY264">
        <v>7</v>
      </c>
      <c r="BZ264">
        <v>2006</v>
      </c>
      <c r="CA264" t="s">
        <v>109</v>
      </c>
      <c r="CB264" t="s">
        <v>110</v>
      </c>
      <c r="CC264">
        <v>151000</v>
      </c>
    </row>
    <row r="265" spans="1:81" x14ac:dyDescent="0.3">
      <c r="A265">
        <v>264</v>
      </c>
      <c r="B265">
        <v>50</v>
      </c>
      <c r="C265" t="s">
        <v>141</v>
      </c>
      <c r="D265">
        <v>50</v>
      </c>
      <c r="E265">
        <v>5500</v>
      </c>
      <c r="F265" t="s">
        <v>82</v>
      </c>
      <c r="H265" t="s">
        <v>83</v>
      </c>
      <c r="I265" t="s">
        <v>84</v>
      </c>
      <c r="J265" t="s">
        <v>85</v>
      </c>
      <c r="K265" t="s">
        <v>121</v>
      </c>
      <c r="L265" t="s">
        <v>87</v>
      </c>
      <c r="M265" t="s">
        <v>142</v>
      </c>
      <c r="N265" t="s">
        <v>89</v>
      </c>
      <c r="O265" t="s">
        <v>89</v>
      </c>
      <c r="P265" t="s">
        <v>90</v>
      </c>
      <c r="Q265" t="s">
        <v>131</v>
      </c>
      <c r="R265">
        <v>5</v>
      </c>
      <c r="S265">
        <v>7</v>
      </c>
      <c r="T265">
        <v>1929</v>
      </c>
      <c r="U265">
        <v>2001</v>
      </c>
      <c r="V265" t="s">
        <v>92</v>
      </c>
      <c r="W265" t="s">
        <v>93</v>
      </c>
      <c r="X265" t="s">
        <v>123</v>
      </c>
      <c r="Y265" t="s">
        <v>123</v>
      </c>
      <c r="Z265" t="s">
        <v>116</v>
      </c>
      <c r="AA265">
        <v>0</v>
      </c>
      <c r="AB265" t="s">
        <v>97</v>
      </c>
      <c r="AC265" t="s">
        <v>97</v>
      </c>
      <c r="AD265" t="s">
        <v>125</v>
      </c>
      <c r="AE265" t="s">
        <v>97</v>
      </c>
      <c r="AF265" t="s">
        <v>97</v>
      </c>
      <c r="AG265" t="s">
        <v>99</v>
      </c>
      <c r="AH265" t="s">
        <v>171</v>
      </c>
      <c r="AI265">
        <v>234</v>
      </c>
      <c r="AJ265" t="s">
        <v>118</v>
      </c>
      <c r="AK265">
        <v>692</v>
      </c>
      <c r="AL265">
        <v>0</v>
      </c>
      <c r="AM265">
        <v>926</v>
      </c>
      <c r="AN265" t="s">
        <v>102</v>
      </c>
      <c r="AO265" t="s">
        <v>97</v>
      </c>
      <c r="AP265" t="s">
        <v>104</v>
      </c>
      <c r="AQ265" t="s">
        <v>105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97</v>
      </c>
      <c r="BC265">
        <v>6</v>
      </c>
      <c r="BD265" t="s">
        <v>106</v>
      </c>
      <c r="BE265">
        <v>0</v>
      </c>
      <c r="BG265" t="s">
        <v>126</v>
      </c>
      <c r="BH265">
        <v>1974</v>
      </c>
      <c r="BI265" t="s">
        <v>101</v>
      </c>
      <c r="BJ265">
        <v>2</v>
      </c>
      <c r="BK265">
        <v>484</v>
      </c>
      <c r="BL265" t="s">
        <v>97</v>
      </c>
      <c r="BM265" t="s">
        <v>97</v>
      </c>
      <c r="BN265" t="s">
        <v>104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X265">
        <v>0</v>
      </c>
      <c r="BY265">
        <v>4</v>
      </c>
      <c r="BZ265">
        <v>2010</v>
      </c>
      <c r="CA265" t="s">
        <v>109</v>
      </c>
      <c r="CB265" t="s">
        <v>110</v>
      </c>
      <c r="CC265">
        <v>130000</v>
      </c>
    </row>
    <row r="266" spans="1:81" x14ac:dyDescent="0.3">
      <c r="A266">
        <v>265</v>
      </c>
      <c r="B266">
        <v>30</v>
      </c>
      <c r="C266" t="s">
        <v>141</v>
      </c>
      <c r="D266">
        <v>30</v>
      </c>
      <c r="E266">
        <v>5232</v>
      </c>
      <c r="F266" t="s">
        <v>82</v>
      </c>
      <c r="G266" t="s">
        <v>173</v>
      </c>
      <c r="H266" t="s">
        <v>230</v>
      </c>
      <c r="I266" t="s">
        <v>174</v>
      </c>
      <c r="J266" t="s">
        <v>85</v>
      </c>
      <c r="K266" t="s">
        <v>86</v>
      </c>
      <c r="L266" t="s">
        <v>87</v>
      </c>
      <c r="M266" t="s">
        <v>142</v>
      </c>
      <c r="N266" t="s">
        <v>143</v>
      </c>
      <c r="O266" t="s">
        <v>89</v>
      </c>
      <c r="P266" t="s">
        <v>90</v>
      </c>
      <c r="Q266" t="s">
        <v>114</v>
      </c>
      <c r="R266">
        <v>5</v>
      </c>
      <c r="S266">
        <v>5</v>
      </c>
      <c r="T266">
        <v>1925</v>
      </c>
      <c r="U266">
        <v>2004</v>
      </c>
      <c r="V266" t="s">
        <v>92</v>
      </c>
      <c r="W266" t="s">
        <v>93</v>
      </c>
      <c r="X266" t="s">
        <v>123</v>
      </c>
      <c r="Y266" t="s">
        <v>123</v>
      </c>
      <c r="Z266" t="s">
        <v>116</v>
      </c>
      <c r="AA266">
        <v>0</v>
      </c>
      <c r="AB266" t="s">
        <v>97</v>
      </c>
      <c r="AC266" t="s">
        <v>97</v>
      </c>
      <c r="AD266" t="s">
        <v>125</v>
      </c>
      <c r="AE266" t="s">
        <v>146</v>
      </c>
      <c r="AF266" t="s">
        <v>97</v>
      </c>
      <c r="AG266" t="s">
        <v>99</v>
      </c>
      <c r="AH266" t="s">
        <v>101</v>
      </c>
      <c r="AI266">
        <v>0</v>
      </c>
      <c r="AJ266" t="s">
        <v>101</v>
      </c>
      <c r="AK266">
        <v>0</v>
      </c>
      <c r="AL266">
        <v>680</v>
      </c>
      <c r="AM266">
        <v>680</v>
      </c>
      <c r="AN266" t="s">
        <v>102</v>
      </c>
      <c r="AO266" t="s">
        <v>96</v>
      </c>
      <c r="AP266" t="s">
        <v>176</v>
      </c>
      <c r="AQ266" t="s">
        <v>186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97</v>
      </c>
      <c r="BC266">
        <v>4</v>
      </c>
      <c r="BD266" t="s">
        <v>106</v>
      </c>
      <c r="BE266">
        <v>0</v>
      </c>
      <c r="BG266" t="s">
        <v>126</v>
      </c>
      <c r="BH266">
        <v>1965</v>
      </c>
      <c r="BI266" t="s">
        <v>101</v>
      </c>
      <c r="BJ266">
        <v>2</v>
      </c>
      <c r="BK266">
        <v>504</v>
      </c>
      <c r="BL266" t="s">
        <v>97</v>
      </c>
      <c r="BM266" t="s">
        <v>97</v>
      </c>
      <c r="BN266" t="s">
        <v>176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X266">
        <v>0</v>
      </c>
      <c r="BY266">
        <v>6</v>
      </c>
      <c r="BZ266">
        <v>2008</v>
      </c>
      <c r="CA266" t="s">
        <v>109</v>
      </c>
      <c r="CB266" t="s">
        <v>110</v>
      </c>
      <c r="CC266">
        <v>73000</v>
      </c>
    </row>
    <row r="267" spans="1:81" x14ac:dyDescent="0.3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H267" t="s">
        <v>119</v>
      </c>
      <c r="I267" t="s">
        <v>84</v>
      </c>
      <c r="J267" t="s">
        <v>85</v>
      </c>
      <c r="K267" t="s">
        <v>86</v>
      </c>
      <c r="L267" t="s">
        <v>87</v>
      </c>
      <c r="M267" t="s">
        <v>137</v>
      </c>
      <c r="N267" t="s">
        <v>89</v>
      </c>
      <c r="O267" t="s">
        <v>89</v>
      </c>
      <c r="P267" t="s">
        <v>90</v>
      </c>
      <c r="Q267" t="s">
        <v>114</v>
      </c>
      <c r="R267">
        <v>6</v>
      </c>
      <c r="S267">
        <v>6</v>
      </c>
      <c r="T267">
        <v>1981</v>
      </c>
      <c r="U267">
        <v>1981</v>
      </c>
      <c r="V267" t="s">
        <v>92</v>
      </c>
      <c r="W267" t="s">
        <v>93</v>
      </c>
      <c r="X267" t="s">
        <v>115</v>
      </c>
      <c r="Y267" t="s">
        <v>115</v>
      </c>
      <c r="Z267" t="s">
        <v>95</v>
      </c>
      <c r="AA267">
        <v>210</v>
      </c>
      <c r="AB267" t="s">
        <v>97</v>
      </c>
      <c r="AC267" t="s">
        <v>96</v>
      </c>
      <c r="AD267" t="s">
        <v>117</v>
      </c>
      <c r="AE267" t="s">
        <v>96</v>
      </c>
      <c r="AF267" t="s">
        <v>97</v>
      </c>
      <c r="AG267" t="s">
        <v>99</v>
      </c>
      <c r="AH267" t="s">
        <v>100</v>
      </c>
      <c r="AI267">
        <v>588</v>
      </c>
      <c r="AJ267" t="s">
        <v>171</v>
      </c>
      <c r="AK267">
        <v>228</v>
      </c>
      <c r="AL267">
        <v>606</v>
      </c>
      <c r="AM267">
        <v>1422</v>
      </c>
      <c r="AN267" t="s">
        <v>102</v>
      </c>
      <c r="AO267" t="s">
        <v>97</v>
      </c>
      <c r="AP267" t="s">
        <v>104</v>
      </c>
      <c r="AQ267" t="s">
        <v>105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96</v>
      </c>
      <c r="BC267">
        <v>7</v>
      </c>
      <c r="BD267" t="s">
        <v>106</v>
      </c>
      <c r="BE267">
        <v>1</v>
      </c>
      <c r="BF267" t="s">
        <v>97</v>
      </c>
      <c r="BG267" t="s">
        <v>107</v>
      </c>
      <c r="BH267">
        <v>1981</v>
      </c>
      <c r="BI267" t="s">
        <v>156</v>
      </c>
      <c r="BJ267">
        <v>2</v>
      </c>
      <c r="BK267">
        <v>576</v>
      </c>
      <c r="BL267" t="s">
        <v>97</v>
      </c>
      <c r="BM267" t="s">
        <v>97</v>
      </c>
      <c r="BN267" t="s">
        <v>104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V267" t="s">
        <v>164</v>
      </c>
      <c r="BX267">
        <v>0</v>
      </c>
      <c r="BY267">
        <v>6</v>
      </c>
      <c r="BZ267">
        <v>2008</v>
      </c>
      <c r="CA267" t="s">
        <v>109</v>
      </c>
      <c r="CB267" t="s">
        <v>110</v>
      </c>
      <c r="CC267">
        <v>175500</v>
      </c>
    </row>
    <row r="268" spans="1:81" x14ac:dyDescent="0.3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H268" t="s">
        <v>119</v>
      </c>
      <c r="I268" t="s">
        <v>198</v>
      </c>
      <c r="J268" t="s">
        <v>85</v>
      </c>
      <c r="K268" t="s">
        <v>111</v>
      </c>
      <c r="L268" t="s">
        <v>87</v>
      </c>
      <c r="M268" t="s">
        <v>192</v>
      </c>
      <c r="N268" t="s">
        <v>89</v>
      </c>
      <c r="O268" t="s">
        <v>89</v>
      </c>
      <c r="P268" t="s">
        <v>90</v>
      </c>
      <c r="Q268" t="s">
        <v>91</v>
      </c>
      <c r="R268">
        <v>6</v>
      </c>
      <c r="S268">
        <v>5</v>
      </c>
      <c r="T268">
        <v>1997</v>
      </c>
      <c r="U268">
        <v>1997</v>
      </c>
      <c r="V268" t="s">
        <v>92</v>
      </c>
      <c r="W268" t="s">
        <v>93</v>
      </c>
      <c r="X268" t="s">
        <v>94</v>
      </c>
      <c r="Y268" t="s">
        <v>94</v>
      </c>
      <c r="Z268" t="s">
        <v>116</v>
      </c>
      <c r="AA268">
        <v>0</v>
      </c>
      <c r="AB268" t="s">
        <v>97</v>
      </c>
      <c r="AC268" t="s">
        <v>97</v>
      </c>
      <c r="AD268" t="s">
        <v>98</v>
      </c>
      <c r="AE268" t="s">
        <v>96</v>
      </c>
      <c r="AF268" t="s">
        <v>97</v>
      </c>
      <c r="AG268" t="s">
        <v>129</v>
      </c>
      <c r="AH268" t="s">
        <v>100</v>
      </c>
      <c r="AI268">
        <v>714</v>
      </c>
      <c r="AJ268" t="s">
        <v>101</v>
      </c>
      <c r="AK268">
        <v>0</v>
      </c>
      <c r="AL268">
        <v>88</v>
      </c>
      <c r="AM268">
        <v>802</v>
      </c>
      <c r="AN268" t="s">
        <v>102</v>
      </c>
      <c r="AO268" t="s">
        <v>96</v>
      </c>
      <c r="AP268" t="s">
        <v>104</v>
      </c>
      <c r="AQ268" t="s">
        <v>105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97</v>
      </c>
      <c r="BC268">
        <v>8</v>
      </c>
      <c r="BD268" t="s">
        <v>106</v>
      </c>
      <c r="BE268">
        <v>1</v>
      </c>
      <c r="BF268" t="s">
        <v>97</v>
      </c>
      <c r="BG268" t="s">
        <v>107</v>
      </c>
      <c r="BH268">
        <v>1997</v>
      </c>
      <c r="BI268" t="s">
        <v>156</v>
      </c>
      <c r="BJ268">
        <v>2</v>
      </c>
      <c r="BK268">
        <v>413</v>
      </c>
      <c r="BL268" t="s">
        <v>97</v>
      </c>
      <c r="BM268" t="s">
        <v>97</v>
      </c>
      <c r="BN268" t="s">
        <v>104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X268">
        <v>0</v>
      </c>
      <c r="BY268">
        <v>6</v>
      </c>
      <c r="BZ268">
        <v>2006</v>
      </c>
      <c r="CA268" t="s">
        <v>109</v>
      </c>
      <c r="CB268" t="s">
        <v>110</v>
      </c>
      <c r="CC268">
        <v>185000</v>
      </c>
    </row>
    <row r="269" spans="1:81" x14ac:dyDescent="0.3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H269" t="s">
        <v>83</v>
      </c>
      <c r="I269" t="s">
        <v>174</v>
      </c>
      <c r="J269" t="s">
        <v>85</v>
      </c>
      <c r="K269" t="s">
        <v>86</v>
      </c>
      <c r="L269" t="s">
        <v>193</v>
      </c>
      <c r="M269" t="s">
        <v>231</v>
      </c>
      <c r="N269" t="s">
        <v>89</v>
      </c>
      <c r="O269" t="s">
        <v>89</v>
      </c>
      <c r="P269" t="s">
        <v>90</v>
      </c>
      <c r="Q269" t="s">
        <v>224</v>
      </c>
      <c r="R269">
        <v>5</v>
      </c>
      <c r="S269">
        <v>8</v>
      </c>
      <c r="T269">
        <v>1939</v>
      </c>
      <c r="U269">
        <v>1997</v>
      </c>
      <c r="V269" t="s">
        <v>92</v>
      </c>
      <c r="W269" t="s">
        <v>93</v>
      </c>
      <c r="X269" t="s">
        <v>123</v>
      </c>
      <c r="Y269" t="s">
        <v>123</v>
      </c>
      <c r="Z269" t="s">
        <v>116</v>
      </c>
      <c r="AA269">
        <v>0</v>
      </c>
      <c r="AB269" t="s">
        <v>97</v>
      </c>
      <c r="AC269" t="s">
        <v>97</v>
      </c>
      <c r="AD269" t="s">
        <v>98</v>
      </c>
      <c r="AE269" t="s">
        <v>97</v>
      </c>
      <c r="AF269" t="s">
        <v>97</v>
      </c>
      <c r="AG269" t="s">
        <v>99</v>
      </c>
      <c r="AH269" t="s">
        <v>171</v>
      </c>
      <c r="AI269">
        <v>378</v>
      </c>
      <c r="AJ269" t="s">
        <v>101</v>
      </c>
      <c r="AK269">
        <v>0</v>
      </c>
      <c r="AL269">
        <v>342</v>
      </c>
      <c r="AM269">
        <v>720</v>
      </c>
      <c r="AN269" t="s">
        <v>102</v>
      </c>
      <c r="AO269" t="s">
        <v>103</v>
      </c>
      <c r="AP269" t="s">
        <v>104</v>
      </c>
      <c r="AQ269" t="s">
        <v>105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96</v>
      </c>
      <c r="BC269">
        <v>8</v>
      </c>
      <c r="BD269" t="s">
        <v>106</v>
      </c>
      <c r="BE269">
        <v>1</v>
      </c>
      <c r="BF269" t="s">
        <v>96</v>
      </c>
      <c r="BG269" t="s">
        <v>126</v>
      </c>
      <c r="BH269">
        <v>1939</v>
      </c>
      <c r="BI269" t="s">
        <v>101</v>
      </c>
      <c r="BJ269">
        <v>1</v>
      </c>
      <c r="BK269">
        <v>240</v>
      </c>
      <c r="BL269" t="s">
        <v>97</v>
      </c>
      <c r="BM269" t="s">
        <v>97</v>
      </c>
      <c r="BN269" t="s">
        <v>104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X269">
        <v>0</v>
      </c>
      <c r="BY269">
        <v>7</v>
      </c>
      <c r="BZ269">
        <v>2008</v>
      </c>
      <c r="CA269" t="s">
        <v>109</v>
      </c>
      <c r="CB269" t="s">
        <v>110</v>
      </c>
      <c r="CC269">
        <v>179500</v>
      </c>
    </row>
    <row r="270" spans="1:81" x14ac:dyDescent="0.3">
      <c r="A270">
        <v>269</v>
      </c>
      <c r="B270">
        <v>30</v>
      </c>
      <c r="C270" t="s">
        <v>141</v>
      </c>
      <c r="D270">
        <v>71</v>
      </c>
      <c r="E270">
        <v>6900</v>
      </c>
      <c r="F270" t="s">
        <v>82</v>
      </c>
      <c r="H270" t="s">
        <v>83</v>
      </c>
      <c r="I270" t="s">
        <v>84</v>
      </c>
      <c r="J270" t="s">
        <v>85</v>
      </c>
      <c r="K270" t="s">
        <v>86</v>
      </c>
      <c r="L270" t="s">
        <v>87</v>
      </c>
      <c r="M270" t="s">
        <v>175</v>
      </c>
      <c r="N270" t="s">
        <v>89</v>
      </c>
      <c r="O270" t="s">
        <v>89</v>
      </c>
      <c r="P270" t="s">
        <v>90</v>
      </c>
      <c r="Q270" t="s">
        <v>114</v>
      </c>
      <c r="R270">
        <v>5</v>
      </c>
      <c r="S270">
        <v>6</v>
      </c>
      <c r="T270">
        <v>1940</v>
      </c>
      <c r="U270">
        <v>1955</v>
      </c>
      <c r="V270" t="s">
        <v>92</v>
      </c>
      <c r="W270" t="s">
        <v>93</v>
      </c>
      <c r="X270" t="s">
        <v>94</v>
      </c>
      <c r="Y270" t="s">
        <v>94</v>
      </c>
      <c r="Z270" t="s">
        <v>116</v>
      </c>
      <c r="AA270">
        <v>0</v>
      </c>
      <c r="AB270" t="s">
        <v>97</v>
      </c>
      <c r="AC270" t="s">
        <v>97</v>
      </c>
      <c r="AD270" t="s">
        <v>117</v>
      </c>
      <c r="AE270" t="s">
        <v>97</v>
      </c>
      <c r="AF270" t="s">
        <v>97</v>
      </c>
      <c r="AG270" t="s">
        <v>99</v>
      </c>
      <c r="AH270" t="s">
        <v>118</v>
      </c>
      <c r="AI270">
        <v>403</v>
      </c>
      <c r="AJ270" t="s">
        <v>152</v>
      </c>
      <c r="AK270">
        <v>125</v>
      </c>
      <c r="AL270">
        <v>212</v>
      </c>
      <c r="AM270">
        <v>740</v>
      </c>
      <c r="AN270" t="s">
        <v>102</v>
      </c>
      <c r="AO270" t="s">
        <v>103</v>
      </c>
      <c r="AP270" t="s">
        <v>104</v>
      </c>
      <c r="AQ270" t="s">
        <v>105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97</v>
      </c>
      <c r="BC270">
        <v>4</v>
      </c>
      <c r="BD270" t="s">
        <v>106</v>
      </c>
      <c r="BE270">
        <v>1</v>
      </c>
      <c r="BF270" t="s">
        <v>96</v>
      </c>
      <c r="BG270" t="s">
        <v>126</v>
      </c>
      <c r="BH270">
        <v>1966</v>
      </c>
      <c r="BI270" t="s">
        <v>156</v>
      </c>
      <c r="BJ270">
        <v>1</v>
      </c>
      <c r="BK270">
        <v>924</v>
      </c>
      <c r="BL270" t="s">
        <v>103</v>
      </c>
      <c r="BM270" t="s">
        <v>103</v>
      </c>
      <c r="BN270" t="s">
        <v>104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X270">
        <v>0</v>
      </c>
      <c r="BY270">
        <v>2</v>
      </c>
      <c r="BZ270">
        <v>2008</v>
      </c>
      <c r="CA270" t="s">
        <v>109</v>
      </c>
      <c r="CB270" t="s">
        <v>110</v>
      </c>
      <c r="CC270">
        <v>120500</v>
      </c>
    </row>
    <row r="271" spans="1:81" x14ac:dyDescent="0.3">
      <c r="A271">
        <v>270</v>
      </c>
      <c r="B271">
        <v>20</v>
      </c>
      <c r="C271" t="s">
        <v>81</v>
      </c>
      <c r="E271">
        <v>7917</v>
      </c>
      <c r="F271" t="s">
        <v>82</v>
      </c>
      <c r="H271" t="s">
        <v>119</v>
      </c>
      <c r="I271" t="s">
        <v>84</v>
      </c>
      <c r="J271" t="s">
        <v>85</v>
      </c>
      <c r="K271" t="s">
        <v>121</v>
      </c>
      <c r="L271" t="s">
        <v>87</v>
      </c>
      <c r="M271" t="s">
        <v>184</v>
      </c>
      <c r="N271" t="s">
        <v>89</v>
      </c>
      <c r="O271" t="s">
        <v>89</v>
      </c>
      <c r="P271" t="s">
        <v>90</v>
      </c>
      <c r="Q271" t="s">
        <v>114</v>
      </c>
      <c r="R271">
        <v>6</v>
      </c>
      <c r="S271">
        <v>7</v>
      </c>
      <c r="T271">
        <v>1976</v>
      </c>
      <c r="U271">
        <v>1976</v>
      </c>
      <c r="V271" t="s">
        <v>151</v>
      </c>
      <c r="W271" t="s">
        <v>93</v>
      </c>
      <c r="X271" t="s">
        <v>139</v>
      </c>
      <c r="Y271" t="s">
        <v>139</v>
      </c>
      <c r="Z271" t="s">
        <v>95</v>
      </c>
      <c r="AA271">
        <v>174</v>
      </c>
      <c r="AB271" t="s">
        <v>97</v>
      </c>
      <c r="AC271" t="s">
        <v>96</v>
      </c>
      <c r="AD271" t="s">
        <v>117</v>
      </c>
      <c r="AE271" t="s">
        <v>97</v>
      </c>
      <c r="AF271" t="s">
        <v>96</v>
      </c>
      <c r="AG271" t="s">
        <v>99</v>
      </c>
      <c r="AH271" t="s">
        <v>140</v>
      </c>
      <c r="AI271">
        <v>751</v>
      </c>
      <c r="AJ271" t="s">
        <v>101</v>
      </c>
      <c r="AK271">
        <v>0</v>
      </c>
      <c r="AL271">
        <v>392</v>
      </c>
      <c r="AM271">
        <v>1143</v>
      </c>
      <c r="AN271" t="s">
        <v>102</v>
      </c>
      <c r="AO271" t="s">
        <v>97</v>
      </c>
      <c r="AP271" t="s">
        <v>104</v>
      </c>
      <c r="AQ271" t="s">
        <v>105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97</v>
      </c>
      <c r="BC271">
        <v>6</v>
      </c>
      <c r="BD271" t="s">
        <v>106</v>
      </c>
      <c r="BE271">
        <v>1</v>
      </c>
      <c r="BF271" t="s">
        <v>146</v>
      </c>
      <c r="BG271" t="s">
        <v>107</v>
      </c>
      <c r="BH271">
        <v>1987</v>
      </c>
      <c r="BI271" t="s">
        <v>108</v>
      </c>
      <c r="BJ271">
        <v>1</v>
      </c>
      <c r="BK271">
        <v>504</v>
      </c>
      <c r="BL271" t="s">
        <v>97</v>
      </c>
      <c r="BM271" t="s">
        <v>96</v>
      </c>
      <c r="BN271" t="s">
        <v>104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V271" t="s">
        <v>164</v>
      </c>
      <c r="BX271">
        <v>0</v>
      </c>
      <c r="BY271">
        <v>5</v>
      </c>
      <c r="BZ271">
        <v>2007</v>
      </c>
      <c r="CA271" t="s">
        <v>109</v>
      </c>
      <c r="CB271" t="s">
        <v>110</v>
      </c>
      <c r="CC271">
        <v>148000</v>
      </c>
    </row>
    <row r="272" spans="1:81" x14ac:dyDescent="0.3">
      <c r="A272">
        <v>271</v>
      </c>
      <c r="B272">
        <v>60</v>
      </c>
      <c r="C272" t="s">
        <v>191</v>
      </c>
      <c r="D272">
        <v>84</v>
      </c>
      <c r="E272">
        <v>10728</v>
      </c>
      <c r="F272" t="s">
        <v>82</v>
      </c>
      <c r="H272" t="s">
        <v>83</v>
      </c>
      <c r="I272" t="s">
        <v>84</v>
      </c>
      <c r="J272" t="s">
        <v>85</v>
      </c>
      <c r="K272" t="s">
        <v>86</v>
      </c>
      <c r="L272" t="s">
        <v>87</v>
      </c>
      <c r="M272" t="s">
        <v>135</v>
      </c>
      <c r="N272" t="s">
        <v>89</v>
      </c>
      <c r="O272" t="s">
        <v>89</v>
      </c>
      <c r="P272" t="s">
        <v>90</v>
      </c>
      <c r="Q272" t="s">
        <v>91</v>
      </c>
      <c r="R272">
        <v>8</v>
      </c>
      <c r="S272">
        <v>5</v>
      </c>
      <c r="T272">
        <v>2006</v>
      </c>
      <c r="U272">
        <v>2006</v>
      </c>
      <c r="V272" t="s">
        <v>92</v>
      </c>
      <c r="W272" t="s">
        <v>93</v>
      </c>
      <c r="X272" t="s">
        <v>94</v>
      </c>
      <c r="Y272" t="s">
        <v>94</v>
      </c>
      <c r="Z272" t="s">
        <v>116</v>
      </c>
      <c r="AA272">
        <v>0</v>
      </c>
      <c r="AB272" t="s">
        <v>96</v>
      </c>
      <c r="AC272" t="s">
        <v>97</v>
      </c>
      <c r="AD272" t="s">
        <v>98</v>
      </c>
      <c r="AE272" t="s">
        <v>96</v>
      </c>
      <c r="AF272" t="s">
        <v>97</v>
      </c>
      <c r="AG272" t="s">
        <v>120</v>
      </c>
      <c r="AH272" t="s">
        <v>101</v>
      </c>
      <c r="AI272">
        <v>0</v>
      </c>
      <c r="AJ272" t="s">
        <v>101</v>
      </c>
      <c r="AK272">
        <v>0</v>
      </c>
      <c r="AL272">
        <v>1095</v>
      </c>
      <c r="AM272">
        <v>1095</v>
      </c>
      <c r="AN272" t="s">
        <v>102</v>
      </c>
      <c r="AO272" t="s">
        <v>96</v>
      </c>
      <c r="AP272" t="s">
        <v>104</v>
      </c>
      <c r="AQ272" t="s">
        <v>105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96</v>
      </c>
      <c r="BC272">
        <v>8</v>
      </c>
      <c r="BD272" t="s">
        <v>106</v>
      </c>
      <c r="BE272">
        <v>1</v>
      </c>
      <c r="BF272" t="s">
        <v>96</v>
      </c>
      <c r="BG272" t="s">
        <v>107</v>
      </c>
      <c r="BH272">
        <v>2006</v>
      </c>
      <c r="BI272" t="s">
        <v>108</v>
      </c>
      <c r="BJ272">
        <v>3</v>
      </c>
      <c r="BK272">
        <v>1053</v>
      </c>
      <c r="BL272" t="s">
        <v>97</v>
      </c>
      <c r="BM272" t="s">
        <v>97</v>
      </c>
      <c r="BN272" t="s">
        <v>104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X272">
        <v>0</v>
      </c>
      <c r="BY272">
        <v>8</v>
      </c>
      <c r="BZ272">
        <v>2006</v>
      </c>
      <c r="CA272" t="s">
        <v>157</v>
      </c>
      <c r="CB272" t="s">
        <v>158</v>
      </c>
      <c r="CC272">
        <v>266000</v>
      </c>
    </row>
    <row r="273" spans="1:81" x14ac:dyDescent="0.3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H273" t="s">
        <v>119</v>
      </c>
      <c r="I273" t="s">
        <v>194</v>
      </c>
      <c r="J273" t="s">
        <v>85</v>
      </c>
      <c r="K273" t="s">
        <v>165</v>
      </c>
      <c r="L273" t="s">
        <v>212</v>
      </c>
      <c r="M273" t="s">
        <v>204</v>
      </c>
      <c r="N273" t="s">
        <v>89</v>
      </c>
      <c r="O273" t="s">
        <v>89</v>
      </c>
      <c r="P273" t="s">
        <v>90</v>
      </c>
      <c r="Q273" t="s">
        <v>114</v>
      </c>
      <c r="R273">
        <v>7</v>
      </c>
      <c r="S273">
        <v>7</v>
      </c>
      <c r="T273">
        <v>1954</v>
      </c>
      <c r="U273">
        <v>2005</v>
      </c>
      <c r="V273" t="s">
        <v>213</v>
      </c>
      <c r="W273" t="s">
        <v>232</v>
      </c>
      <c r="X273" t="s">
        <v>160</v>
      </c>
      <c r="Y273" t="s">
        <v>160</v>
      </c>
      <c r="Z273" t="s">
        <v>116</v>
      </c>
      <c r="AA273">
        <v>0</v>
      </c>
      <c r="AB273" t="s">
        <v>97</v>
      </c>
      <c r="AC273" t="s">
        <v>97</v>
      </c>
      <c r="AD273" t="s">
        <v>117</v>
      </c>
      <c r="AE273" t="s">
        <v>96</v>
      </c>
      <c r="AF273" t="s">
        <v>97</v>
      </c>
      <c r="AG273" t="s">
        <v>96</v>
      </c>
      <c r="AH273" t="s">
        <v>171</v>
      </c>
      <c r="AI273">
        <v>226</v>
      </c>
      <c r="AJ273" t="s">
        <v>100</v>
      </c>
      <c r="AK273">
        <v>1063</v>
      </c>
      <c r="AL273">
        <v>96</v>
      </c>
      <c r="AM273">
        <v>1385</v>
      </c>
      <c r="AN273" t="s">
        <v>102</v>
      </c>
      <c r="AO273" t="s">
        <v>103</v>
      </c>
      <c r="AP273" t="s">
        <v>104</v>
      </c>
      <c r="AQ273" t="s">
        <v>105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97</v>
      </c>
      <c r="BC273">
        <v>5</v>
      </c>
      <c r="BD273" t="s">
        <v>193</v>
      </c>
      <c r="BE273">
        <v>2</v>
      </c>
      <c r="BF273" t="s">
        <v>97</v>
      </c>
      <c r="BG273" t="s">
        <v>107</v>
      </c>
      <c r="BH273">
        <v>1954</v>
      </c>
      <c r="BI273" t="s">
        <v>101</v>
      </c>
      <c r="BJ273">
        <v>2</v>
      </c>
      <c r="BK273">
        <v>439</v>
      </c>
      <c r="BL273" t="s">
        <v>97</v>
      </c>
      <c r="BM273" t="s">
        <v>97</v>
      </c>
      <c r="BN273" t="s">
        <v>104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X273">
        <v>0</v>
      </c>
      <c r="BY273">
        <v>4</v>
      </c>
      <c r="BZ273">
        <v>2008</v>
      </c>
      <c r="CA273" t="s">
        <v>109</v>
      </c>
      <c r="CB273" t="s">
        <v>110</v>
      </c>
      <c r="CC273">
        <v>241500</v>
      </c>
    </row>
    <row r="274" spans="1:81" x14ac:dyDescent="0.3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H274" t="s">
        <v>119</v>
      </c>
      <c r="I274" t="s">
        <v>84</v>
      </c>
      <c r="J274" t="s">
        <v>85</v>
      </c>
      <c r="K274" t="s">
        <v>165</v>
      </c>
      <c r="L274" t="s">
        <v>87</v>
      </c>
      <c r="M274" t="s">
        <v>128</v>
      </c>
      <c r="N274" t="s">
        <v>89</v>
      </c>
      <c r="O274" t="s">
        <v>89</v>
      </c>
      <c r="P274" t="s">
        <v>90</v>
      </c>
      <c r="Q274" t="s">
        <v>91</v>
      </c>
      <c r="R274">
        <v>8</v>
      </c>
      <c r="S274">
        <v>7</v>
      </c>
      <c r="T274">
        <v>1999</v>
      </c>
      <c r="U274">
        <v>2007</v>
      </c>
      <c r="V274" t="s">
        <v>92</v>
      </c>
      <c r="W274" t="s">
        <v>93</v>
      </c>
      <c r="X274" t="s">
        <v>94</v>
      </c>
      <c r="Y274" t="s">
        <v>94</v>
      </c>
      <c r="Z274" t="s">
        <v>95</v>
      </c>
      <c r="AA274">
        <v>348</v>
      </c>
      <c r="AB274" t="s">
        <v>96</v>
      </c>
      <c r="AC274" t="s">
        <v>97</v>
      </c>
      <c r="AD274" t="s">
        <v>98</v>
      </c>
      <c r="AE274" t="s">
        <v>96</v>
      </c>
      <c r="AF274" t="s">
        <v>97</v>
      </c>
      <c r="AG274" t="s">
        <v>99</v>
      </c>
      <c r="AH274" t="s">
        <v>100</v>
      </c>
      <c r="AI274">
        <v>524</v>
      </c>
      <c r="AJ274" t="s">
        <v>101</v>
      </c>
      <c r="AK274">
        <v>0</v>
      </c>
      <c r="AL274">
        <v>628</v>
      </c>
      <c r="AM274">
        <v>1152</v>
      </c>
      <c r="AN274" t="s">
        <v>102</v>
      </c>
      <c r="AO274" t="s">
        <v>103</v>
      </c>
      <c r="AP274" t="s">
        <v>104</v>
      </c>
      <c r="AQ274" t="s">
        <v>105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96</v>
      </c>
      <c r="BC274">
        <v>9</v>
      </c>
      <c r="BD274" t="s">
        <v>106</v>
      </c>
      <c r="BE274">
        <v>1</v>
      </c>
      <c r="BF274" t="s">
        <v>96</v>
      </c>
      <c r="BG274" t="s">
        <v>107</v>
      </c>
      <c r="BH274">
        <v>1999</v>
      </c>
      <c r="BI274" t="s">
        <v>156</v>
      </c>
      <c r="BJ274">
        <v>3</v>
      </c>
      <c r="BK274">
        <v>671</v>
      </c>
      <c r="BL274" t="s">
        <v>97</v>
      </c>
      <c r="BM274" t="s">
        <v>97</v>
      </c>
      <c r="BN274" t="s">
        <v>104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X274">
        <v>0</v>
      </c>
      <c r="BY274">
        <v>4</v>
      </c>
      <c r="BZ274">
        <v>2010</v>
      </c>
      <c r="CA274" t="s">
        <v>109</v>
      </c>
      <c r="CB274" t="s">
        <v>110</v>
      </c>
      <c r="CC274">
        <v>290000</v>
      </c>
    </row>
    <row r="275" spans="1:81" x14ac:dyDescent="0.3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H275" t="s">
        <v>83</v>
      </c>
      <c r="I275" t="s">
        <v>84</v>
      </c>
      <c r="J275" t="s">
        <v>85</v>
      </c>
      <c r="K275" t="s">
        <v>86</v>
      </c>
      <c r="L275" t="s">
        <v>87</v>
      </c>
      <c r="M275" t="s">
        <v>270</v>
      </c>
      <c r="N275" t="s">
        <v>113</v>
      </c>
      <c r="O275" t="s">
        <v>89</v>
      </c>
      <c r="P275" t="s">
        <v>90</v>
      </c>
      <c r="Q275" t="s">
        <v>114</v>
      </c>
      <c r="R275">
        <v>6</v>
      </c>
      <c r="S275">
        <v>6</v>
      </c>
      <c r="T275">
        <v>1958</v>
      </c>
      <c r="U275">
        <v>1988</v>
      </c>
      <c r="V275" t="s">
        <v>151</v>
      </c>
      <c r="W275" t="s">
        <v>93</v>
      </c>
      <c r="X275" t="s">
        <v>123</v>
      </c>
      <c r="Y275" t="s">
        <v>123</v>
      </c>
      <c r="Z275" t="s">
        <v>206</v>
      </c>
      <c r="AA275">
        <v>183</v>
      </c>
      <c r="AB275" t="s">
        <v>97</v>
      </c>
      <c r="AC275" t="s">
        <v>97</v>
      </c>
      <c r="AD275" t="s">
        <v>117</v>
      </c>
      <c r="AE275" t="s">
        <v>97</v>
      </c>
      <c r="AF275" t="s">
        <v>97</v>
      </c>
      <c r="AG275" t="s">
        <v>99</v>
      </c>
      <c r="AH275" t="s">
        <v>152</v>
      </c>
      <c r="AI275">
        <v>620</v>
      </c>
      <c r="AJ275" t="s">
        <v>171</v>
      </c>
      <c r="AK275">
        <v>620</v>
      </c>
      <c r="AL275">
        <v>0</v>
      </c>
      <c r="AM275">
        <v>1240</v>
      </c>
      <c r="AN275" t="s">
        <v>102</v>
      </c>
      <c r="AO275" t="s">
        <v>96</v>
      </c>
      <c r="AP275" t="s">
        <v>104</v>
      </c>
      <c r="AQ275" t="s">
        <v>105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97</v>
      </c>
      <c r="BC275">
        <v>6</v>
      </c>
      <c r="BD275" t="s">
        <v>145</v>
      </c>
      <c r="BE275">
        <v>1</v>
      </c>
      <c r="BF275" t="s">
        <v>96</v>
      </c>
      <c r="BG275" t="s">
        <v>107</v>
      </c>
      <c r="BH275">
        <v>1958</v>
      </c>
      <c r="BI275" t="s">
        <v>108</v>
      </c>
      <c r="BJ275">
        <v>1</v>
      </c>
      <c r="BK275">
        <v>338</v>
      </c>
      <c r="BL275" t="s">
        <v>97</v>
      </c>
      <c r="BM275" t="s">
        <v>97</v>
      </c>
      <c r="BN275" t="s">
        <v>104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V275" t="s">
        <v>133</v>
      </c>
      <c r="BX275">
        <v>0</v>
      </c>
      <c r="BY275">
        <v>4</v>
      </c>
      <c r="BZ275">
        <v>2009</v>
      </c>
      <c r="CA275" t="s">
        <v>109</v>
      </c>
      <c r="CB275" t="s">
        <v>110</v>
      </c>
      <c r="CC275">
        <v>139000</v>
      </c>
    </row>
    <row r="276" spans="1:81" x14ac:dyDescent="0.3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H276" t="s">
        <v>83</v>
      </c>
      <c r="I276" t="s">
        <v>84</v>
      </c>
      <c r="J276" t="s">
        <v>85</v>
      </c>
      <c r="K276" t="s">
        <v>121</v>
      </c>
      <c r="L276" t="s">
        <v>87</v>
      </c>
      <c r="M276" t="s">
        <v>130</v>
      </c>
      <c r="N276" t="s">
        <v>89</v>
      </c>
      <c r="O276" t="s">
        <v>89</v>
      </c>
      <c r="P276" t="s">
        <v>90</v>
      </c>
      <c r="Q276" t="s">
        <v>114</v>
      </c>
      <c r="R276">
        <v>5</v>
      </c>
      <c r="S276">
        <v>7</v>
      </c>
      <c r="T276">
        <v>1982</v>
      </c>
      <c r="U276">
        <v>1982</v>
      </c>
      <c r="V276" t="s">
        <v>92</v>
      </c>
      <c r="W276" t="s">
        <v>93</v>
      </c>
      <c r="X276" t="s">
        <v>139</v>
      </c>
      <c r="Y276" t="s">
        <v>233</v>
      </c>
      <c r="Z276" t="s">
        <v>116</v>
      </c>
      <c r="AA276">
        <v>0</v>
      </c>
      <c r="AB276" t="s">
        <v>97</v>
      </c>
      <c r="AC276" t="s">
        <v>97</v>
      </c>
      <c r="AD276" t="s">
        <v>117</v>
      </c>
      <c r="AE276" t="s">
        <v>97</v>
      </c>
      <c r="AF276" t="s">
        <v>97</v>
      </c>
      <c r="AG276" t="s">
        <v>96</v>
      </c>
      <c r="AH276" t="s">
        <v>118</v>
      </c>
      <c r="AI276">
        <v>546</v>
      </c>
      <c r="AJ276" t="s">
        <v>101</v>
      </c>
      <c r="AK276">
        <v>0</v>
      </c>
      <c r="AL276">
        <v>270</v>
      </c>
      <c r="AM276">
        <v>816</v>
      </c>
      <c r="AN276" t="s">
        <v>102</v>
      </c>
      <c r="AO276" t="s">
        <v>97</v>
      </c>
      <c r="AP276" t="s">
        <v>104</v>
      </c>
      <c r="AQ276" t="s">
        <v>105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97</v>
      </c>
      <c r="BC276">
        <v>5</v>
      </c>
      <c r="BD276" t="s">
        <v>106</v>
      </c>
      <c r="BE276">
        <v>0</v>
      </c>
      <c r="BG276" t="s">
        <v>107</v>
      </c>
      <c r="BH276">
        <v>1982</v>
      </c>
      <c r="BI276" t="s">
        <v>101</v>
      </c>
      <c r="BJ276">
        <v>1</v>
      </c>
      <c r="BK276">
        <v>264</v>
      </c>
      <c r="BL276" t="s">
        <v>97</v>
      </c>
      <c r="BM276" t="s">
        <v>97</v>
      </c>
      <c r="BN276" t="s">
        <v>104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X276">
        <v>0</v>
      </c>
      <c r="BY276">
        <v>6</v>
      </c>
      <c r="BZ276">
        <v>2007</v>
      </c>
      <c r="CA276" t="s">
        <v>109</v>
      </c>
      <c r="CB276" t="s">
        <v>110</v>
      </c>
      <c r="CC276">
        <v>124500</v>
      </c>
    </row>
    <row r="277" spans="1:81" x14ac:dyDescent="0.3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H277" t="s">
        <v>83</v>
      </c>
      <c r="I277" t="s">
        <v>84</v>
      </c>
      <c r="J277" t="s">
        <v>85</v>
      </c>
      <c r="K277" t="s">
        <v>86</v>
      </c>
      <c r="L277" t="s">
        <v>87</v>
      </c>
      <c r="M277" t="s">
        <v>147</v>
      </c>
      <c r="N277" t="s">
        <v>89</v>
      </c>
      <c r="O277" t="s">
        <v>89</v>
      </c>
      <c r="P277" t="s">
        <v>90</v>
      </c>
      <c r="Q277" t="s">
        <v>131</v>
      </c>
      <c r="R277">
        <v>7</v>
      </c>
      <c r="S277">
        <v>7</v>
      </c>
      <c r="T277">
        <v>1925</v>
      </c>
      <c r="U277">
        <v>2007</v>
      </c>
      <c r="V277" t="s">
        <v>92</v>
      </c>
      <c r="W277" t="s">
        <v>93</v>
      </c>
      <c r="X277" t="s">
        <v>123</v>
      </c>
      <c r="Y277" t="s">
        <v>123</v>
      </c>
      <c r="Z277" t="s">
        <v>116</v>
      </c>
      <c r="AA277">
        <v>0</v>
      </c>
      <c r="AB277" t="s">
        <v>96</v>
      </c>
      <c r="AC277" t="s">
        <v>96</v>
      </c>
      <c r="AD277" t="s">
        <v>125</v>
      </c>
      <c r="AE277" t="s">
        <v>97</v>
      </c>
      <c r="AF277" t="s">
        <v>97</v>
      </c>
      <c r="AG277" t="s">
        <v>99</v>
      </c>
      <c r="AH277" t="s">
        <v>101</v>
      </c>
      <c r="AI277">
        <v>0</v>
      </c>
      <c r="AJ277" t="s">
        <v>101</v>
      </c>
      <c r="AK277">
        <v>0</v>
      </c>
      <c r="AL277">
        <v>952</v>
      </c>
      <c r="AM277">
        <v>952</v>
      </c>
      <c r="AN277" t="s">
        <v>205</v>
      </c>
      <c r="AO277" t="s">
        <v>96</v>
      </c>
      <c r="AP277" t="s">
        <v>176</v>
      </c>
      <c r="AQ277" t="s">
        <v>105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103</v>
      </c>
      <c r="BC277">
        <v>5</v>
      </c>
      <c r="BD277" t="s">
        <v>106</v>
      </c>
      <c r="BE277">
        <v>0</v>
      </c>
      <c r="BG277" t="s">
        <v>126</v>
      </c>
      <c r="BH277">
        <v>1978</v>
      </c>
      <c r="BI277" t="s">
        <v>101</v>
      </c>
      <c r="BJ277">
        <v>2</v>
      </c>
      <c r="BK277">
        <v>672</v>
      </c>
      <c r="BL277" t="s">
        <v>97</v>
      </c>
      <c r="BM277" t="s">
        <v>97</v>
      </c>
      <c r="BN277" t="s">
        <v>104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X277">
        <v>0</v>
      </c>
      <c r="BY277">
        <v>10</v>
      </c>
      <c r="BZ277">
        <v>2009</v>
      </c>
      <c r="CA277" t="s">
        <v>109</v>
      </c>
      <c r="CB277" t="s">
        <v>110</v>
      </c>
      <c r="CC277">
        <v>205000</v>
      </c>
    </row>
    <row r="278" spans="1:81" x14ac:dyDescent="0.3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H278" t="s">
        <v>119</v>
      </c>
      <c r="I278" t="s">
        <v>84</v>
      </c>
      <c r="J278" t="s">
        <v>85</v>
      </c>
      <c r="K278" t="s">
        <v>86</v>
      </c>
      <c r="L278" t="s">
        <v>87</v>
      </c>
      <c r="M278" t="s">
        <v>130</v>
      </c>
      <c r="N278" t="s">
        <v>89</v>
      </c>
      <c r="O278" t="s">
        <v>89</v>
      </c>
      <c r="P278" t="s">
        <v>90</v>
      </c>
      <c r="Q278" t="s">
        <v>114</v>
      </c>
      <c r="R278">
        <v>7</v>
      </c>
      <c r="S278">
        <v>5</v>
      </c>
      <c r="T278">
        <v>2003</v>
      </c>
      <c r="U278">
        <v>2003</v>
      </c>
      <c r="V278" t="s">
        <v>92</v>
      </c>
      <c r="W278" t="s">
        <v>93</v>
      </c>
      <c r="X278" t="s">
        <v>94</v>
      </c>
      <c r="Y278" t="s">
        <v>94</v>
      </c>
      <c r="Z278" t="s">
        <v>116</v>
      </c>
      <c r="AA278">
        <v>0</v>
      </c>
      <c r="AB278" t="s">
        <v>96</v>
      </c>
      <c r="AC278" t="s">
        <v>97</v>
      </c>
      <c r="AD278" t="s">
        <v>98</v>
      </c>
      <c r="AE278" t="s">
        <v>103</v>
      </c>
      <c r="AF278" t="s">
        <v>97</v>
      </c>
      <c r="AG278" t="s">
        <v>99</v>
      </c>
      <c r="AH278" t="s">
        <v>101</v>
      </c>
      <c r="AI278">
        <v>0</v>
      </c>
      <c r="AJ278" t="s">
        <v>101</v>
      </c>
      <c r="AK278">
        <v>0</v>
      </c>
      <c r="AL278">
        <v>1560</v>
      </c>
      <c r="AM278">
        <v>1560</v>
      </c>
      <c r="AN278" t="s">
        <v>102</v>
      </c>
      <c r="AO278" t="s">
        <v>103</v>
      </c>
      <c r="AP278" t="s">
        <v>104</v>
      </c>
      <c r="AQ278" t="s">
        <v>105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96</v>
      </c>
      <c r="BC278">
        <v>7</v>
      </c>
      <c r="BD278" t="s">
        <v>106</v>
      </c>
      <c r="BE278">
        <v>0</v>
      </c>
      <c r="BG278" t="s">
        <v>107</v>
      </c>
      <c r="BH278">
        <v>2003</v>
      </c>
      <c r="BI278" t="s">
        <v>156</v>
      </c>
      <c r="BJ278">
        <v>2</v>
      </c>
      <c r="BK278">
        <v>573</v>
      </c>
      <c r="BL278" t="s">
        <v>97</v>
      </c>
      <c r="BM278" t="s">
        <v>97</v>
      </c>
      <c r="BN278" t="s">
        <v>104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X278">
        <v>0</v>
      </c>
      <c r="BY278">
        <v>4</v>
      </c>
      <c r="BZ278">
        <v>2010</v>
      </c>
      <c r="CA278" t="s">
        <v>109</v>
      </c>
      <c r="CB278" t="s">
        <v>110</v>
      </c>
      <c r="CC278">
        <v>201000</v>
      </c>
    </row>
    <row r="279" spans="1:81" x14ac:dyDescent="0.3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H279" t="s">
        <v>83</v>
      </c>
      <c r="I279" t="s">
        <v>84</v>
      </c>
      <c r="J279" t="s">
        <v>85</v>
      </c>
      <c r="K279" t="s">
        <v>121</v>
      </c>
      <c r="L279" t="s">
        <v>87</v>
      </c>
      <c r="M279" t="s">
        <v>192</v>
      </c>
      <c r="N279" t="s">
        <v>89</v>
      </c>
      <c r="O279" t="s">
        <v>89</v>
      </c>
      <c r="P279" t="s">
        <v>90</v>
      </c>
      <c r="Q279" t="s">
        <v>114</v>
      </c>
      <c r="R279">
        <v>4</v>
      </c>
      <c r="S279">
        <v>5</v>
      </c>
      <c r="T279">
        <v>1951</v>
      </c>
      <c r="U279">
        <v>1951</v>
      </c>
      <c r="V279" t="s">
        <v>92</v>
      </c>
      <c r="W279" t="s">
        <v>93</v>
      </c>
      <c r="X279" t="s">
        <v>94</v>
      </c>
      <c r="Y279" t="s">
        <v>94</v>
      </c>
      <c r="Z279" t="s">
        <v>116</v>
      </c>
      <c r="AA279">
        <v>0</v>
      </c>
      <c r="AB279" t="s">
        <v>97</v>
      </c>
      <c r="AC279" t="s">
        <v>97</v>
      </c>
      <c r="AD279" t="s">
        <v>117</v>
      </c>
      <c r="AE279" t="s">
        <v>97</v>
      </c>
      <c r="AF279" t="s">
        <v>97</v>
      </c>
      <c r="AG279" t="s">
        <v>99</v>
      </c>
      <c r="AH279" t="s">
        <v>171</v>
      </c>
      <c r="AI279">
        <v>120</v>
      </c>
      <c r="AJ279" t="s">
        <v>101</v>
      </c>
      <c r="AK279">
        <v>0</v>
      </c>
      <c r="AL279">
        <v>744</v>
      </c>
      <c r="AM279">
        <v>864</v>
      </c>
      <c r="AN279" t="s">
        <v>102</v>
      </c>
      <c r="AO279" t="s">
        <v>103</v>
      </c>
      <c r="AP279" t="s">
        <v>104</v>
      </c>
      <c r="AQ279" t="s">
        <v>105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97</v>
      </c>
      <c r="BC279">
        <v>4</v>
      </c>
      <c r="BD279" t="s">
        <v>106</v>
      </c>
      <c r="BE279">
        <v>0</v>
      </c>
      <c r="BG279" t="s">
        <v>126</v>
      </c>
      <c r="BH279">
        <v>1951</v>
      </c>
      <c r="BI279" t="s">
        <v>101</v>
      </c>
      <c r="BJ279">
        <v>2</v>
      </c>
      <c r="BK279">
        <v>400</v>
      </c>
      <c r="BL279" t="s">
        <v>97</v>
      </c>
      <c r="BM279" t="s">
        <v>97</v>
      </c>
      <c r="BN279" t="s">
        <v>104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X279">
        <v>0</v>
      </c>
      <c r="BY279">
        <v>6</v>
      </c>
      <c r="BZ279">
        <v>2010</v>
      </c>
      <c r="CA279" t="s">
        <v>109</v>
      </c>
      <c r="CB279" t="s">
        <v>110</v>
      </c>
      <c r="CC279">
        <v>141000</v>
      </c>
    </row>
    <row r="280" spans="1:81" x14ac:dyDescent="0.3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H280" t="s">
        <v>83</v>
      </c>
      <c r="I280" t="s">
        <v>84</v>
      </c>
      <c r="J280" t="s">
        <v>85</v>
      </c>
      <c r="K280" t="s">
        <v>86</v>
      </c>
      <c r="L280" t="s">
        <v>87</v>
      </c>
      <c r="M280" t="s">
        <v>153</v>
      </c>
      <c r="N280" t="s">
        <v>89</v>
      </c>
      <c r="O280" t="s">
        <v>89</v>
      </c>
      <c r="P280" t="s">
        <v>90</v>
      </c>
      <c r="Q280" t="s">
        <v>114</v>
      </c>
      <c r="R280">
        <v>9</v>
      </c>
      <c r="S280">
        <v>5</v>
      </c>
      <c r="T280">
        <v>2006</v>
      </c>
      <c r="U280">
        <v>2007</v>
      </c>
      <c r="V280" t="s">
        <v>92</v>
      </c>
      <c r="W280" t="s">
        <v>93</v>
      </c>
      <c r="X280" t="s">
        <v>179</v>
      </c>
      <c r="Y280" t="s">
        <v>180</v>
      </c>
      <c r="Z280" t="s">
        <v>95</v>
      </c>
      <c r="AA280">
        <v>315</v>
      </c>
      <c r="AB280" t="s">
        <v>103</v>
      </c>
      <c r="AC280" t="s">
        <v>97</v>
      </c>
      <c r="AD280" t="s">
        <v>98</v>
      </c>
      <c r="AE280" t="s">
        <v>103</v>
      </c>
      <c r="AF280" t="s">
        <v>97</v>
      </c>
      <c r="AG280" t="s">
        <v>96</v>
      </c>
      <c r="AH280" t="s">
        <v>101</v>
      </c>
      <c r="AI280">
        <v>0</v>
      </c>
      <c r="AJ280" t="s">
        <v>101</v>
      </c>
      <c r="AK280">
        <v>0</v>
      </c>
      <c r="AL280">
        <v>2121</v>
      </c>
      <c r="AM280">
        <v>2121</v>
      </c>
      <c r="AN280" t="s">
        <v>102</v>
      </c>
      <c r="AO280" t="s">
        <v>103</v>
      </c>
      <c r="AP280" t="s">
        <v>104</v>
      </c>
      <c r="AQ280" t="s">
        <v>105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103</v>
      </c>
      <c r="BC280">
        <v>8</v>
      </c>
      <c r="BD280" t="s">
        <v>106</v>
      </c>
      <c r="BE280">
        <v>1</v>
      </c>
      <c r="BF280" t="s">
        <v>103</v>
      </c>
      <c r="BG280" t="s">
        <v>107</v>
      </c>
      <c r="BH280">
        <v>2007</v>
      </c>
      <c r="BI280" t="s">
        <v>156</v>
      </c>
      <c r="BJ280">
        <v>3</v>
      </c>
      <c r="BK280">
        <v>732</v>
      </c>
      <c r="BL280" t="s">
        <v>97</v>
      </c>
      <c r="BM280" t="s">
        <v>97</v>
      </c>
      <c r="BN280" t="s">
        <v>104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X280">
        <v>0</v>
      </c>
      <c r="BY280">
        <v>5</v>
      </c>
      <c r="BZ280">
        <v>2007</v>
      </c>
      <c r="CA280" t="s">
        <v>157</v>
      </c>
      <c r="CB280" t="s">
        <v>158</v>
      </c>
      <c r="CC280">
        <v>415298</v>
      </c>
    </row>
    <row r="281" spans="1:81" x14ac:dyDescent="0.3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H281" t="s">
        <v>83</v>
      </c>
      <c r="I281" t="s">
        <v>84</v>
      </c>
      <c r="J281" t="s">
        <v>85</v>
      </c>
      <c r="K281" t="s">
        <v>86</v>
      </c>
      <c r="L281" t="s">
        <v>87</v>
      </c>
      <c r="M281" t="s">
        <v>204</v>
      </c>
      <c r="N281" t="s">
        <v>89</v>
      </c>
      <c r="O281" t="s">
        <v>89</v>
      </c>
      <c r="P281" t="s">
        <v>90</v>
      </c>
      <c r="Q281" t="s">
        <v>91</v>
      </c>
      <c r="R281">
        <v>7</v>
      </c>
      <c r="S281">
        <v>5</v>
      </c>
      <c r="T281">
        <v>1977</v>
      </c>
      <c r="U281">
        <v>1977</v>
      </c>
      <c r="V281" t="s">
        <v>151</v>
      </c>
      <c r="W281" t="s">
        <v>93</v>
      </c>
      <c r="X281" t="s">
        <v>160</v>
      </c>
      <c r="Y281" t="s">
        <v>160</v>
      </c>
      <c r="Z281" t="s">
        <v>95</v>
      </c>
      <c r="AA281">
        <v>299</v>
      </c>
      <c r="AB281" t="s">
        <v>97</v>
      </c>
      <c r="AC281" t="s">
        <v>97</v>
      </c>
      <c r="AD281" t="s">
        <v>117</v>
      </c>
      <c r="AE281" t="s">
        <v>96</v>
      </c>
      <c r="AF281" t="s">
        <v>97</v>
      </c>
      <c r="AG281" t="s">
        <v>99</v>
      </c>
      <c r="AH281" t="s">
        <v>140</v>
      </c>
      <c r="AI281">
        <v>392</v>
      </c>
      <c r="AJ281" t="s">
        <v>101</v>
      </c>
      <c r="AK281">
        <v>0</v>
      </c>
      <c r="AL281">
        <v>768</v>
      </c>
      <c r="AM281">
        <v>1160</v>
      </c>
      <c r="AN281" t="s">
        <v>102</v>
      </c>
      <c r="AO281" t="s">
        <v>103</v>
      </c>
      <c r="AP281" t="s">
        <v>104</v>
      </c>
      <c r="AQ281" t="s">
        <v>105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97</v>
      </c>
      <c r="BC281">
        <v>8</v>
      </c>
      <c r="BD281" t="s">
        <v>106</v>
      </c>
      <c r="BE281">
        <v>1</v>
      </c>
      <c r="BF281" t="s">
        <v>97</v>
      </c>
      <c r="BG281" t="s">
        <v>107</v>
      </c>
      <c r="BH281">
        <v>1977</v>
      </c>
      <c r="BI281" t="s">
        <v>156</v>
      </c>
      <c r="BJ281">
        <v>2</v>
      </c>
      <c r="BK281">
        <v>505</v>
      </c>
      <c r="BL281" t="s">
        <v>97</v>
      </c>
      <c r="BM281" t="s">
        <v>97</v>
      </c>
      <c r="BN281" t="s">
        <v>104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X281">
        <v>0</v>
      </c>
      <c r="BY281">
        <v>3</v>
      </c>
      <c r="BZ281">
        <v>2008</v>
      </c>
      <c r="CA281" t="s">
        <v>109</v>
      </c>
      <c r="CB281" t="s">
        <v>110</v>
      </c>
      <c r="CC281">
        <v>192000</v>
      </c>
    </row>
    <row r="282" spans="1:81" x14ac:dyDescent="0.3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H282" t="s">
        <v>83</v>
      </c>
      <c r="I282" t="s">
        <v>84</v>
      </c>
      <c r="J282" t="s">
        <v>85</v>
      </c>
      <c r="K282" t="s">
        <v>86</v>
      </c>
      <c r="L282" t="s">
        <v>87</v>
      </c>
      <c r="M282" t="s">
        <v>169</v>
      </c>
      <c r="N282" t="s">
        <v>89</v>
      </c>
      <c r="O282" t="s">
        <v>89</v>
      </c>
      <c r="P282" t="s">
        <v>90</v>
      </c>
      <c r="Q282" t="s">
        <v>91</v>
      </c>
      <c r="R282">
        <v>7</v>
      </c>
      <c r="S282">
        <v>6</v>
      </c>
      <c r="T282">
        <v>1989</v>
      </c>
      <c r="U282">
        <v>1989</v>
      </c>
      <c r="V282" t="s">
        <v>92</v>
      </c>
      <c r="W282" t="s">
        <v>93</v>
      </c>
      <c r="X282" t="s">
        <v>160</v>
      </c>
      <c r="Y282" t="s">
        <v>160</v>
      </c>
      <c r="Z282" t="s">
        <v>95</v>
      </c>
      <c r="AA282">
        <v>340</v>
      </c>
      <c r="AB282" t="s">
        <v>96</v>
      </c>
      <c r="AC282" t="s">
        <v>97</v>
      </c>
      <c r="AD282" t="s">
        <v>117</v>
      </c>
      <c r="AE282" t="s">
        <v>96</v>
      </c>
      <c r="AF282" t="s">
        <v>97</v>
      </c>
      <c r="AG282" t="s">
        <v>129</v>
      </c>
      <c r="AH282" t="s">
        <v>100</v>
      </c>
      <c r="AI282">
        <v>421</v>
      </c>
      <c r="AJ282" t="s">
        <v>101</v>
      </c>
      <c r="AK282">
        <v>0</v>
      </c>
      <c r="AL282">
        <v>386</v>
      </c>
      <c r="AM282">
        <v>807</v>
      </c>
      <c r="AN282" t="s">
        <v>102</v>
      </c>
      <c r="AO282" t="s">
        <v>96</v>
      </c>
      <c r="AP282" t="s">
        <v>104</v>
      </c>
      <c r="AQ282" t="s">
        <v>105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96</v>
      </c>
      <c r="BC282">
        <v>7</v>
      </c>
      <c r="BD282" t="s">
        <v>106</v>
      </c>
      <c r="BE282">
        <v>1</v>
      </c>
      <c r="BF282" t="s">
        <v>97</v>
      </c>
      <c r="BG282" t="s">
        <v>107</v>
      </c>
      <c r="BH282">
        <v>1989</v>
      </c>
      <c r="BI282" t="s">
        <v>156</v>
      </c>
      <c r="BJ282">
        <v>2</v>
      </c>
      <c r="BK282">
        <v>575</v>
      </c>
      <c r="BL282" t="s">
        <v>97</v>
      </c>
      <c r="BM282" t="s">
        <v>97</v>
      </c>
      <c r="BN282" t="s">
        <v>104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X282">
        <v>0</v>
      </c>
      <c r="BY282">
        <v>1</v>
      </c>
      <c r="BZ282">
        <v>2007</v>
      </c>
      <c r="CA282" t="s">
        <v>109</v>
      </c>
      <c r="CB282" t="s">
        <v>110</v>
      </c>
      <c r="CC282">
        <v>228500</v>
      </c>
    </row>
    <row r="283" spans="1:81" x14ac:dyDescent="0.3">
      <c r="A283">
        <v>282</v>
      </c>
      <c r="B283">
        <v>20</v>
      </c>
      <c r="C283" t="s">
        <v>191</v>
      </c>
      <c r="D283">
        <v>60</v>
      </c>
      <c r="E283">
        <v>7200</v>
      </c>
      <c r="F283" t="s">
        <v>82</v>
      </c>
      <c r="G283" t="s">
        <v>82</v>
      </c>
      <c r="H283" t="s">
        <v>83</v>
      </c>
      <c r="I283" t="s">
        <v>84</v>
      </c>
      <c r="J283" t="s">
        <v>85</v>
      </c>
      <c r="K283" t="s">
        <v>86</v>
      </c>
      <c r="L283" t="s">
        <v>87</v>
      </c>
      <c r="M283" t="s">
        <v>135</v>
      </c>
      <c r="N283" t="s">
        <v>89</v>
      </c>
      <c r="O283" t="s">
        <v>89</v>
      </c>
      <c r="P283" t="s">
        <v>90</v>
      </c>
      <c r="Q283" t="s">
        <v>114</v>
      </c>
      <c r="R283">
        <v>6</v>
      </c>
      <c r="S283">
        <v>5</v>
      </c>
      <c r="T283">
        <v>2006</v>
      </c>
      <c r="U283">
        <v>2006</v>
      </c>
      <c r="V283" t="s">
        <v>92</v>
      </c>
      <c r="W283" t="s">
        <v>93</v>
      </c>
      <c r="X283" t="s">
        <v>94</v>
      </c>
      <c r="Y283" t="s">
        <v>94</v>
      </c>
      <c r="Z283" t="s">
        <v>136</v>
      </c>
      <c r="AA283">
        <v>68</v>
      </c>
      <c r="AB283" t="s">
        <v>96</v>
      </c>
      <c r="AC283" t="s">
        <v>97</v>
      </c>
      <c r="AD283" t="s">
        <v>98</v>
      </c>
      <c r="AE283" t="s">
        <v>96</v>
      </c>
      <c r="AF283" t="s">
        <v>97</v>
      </c>
      <c r="AG283" t="s">
        <v>99</v>
      </c>
      <c r="AH283" t="s">
        <v>100</v>
      </c>
      <c r="AI283">
        <v>905</v>
      </c>
      <c r="AJ283" t="s">
        <v>101</v>
      </c>
      <c r="AK283">
        <v>0</v>
      </c>
      <c r="AL283">
        <v>357</v>
      </c>
      <c r="AM283">
        <v>1262</v>
      </c>
      <c r="AN283" t="s">
        <v>102</v>
      </c>
      <c r="AO283" t="s">
        <v>96</v>
      </c>
      <c r="AP283" t="s">
        <v>104</v>
      </c>
      <c r="AQ283" t="s">
        <v>105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96</v>
      </c>
      <c r="BC283">
        <v>5</v>
      </c>
      <c r="BD283" t="s">
        <v>106</v>
      </c>
      <c r="BE283">
        <v>0</v>
      </c>
      <c r="BG283" t="s">
        <v>107</v>
      </c>
      <c r="BH283">
        <v>2006</v>
      </c>
      <c r="BI283" t="s">
        <v>156</v>
      </c>
      <c r="BJ283">
        <v>2</v>
      </c>
      <c r="BK283">
        <v>572</v>
      </c>
      <c r="BL283" t="s">
        <v>97</v>
      </c>
      <c r="BM283" t="s">
        <v>97</v>
      </c>
      <c r="BN283" t="s">
        <v>104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X283">
        <v>0</v>
      </c>
      <c r="BY283">
        <v>5</v>
      </c>
      <c r="BZ283">
        <v>2006</v>
      </c>
      <c r="CA283" t="s">
        <v>157</v>
      </c>
      <c r="CB283" t="s">
        <v>158</v>
      </c>
      <c r="CC283">
        <v>185000</v>
      </c>
    </row>
    <row r="284" spans="1:81" x14ac:dyDescent="0.3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H284" t="s">
        <v>83</v>
      </c>
      <c r="I284" t="s">
        <v>84</v>
      </c>
      <c r="J284" t="s">
        <v>85</v>
      </c>
      <c r="K284" t="s">
        <v>86</v>
      </c>
      <c r="L284" t="s">
        <v>87</v>
      </c>
      <c r="M284" t="s">
        <v>153</v>
      </c>
      <c r="N284" t="s">
        <v>89</v>
      </c>
      <c r="O284" t="s">
        <v>89</v>
      </c>
      <c r="P284" t="s">
        <v>197</v>
      </c>
      <c r="Q284" t="s">
        <v>114</v>
      </c>
      <c r="R284">
        <v>7</v>
      </c>
      <c r="S284">
        <v>5</v>
      </c>
      <c r="T284">
        <v>2007</v>
      </c>
      <c r="U284">
        <v>2008</v>
      </c>
      <c r="V284" t="s">
        <v>92</v>
      </c>
      <c r="W284" t="s">
        <v>93</v>
      </c>
      <c r="X284" t="s">
        <v>94</v>
      </c>
      <c r="Y284" t="s">
        <v>94</v>
      </c>
      <c r="Z284" t="s">
        <v>136</v>
      </c>
      <c r="AA284">
        <v>166</v>
      </c>
      <c r="AB284" t="s">
        <v>96</v>
      </c>
      <c r="AC284" t="s">
        <v>97</v>
      </c>
      <c r="AD284" t="s">
        <v>98</v>
      </c>
      <c r="AE284" t="s">
        <v>96</v>
      </c>
      <c r="AF284" t="s">
        <v>97</v>
      </c>
      <c r="AG284" t="s">
        <v>99</v>
      </c>
      <c r="AH284" t="s">
        <v>100</v>
      </c>
      <c r="AI284">
        <v>904</v>
      </c>
      <c r="AJ284" t="s">
        <v>101</v>
      </c>
      <c r="AK284">
        <v>0</v>
      </c>
      <c r="AL284">
        <v>410</v>
      </c>
      <c r="AM284">
        <v>1314</v>
      </c>
      <c r="AN284" t="s">
        <v>102</v>
      </c>
      <c r="AO284" t="s">
        <v>103</v>
      </c>
      <c r="AP284" t="s">
        <v>104</v>
      </c>
      <c r="AQ284" t="s">
        <v>105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96</v>
      </c>
      <c r="BC284">
        <v>6</v>
      </c>
      <c r="BD284" t="s">
        <v>106</v>
      </c>
      <c r="BE284">
        <v>1</v>
      </c>
      <c r="BF284" t="s">
        <v>96</v>
      </c>
      <c r="BG284" t="s">
        <v>107</v>
      </c>
      <c r="BH284">
        <v>2008</v>
      </c>
      <c r="BI284" t="s">
        <v>108</v>
      </c>
      <c r="BJ284">
        <v>2</v>
      </c>
      <c r="BK284">
        <v>626</v>
      </c>
      <c r="BL284" t="s">
        <v>97</v>
      </c>
      <c r="BM284" t="s">
        <v>97</v>
      </c>
      <c r="BN284" t="s">
        <v>104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X284">
        <v>0</v>
      </c>
      <c r="BY284">
        <v>4</v>
      </c>
      <c r="BZ284">
        <v>2009</v>
      </c>
      <c r="CA284" t="s">
        <v>234</v>
      </c>
      <c r="CB284" t="s">
        <v>110</v>
      </c>
      <c r="CC284">
        <v>207500</v>
      </c>
    </row>
    <row r="285" spans="1:81" x14ac:dyDescent="0.3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H285" t="s">
        <v>83</v>
      </c>
      <c r="I285" t="s">
        <v>84</v>
      </c>
      <c r="J285" t="s">
        <v>85</v>
      </c>
      <c r="K285" t="s">
        <v>86</v>
      </c>
      <c r="L285" t="s">
        <v>87</v>
      </c>
      <c r="M285" t="s">
        <v>135</v>
      </c>
      <c r="N285" t="s">
        <v>113</v>
      </c>
      <c r="O285" t="s">
        <v>89</v>
      </c>
      <c r="P285" t="s">
        <v>90</v>
      </c>
      <c r="Q285" t="s">
        <v>114</v>
      </c>
      <c r="R285">
        <v>8</v>
      </c>
      <c r="S285">
        <v>5</v>
      </c>
      <c r="T285">
        <v>2008</v>
      </c>
      <c r="U285">
        <v>2009</v>
      </c>
      <c r="V285" t="s">
        <v>92</v>
      </c>
      <c r="W285" t="s">
        <v>93</v>
      </c>
      <c r="X285" t="s">
        <v>94</v>
      </c>
      <c r="Y285" t="s">
        <v>94</v>
      </c>
      <c r="Z285" t="s">
        <v>136</v>
      </c>
      <c r="AA285">
        <v>72</v>
      </c>
      <c r="AB285" t="s">
        <v>96</v>
      </c>
      <c r="AC285" t="s">
        <v>97</v>
      </c>
      <c r="AD285" t="s">
        <v>98</v>
      </c>
      <c r="AE285" t="s">
        <v>96</v>
      </c>
      <c r="AF285" t="s">
        <v>97</v>
      </c>
      <c r="AG285" t="s">
        <v>99</v>
      </c>
      <c r="AH285" t="s">
        <v>101</v>
      </c>
      <c r="AI285">
        <v>0</v>
      </c>
      <c r="AJ285" t="s">
        <v>101</v>
      </c>
      <c r="AK285">
        <v>0</v>
      </c>
      <c r="AL285">
        <v>1468</v>
      </c>
      <c r="AM285">
        <v>1468</v>
      </c>
      <c r="AN285" t="s">
        <v>102</v>
      </c>
      <c r="AO285" t="s">
        <v>103</v>
      </c>
      <c r="AP285" t="s">
        <v>104</v>
      </c>
      <c r="AQ285" t="s">
        <v>105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96</v>
      </c>
      <c r="BC285">
        <v>6</v>
      </c>
      <c r="BD285" t="s">
        <v>106</v>
      </c>
      <c r="BE285">
        <v>1</v>
      </c>
      <c r="BF285" t="s">
        <v>96</v>
      </c>
      <c r="BG285" t="s">
        <v>107</v>
      </c>
      <c r="BH285">
        <v>2008</v>
      </c>
      <c r="BI285" t="s">
        <v>156</v>
      </c>
      <c r="BJ285">
        <v>3</v>
      </c>
      <c r="BK285">
        <v>898</v>
      </c>
      <c r="BL285" t="s">
        <v>97</v>
      </c>
      <c r="BM285" t="s">
        <v>97</v>
      </c>
      <c r="BN285" t="s">
        <v>104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X285">
        <v>0</v>
      </c>
      <c r="BY285">
        <v>12</v>
      </c>
      <c r="BZ285">
        <v>2009</v>
      </c>
      <c r="CA285" t="s">
        <v>157</v>
      </c>
      <c r="CB285" t="s">
        <v>158</v>
      </c>
      <c r="CC285">
        <v>244600</v>
      </c>
    </row>
    <row r="286" spans="1:81" x14ac:dyDescent="0.3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H286" t="s">
        <v>83</v>
      </c>
      <c r="I286" t="s">
        <v>84</v>
      </c>
      <c r="J286" t="s">
        <v>85</v>
      </c>
      <c r="K286" t="s">
        <v>86</v>
      </c>
      <c r="L286" t="s">
        <v>87</v>
      </c>
      <c r="M286" t="s">
        <v>169</v>
      </c>
      <c r="N286" t="s">
        <v>89</v>
      </c>
      <c r="O286" t="s">
        <v>89</v>
      </c>
      <c r="P286" t="s">
        <v>178</v>
      </c>
      <c r="Q286" t="s">
        <v>114</v>
      </c>
      <c r="R286">
        <v>6</v>
      </c>
      <c r="S286">
        <v>5</v>
      </c>
      <c r="T286">
        <v>1992</v>
      </c>
      <c r="U286">
        <v>1992</v>
      </c>
      <c r="V286" t="s">
        <v>92</v>
      </c>
      <c r="W286" t="s">
        <v>93</v>
      </c>
      <c r="X286" t="s">
        <v>160</v>
      </c>
      <c r="Y286" t="s">
        <v>233</v>
      </c>
      <c r="Z286" t="s">
        <v>116</v>
      </c>
      <c r="AA286">
        <v>0</v>
      </c>
      <c r="AB286" t="s">
        <v>96</v>
      </c>
      <c r="AC286" t="s">
        <v>97</v>
      </c>
      <c r="AD286" t="s">
        <v>98</v>
      </c>
      <c r="AE286" t="s">
        <v>96</v>
      </c>
      <c r="AF286" t="s">
        <v>97</v>
      </c>
      <c r="AG286" t="s">
        <v>99</v>
      </c>
      <c r="AH286" t="s">
        <v>100</v>
      </c>
      <c r="AI286">
        <v>430</v>
      </c>
      <c r="AJ286" t="s">
        <v>101</v>
      </c>
      <c r="AK286">
        <v>0</v>
      </c>
      <c r="AL286">
        <v>1145</v>
      </c>
      <c r="AM286">
        <v>1575</v>
      </c>
      <c r="AN286" t="s">
        <v>102</v>
      </c>
      <c r="AO286" t="s">
        <v>96</v>
      </c>
      <c r="AP286" t="s">
        <v>104</v>
      </c>
      <c r="AQ286" t="s">
        <v>105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96</v>
      </c>
      <c r="BC286">
        <v>5</v>
      </c>
      <c r="BD286" t="s">
        <v>106</v>
      </c>
      <c r="BE286">
        <v>0</v>
      </c>
      <c r="BG286" t="s">
        <v>107</v>
      </c>
      <c r="BH286">
        <v>1992</v>
      </c>
      <c r="BI286" t="s">
        <v>108</v>
      </c>
      <c r="BJ286">
        <v>2</v>
      </c>
      <c r="BK286">
        <v>529</v>
      </c>
      <c r="BL286" t="s">
        <v>97</v>
      </c>
      <c r="BM286" t="s">
        <v>97</v>
      </c>
      <c r="BN286" t="s">
        <v>104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X286">
        <v>0</v>
      </c>
      <c r="BY286">
        <v>7</v>
      </c>
      <c r="BZ286">
        <v>2007</v>
      </c>
      <c r="CA286" t="s">
        <v>109</v>
      </c>
      <c r="CB286" t="s">
        <v>110</v>
      </c>
      <c r="CC286">
        <v>179200</v>
      </c>
    </row>
    <row r="287" spans="1:81" x14ac:dyDescent="0.3">
      <c r="A287">
        <v>286</v>
      </c>
      <c r="B287">
        <v>160</v>
      </c>
      <c r="C287" t="s">
        <v>191</v>
      </c>
      <c r="D287">
        <v>35</v>
      </c>
      <c r="E287">
        <v>4251</v>
      </c>
      <c r="F287" t="s">
        <v>82</v>
      </c>
      <c r="G287" t="s">
        <v>82</v>
      </c>
      <c r="H287" t="s">
        <v>119</v>
      </c>
      <c r="I287" t="s">
        <v>84</v>
      </c>
      <c r="J287" t="s">
        <v>85</v>
      </c>
      <c r="K287" t="s">
        <v>86</v>
      </c>
      <c r="L287" t="s">
        <v>87</v>
      </c>
      <c r="M287" t="s">
        <v>135</v>
      </c>
      <c r="N287" t="s">
        <v>89</v>
      </c>
      <c r="O287" t="s">
        <v>89</v>
      </c>
      <c r="P287" t="s">
        <v>178</v>
      </c>
      <c r="Q287" t="s">
        <v>91</v>
      </c>
      <c r="R287">
        <v>7</v>
      </c>
      <c r="S287">
        <v>5</v>
      </c>
      <c r="T287">
        <v>2006</v>
      </c>
      <c r="U287">
        <v>2007</v>
      </c>
      <c r="V287" t="s">
        <v>92</v>
      </c>
      <c r="W287" t="s">
        <v>93</v>
      </c>
      <c r="X287" t="s">
        <v>115</v>
      </c>
      <c r="Y287" t="s">
        <v>115</v>
      </c>
      <c r="Z287" t="s">
        <v>116</v>
      </c>
      <c r="AA287">
        <v>0</v>
      </c>
      <c r="AB287" t="s">
        <v>96</v>
      </c>
      <c r="AC287" t="s">
        <v>97</v>
      </c>
      <c r="AD287" t="s">
        <v>98</v>
      </c>
      <c r="AE287" t="s">
        <v>96</v>
      </c>
      <c r="AF287" t="s">
        <v>97</v>
      </c>
      <c r="AG287" t="s">
        <v>99</v>
      </c>
      <c r="AH287" t="s">
        <v>101</v>
      </c>
      <c r="AI287">
        <v>0</v>
      </c>
      <c r="AJ287" t="s">
        <v>101</v>
      </c>
      <c r="AK287">
        <v>0</v>
      </c>
      <c r="AL287">
        <v>625</v>
      </c>
      <c r="AM287">
        <v>625</v>
      </c>
      <c r="AN287" t="s">
        <v>102</v>
      </c>
      <c r="AO287" t="s">
        <v>103</v>
      </c>
      <c r="AP287" t="s">
        <v>104</v>
      </c>
      <c r="AQ287" t="s">
        <v>105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96</v>
      </c>
      <c r="BC287">
        <v>5</v>
      </c>
      <c r="BD287" t="s">
        <v>106</v>
      </c>
      <c r="BE287">
        <v>0</v>
      </c>
      <c r="BG287" t="s">
        <v>126</v>
      </c>
      <c r="BH287">
        <v>2006</v>
      </c>
      <c r="BI287" t="s">
        <v>108</v>
      </c>
      <c r="BJ287">
        <v>2</v>
      </c>
      <c r="BK287">
        <v>528</v>
      </c>
      <c r="BL287" t="s">
        <v>97</v>
      </c>
      <c r="BM287" t="s">
        <v>97</v>
      </c>
      <c r="BN287" t="s">
        <v>104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X287">
        <v>0</v>
      </c>
      <c r="BY287">
        <v>6</v>
      </c>
      <c r="BZ287">
        <v>2007</v>
      </c>
      <c r="CA287" t="s">
        <v>157</v>
      </c>
      <c r="CB287" t="s">
        <v>158</v>
      </c>
      <c r="CC287">
        <v>164700</v>
      </c>
    </row>
    <row r="288" spans="1:81" x14ac:dyDescent="0.3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H288" t="s">
        <v>119</v>
      </c>
      <c r="I288" t="s">
        <v>174</v>
      </c>
      <c r="J288" t="s">
        <v>85</v>
      </c>
      <c r="K288" t="s">
        <v>86</v>
      </c>
      <c r="L288" t="s">
        <v>87</v>
      </c>
      <c r="M288" t="s">
        <v>270</v>
      </c>
      <c r="N288" t="s">
        <v>89</v>
      </c>
      <c r="O288" t="s">
        <v>89</v>
      </c>
      <c r="P288" t="s">
        <v>90</v>
      </c>
      <c r="Q288" t="s">
        <v>131</v>
      </c>
      <c r="R288">
        <v>6</v>
      </c>
      <c r="S288">
        <v>7</v>
      </c>
      <c r="T288">
        <v>1962</v>
      </c>
      <c r="U288">
        <v>1981</v>
      </c>
      <c r="V288" t="s">
        <v>92</v>
      </c>
      <c r="W288" t="s">
        <v>93</v>
      </c>
      <c r="X288" t="s">
        <v>123</v>
      </c>
      <c r="Y288" t="s">
        <v>123</v>
      </c>
      <c r="Z288" t="s">
        <v>116</v>
      </c>
      <c r="AA288">
        <v>0</v>
      </c>
      <c r="AB288" t="s">
        <v>97</v>
      </c>
      <c r="AC288" t="s">
        <v>97</v>
      </c>
      <c r="AD288" t="s">
        <v>117</v>
      </c>
      <c r="AE288" t="s">
        <v>97</v>
      </c>
      <c r="AF288" t="s">
        <v>97</v>
      </c>
      <c r="AG288" t="s">
        <v>99</v>
      </c>
      <c r="AH288" t="s">
        <v>152</v>
      </c>
      <c r="AI288">
        <v>600</v>
      </c>
      <c r="AJ288" t="s">
        <v>101</v>
      </c>
      <c r="AK288">
        <v>0</v>
      </c>
      <c r="AL288">
        <v>312</v>
      </c>
      <c r="AM288">
        <v>912</v>
      </c>
      <c r="AN288" t="s">
        <v>102</v>
      </c>
      <c r="AO288" t="s">
        <v>97</v>
      </c>
      <c r="AP288" t="s">
        <v>104</v>
      </c>
      <c r="AQ288" t="s">
        <v>105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96</v>
      </c>
      <c r="BC288">
        <v>7</v>
      </c>
      <c r="BD288" t="s">
        <v>106</v>
      </c>
      <c r="BE288">
        <v>1</v>
      </c>
      <c r="BF288" t="s">
        <v>96</v>
      </c>
      <c r="BG288" t="s">
        <v>107</v>
      </c>
      <c r="BH288">
        <v>1962</v>
      </c>
      <c r="BI288" t="s">
        <v>108</v>
      </c>
      <c r="BJ288">
        <v>2</v>
      </c>
      <c r="BK288">
        <v>440</v>
      </c>
      <c r="BL288" t="s">
        <v>97</v>
      </c>
      <c r="BM288" t="s">
        <v>97</v>
      </c>
      <c r="BN288" t="s">
        <v>104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V288" t="s">
        <v>164</v>
      </c>
      <c r="BX288">
        <v>0</v>
      </c>
      <c r="BY288">
        <v>6</v>
      </c>
      <c r="BZ288">
        <v>2006</v>
      </c>
      <c r="CA288" t="s">
        <v>109</v>
      </c>
      <c r="CB288" t="s">
        <v>110</v>
      </c>
      <c r="CC288">
        <v>159000</v>
      </c>
    </row>
    <row r="289" spans="1:81" x14ac:dyDescent="0.3">
      <c r="A289">
        <v>288</v>
      </c>
      <c r="B289">
        <v>20</v>
      </c>
      <c r="C289" t="s">
        <v>81</v>
      </c>
      <c r="E289">
        <v>8125</v>
      </c>
      <c r="F289" t="s">
        <v>82</v>
      </c>
      <c r="H289" t="s">
        <v>119</v>
      </c>
      <c r="I289" t="s">
        <v>84</v>
      </c>
      <c r="J289" t="s">
        <v>85</v>
      </c>
      <c r="K289" t="s">
        <v>121</v>
      </c>
      <c r="L289" t="s">
        <v>87</v>
      </c>
      <c r="M289" t="s">
        <v>270</v>
      </c>
      <c r="N289" t="s">
        <v>89</v>
      </c>
      <c r="O289" t="s">
        <v>89</v>
      </c>
      <c r="P289" t="s">
        <v>90</v>
      </c>
      <c r="Q289" t="s">
        <v>114</v>
      </c>
      <c r="R289">
        <v>4</v>
      </c>
      <c r="S289">
        <v>4</v>
      </c>
      <c r="T289">
        <v>1971</v>
      </c>
      <c r="U289">
        <v>1971</v>
      </c>
      <c r="V289" t="s">
        <v>92</v>
      </c>
      <c r="W289" t="s">
        <v>93</v>
      </c>
      <c r="X289" t="s">
        <v>139</v>
      </c>
      <c r="Y289" t="s">
        <v>139</v>
      </c>
      <c r="Z289" t="s">
        <v>116</v>
      </c>
      <c r="AA289">
        <v>0</v>
      </c>
      <c r="AB289" t="s">
        <v>97</v>
      </c>
      <c r="AC289" t="s">
        <v>97</v>
      </c>
      <c r="AD289" t="s">
        <v>117</v>
      </c>
      <c r="AE289" t="s">
        <v>97</v>
      </c>
      <c r="AF289" t="s">
        <v>97</v>
      </c>
      <c r="AG289" t="s">
        <v>99</v>
      </c>
      <c r="AH289" t="s">
        <v>140</v>
      </c>
      <c r="AI289">
        <v>614</v>
      </c>
      <c r="AJ289" t="s">
        <v>101</v>
      </c>
      <c r="AK289">
        <v>0</v>
      </c>
      <c r="AL289">
        <v>244</v>
      </c>
      <c r="AM289">
        <v>858</v>
      </c>
      <c r="AN289" t="s">
        <v>102</v>
      </c>
      <c r="AO289" t="s">
        <v>97</v>
      </c>
      <c r="AP289" t="s">
        <v>104</v>
      </c>
      <c r="AQ289" t="s">
        <v>105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97</v>
      </c>
      <c r="BC289">
        <v>5</v>
      </c>
      <c r="BD289" t="s">
        <v>106</v>
      </c>
      <c r="BE289">
        <v>0</v>
      </c>
      <c r="BJ289">
        <v>0</v>
      </c>
      <c r="BK289">
        <v>0</v>
      </c>
      <c r="BN289" t="s">
        <v>104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X289">
        <v>0</v>
      </c>
      <c r="BY289">
        <v>6</v>
      </c>
      <c r="BZ289">
        <v>2006</v>
      </c>
      <c r="CA289" t="s">
        <v>109</v>
      </c>
      <c r="CB289" t="s">
        <v>110</v>
      </c>
      <c r="CC289">
        <v>88000</v>
      </c>
    </row>
    <row r="290" spans="1:81" x14ac:dyDescent="0.3">
      <c r="A290">
        <v>289</v>
      </c>
      <c r="B290">
        <v>20</v>
      </c>
      <c r="C290" t="s">
        <v>81</v>
      </c>
      <c r="E290">
        <v>9819</v>
      </c>
      <c r="F290" t="s">
        <v>82</v>
      </c>
      <c r="H290" t="s">
        <v>119</v>
      </c>
      <c r="I290" t="s">
        <v>84</v>
      </c>
      <c r="J290" t="s">
        <v>85</v>
      </c>
      <c r="K290" t="s">
        <v>86</v>
      </c>
      <c r="L290" t="s">
        <v>87</v>
      </c>
      <c r="M290" t="s">
        <v>150</v>
      </c>
      <c r="N290" t="s">
        <v>89</v>
      </c>
      <c r="O290" t="s">
        <v>89</v>
      </c>
      <c r="P290" t="s">
        <v>90</v>
      </c>
      <c r="Q290" t="s">
        <v>114</v>
      </c>
      <c r="R290">
        <v>5</v>
      </c>
      <c r="S290">
        <v>5</v>
      </c>
      <c r="T290">
        <v>1967</v>
      </c>
      <c r="U290">
        <v>1967</v>
      </c>
      <c r="V290" t="s">
        <v>92</v>
      </c>
      <c r="W290" t="s">
        <v>93</v>
      </c>
      <c r="X290" t="s">
        <v>115</v>
      </c>
      <c r="Y290" t="s">
        <v>115</v>
      </c>
      <c r="Z290" t="s">
        <v>95</v>
      </c>
      <c r="AA290">
        <v>31</v>
      </c>
      <c r="AB290" t="s">
        <v>97</v>
      </c>
      <c r="AC290" t="s">
        <v>96</v>
      </c>
      <c r="AD290" t="s">
        <v>117</v>
      </c>
      <c r="AE290" t="s">
        <v>97</v>
      </c>
      <c r="AF290" t="s">
        <v>97</v>
      </c>
      <c r="AG290" t="s">
        <v>99</v>
      </c>
      <c r="AH290" t="s">
        <v>140</v>
      </c>
      <c r="AI290">
        <v>450</v>
      </c>
      <c r="AJ290" t="s">
        <v>101</v>
      </c>
      <c r="AK290">
        <v>0</v>
      </c>
      <c r="AL290">
        <v>432</v>
      </c>
      <c r="AM290">
        <v>882</v>
      </c>
      <c r="AN290" t="s">
        <v>102</v>
      </c>
      <c r="AO290" t="s">
        <v>97</v>
      </c>
      <c r="AP290" t="s">
        <v>104</v>
      </c>
      <c r="AQ290" t="s">
        <v>105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97</v>
      </c>
      <c r="BC290">
        <v>5</v>
      </c>
      <c r="BD290" t="s">
        <v>106</v>
      </c>
      <c r="BE290">
        <v>0</v>
      </c>
      <c r="BG290" t="s">
        <v>126</v>
      </c>
      <c r="BH290">
        <v>1970</v>
      </c>
      <c r="BI290" t="s">
        <v>101</v>
      </c>
      <c r="BJ290">
        <v>1</v>
      </c>
      <c r="BK290">
        <v>280</v>
      </c>
      <c r="BL290" t="s">
        <v>97</v>
      </c>
      <c r="BM290" t="s">
        <v>97</v>
      </c>
      <c r="BN290" t="s">
        <v>104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V290" t="s">
        <v>133</v>
      </c>
      <c r="BX290">
        <v>0</v>
      </c>
      <c r="BY290">
        <v>2</v>
      </c>
      <c r="BZ290">
        <v>2010</v>
      </c>
      <c r="CA290" t="s">
        <v>109</v>
      </c>
      <c r="CB290" t="s">
        <v>110</v>
      </c>
      <c r="CC290">
        <v>122000</v>
      </c>
    </row>
    <row r="291" spans="1:81" x14ac:dyDescent="0.3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H291" t="s">
        <v>83</v>
      </c>
      <c r="I291" t="s">
        <v>84</v>
      </c>
      <c r="J291" t="s">
        <v>85</v>
      </c>
      <c r="K291" t="s">
        <v>86</v>
      </c>
      <c r="L291" t="s">
        <v>87</v>
      </c>
      <c r="M291" t="s">
        <v>147</v>
      </c>
      <c r="N291" t="s">
        <v>201</v>
      </c>
      <c r="O291" t="s">
        <v>89</v>
      </c>
      <c r="P291" t="s">
        <v>90</v>
      </c>
      <c r="Q291" t="s">
        <v>91</v>
      </c>
      <c r="R291">
        <v>6</v>
      </c>
      <c r="S291">
        <v>7</v>
      </c>
      <c r="T291">
        <v>1915</v>
      </c>
      <c r="U291">
        <v>2003</v>
      </c>
      <c r="V291" t="s">
        <v>92</v>
      </c>
      <c r="W291" t="s">
        <v>93</v>
      </c>
      <c r="X291" t="s">
        <v>123</v>
      </c>
      <c r="Y291" t="s">
        <v>123</v>
      </c>
      <c r="Z291" t="s">
        <v>116</v>
      </c>
      <c r="AA291">
        <v>0</v>
      </c>
      <c r="AB291" t="s">
        <v>97</v>
      </c>
      <c r="AC291" t="s">
        <v>97</v>
      </c>
      <c r="AD291" t="s">
        <v>125</v>
      </c>
      <c r="AE291" t="s">
        <v>97</v>
      </c>
      <c r="AF291" t="s">
        <v>97</v>
      </c>
      <c r="AG291" t="s">
        <v>99</v>
      </c>
      <c r="AH291" t="s">
        <v>101</v>
      </c>
      <c r="AI291">
        <v>0</v>
      </c>
      <c r="AJ291" t="s">
        <v>101</v>
      </c>
      <c r="AK291">
        <v>0</v>
      </c>
      <c r="AL291">
        <v>698</v>
      </c>
      <c r="AM291">
        <v>698</v>
      </c>
      <c r="AN291" t="s">
        <v>102</v>
      </c>
      <c r="AO291" t="s">
        <v>103</v>
      </c>
      <c r="AP291" t="s">
        <v>104</v>
      </c>
      <c r="AQ291" t="s">
        <v>163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97</v>
      </c>
      <c r="BC291">
        <v>7</v>
      </c>
      <c r="BD291" t="s">
        <v>106</v>
      </c>
      <c r="BE291">
        <v>0</v>
      </c>
      <c r="BG291" t="s">
        <v>126</v>
      </c>
      <c r="BH291">
        <v>2003</v>
      </c>
      <c r="BI291" t="s">
        <v>101</v>
      </c>
      <c r="BJ291">
        <v>1</v>
      </c>
      <c r="BK291">
        <v>384</v>
      </c>
      <c r="BL291" t="s">
        <v>97</v>
      </c>
      <c r="BM291" t="s">
        <v>97</v>
      </c>
      <c r="BN291" t="s">
        <v>104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X291">
        <v>0</v>
      </c>
      <c r="BY291">
        <v>7</v>
      </c>
      <c r="BZ291">
        <v>2007</v>
      </c>
      <c r="CA291" t="s">
        <v>109</v>
      </c>
      <c r="CB291" t="s">
        <v>110</v>
      </c>
      <c r="CC291">
        <v>153575</v>
      </c>
    </row>
    <row r="292" spans="1:81" x14ac:dyDescent="0.3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H292" t="s">
        <v>83</v>
      </c>
      <c r="I292" t="s">
        <v>84</v>
      </c>
      <c r="J292" t="s">
        <v>85</v>
      </c>
      <c r="K292" t="s">
        <v>86</v>
      </c>
      <c r="L292" t="s">
        <v>87</v>
      </c>
      <c r="M292" t="s">
        <v>88</v>
      </c>
      <c r="N292" t="s">
        <v>89</v>
      </c>
      <c r="O292" t="s">
        <v>89</v>
      </c>
      <c r="P292" t="s">
        <v>90</v>
      </c>
      <c r="Q292" t="s">
        <v>91</v>
      </c>
      <c r="R292">
        <v>8</v>
      </c>
      <c r="S292">
        <v>5</v>
      </c>
      <c r="T292">
        <v>2006</v>
      </c>
      <c r="U292">
        <v>2006</v>
      </c>
      <c r="V292" t="s">
        <v>92</v>
      </c>
      <c r="W292" t="s">
        <v>93</v>
      </c>
      <c r="X292" t="s">
        <v>94</v>
      </c>
      <c r="Y292" t="s">
        <v>94</v>
      </c>
      <c r="Z292" t="s">
        <v>116</v>
      </c>
      <c r="AA292">
        <v>0</v>
      </c>
      <c r="AB292" t="s">
        <v>96</v>
      </c>
      <c r="AC292" t="s">
        <v>97</v>
      </c>
      <c r="AD292" t="s">
        <v>98</v>
      </c>
      <c r="AE292" t="s">
        <v>96</v>
      </c>
      <c r="AF292" t="s">
        <v>97</v>
      </c>
      <c r="AG292" t="s">
        <v>129</v>
      </c>
      <c r="AH292" t="s">
        <v>101</v>
      </c>
      <c r="AI292">
        <v>0</v>
      </c>
      <c r="AJ292" t="s">
        <v>101</v>
      </c>
      <c r="AK292">
        <v>0</v>
      </c>
      <c r="AL292">
        <v>1079</v>
      </c>
      <c r="AM292">
        <v>1079</v>
      </c>
      <c r="AN292" t="s">
        <v>102</v>
      </c>
      <c r="AO292" t="s">
        <v>103</v>
      </c>
      <c r="AP292" t="s">
        <v>104</v>
      </c>
      <c r="AQ292" t="s">
        <v>105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96</v>
      </c>
      <c r="BC292">
        <v>8</v>
      </c>
      <c r="BD292" t="s">
        <v>106</v>
      </c>
      <c r="BE292">
        <v>1</v>
      </c>
      <c r="BF292" t="s">
        <v>96</v>
      </c>
      <c r="BG292" t="s">
        <v>107</v>
      </c>
      <c r="BH292">
        <v>2006</v>
      </c>
      <c r="BI292" t="s">
        <v>108</v>
      </c>
      <c r="BJ292">
        <v>2</v>
      </c>
      <c r="BK292">
        <v>685</v>
      </c>
      <c r="BL292" t="s">
        <v>96</v>
      </c>
      <c r="BM292" t="s">
        <v>97</v>
      </c>
      <c r="BN292" t="s">
        <v>104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X292">
        <v>0</v>
      </c>
      <c r="BY292">
        <v>7</v>
      </c>
      <c r="BZ292">
        <v>2006</v>
      </c>
      <c r="CA292" t="s">
        <v>157</v>
      </c>
      <c r="CB292" t="s">
        <v>158</v>
      </c>
      <c r="CC292">
        <v>233230</v>
      </c>
    </row>
    <row r="293" spans="1:81" x14ac:dyDescent="0.3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173</v>
      </c>
      <c r="H293" t="s">
        <v>83</v>
      </c>
      <c r="I293" t="s">
        <v>174</v>
      </c>
      <c r="J293" t="s">
        <v>85</v>
      </c>
      <c r="K293" t="s">
        <v>86</v>
      </c>
      <c r="L293" t="s">
        <v>87</v>
      </c>
      <c r="M293" t="s">
        <v>231</v>
      </c>
      <c r="N293" t="s">
        <v>89</v>
      </c>
      <c r="O293" t="s">
        <v>89</v>
      </c>
      <c r="P293" t="s">
        <v>148</v>
      </c>
      <c r="Q293" t="s">
        <v>91</v>
      </c>
      <c r="R293">
        <v>5</v>
      </c>
      <c r="S293">
        <v>6</v>
      </c>
      <c r="T293">
        <v>1912</v>
      </c>
      <c r="U293">
        <v>2000</v>
      </c>
      <c r="V293" t="s">
        <v>92</v>
      </c>
      <c r="W293" t="s">
        <v>93</v>
      </c>
      <c r="X293" t="s">
        <v>94</v>
      </c>
      <c r="Y293" t="s">
        <v>94</v>
      </c>
      <c r="Z293" t="s">
        <v>116</v>
      </c>
      <c r="AA293">
        <v>0</v>
      </c>
      <c r="AB293" t="s">
        <v>97</v>
      </c>
      <c r="AC293" t="s">
        <v>146</v>
      </c>
      <c r="AD293" t="s">
        <v>98</v>
      </c>
      <c r="AE293" t="s">
        <v>97</v>
      </c>
      <c r="AF293" t="s">
        <v>146</v>
      </c>
      <c r="AG293" t="s">
        <v>99</v>
      </c>
      <c r="AH293" t="s">
        <v>152</v>
      </c>
      <c r="AI293">
        <v>210</v>
      </c>
      <c r="AJ293" t="s">
        <v>101</v>
      </c>
      <c r="AK293">
        <v>0</v>
      </c>
      <c r="AL293">
        <v>570</v>
      </c>
      <c r="AM293">
        <v>780</v>
      </c>
      <c r="AN293" t="s">
        <v>102</v>
      </c>
      <c r="AO293" t="s">
        <v>103</v>
      </c>
      <c r="AP293" t="s">
        <v>176</v>
      </c>
      <c r="AQ293" t="s">
        <v>105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146</v>
      </c>
      <c r="BC293">
        <v>9</v>
      </c>
      <c r="BD293" t="s">
        <v>106</v>
      </c>
      <c r="BE293">
        <v>0</v>
      </c>
      <c r="BJ293">
        <v>0</v>
      </c>
      <c r="BK293">
        <v>0</v>
      </c>
      <c r="BN293" t="s">
        <v>176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X293">
        <v>0</v>
      </c>
      <c r="BY293">
        <v>3</v>
      </c>
      <c r="BZ293">
        <v>2008</v>
      </c>
      <c r="CA293" t="s">
        <v>109</v>
      </c>
      <c r="CB293" t="s">
        <v>110</v>
      </c>
      <c r="CC293">
        <v>135900</v>
      </c>
    </row>
    <row r="294" spans="1:81" x14ac:dyDescent="0.3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H294" t="s">
        <v>83</v>
      </c>
      <c r="I294" t="s">
        <v>84</v>
      </c>
      <c r="J294" t="s">
        <v>85</v>
      </c>
      <c r="K294" t="s">
        <v>86</v>
      </c>
      <c r="L294" t="s">
        <v>87</v>
      </c>
      <c r="M294" t="s">
        <v>184</v>
      </c>
      <c r="N294" t="s">
        <v>89</v>
      </c>
      <c r="O294" t="s">
        <v>89</v>
      </c>
      <c r="P294" t="s">
        <v>90</v>
      </c>
      <c r="Q294" t="s">
        <v>131</v>
      </c>
      <c r="R294">
        <v>5</v>
      </c>
      <c r="S294">
        <v>4</v>
      </c>
      <c r="T294">
        <v>1949</v>
      </c>
      <c r="U294">
        <v>2008</v>
      </c>
      <c r="V294" t="s">
        <v>92</v>
      </c>
      <c r="W294" t="s">
        <v>93</v>
      </c>
      <c r="X294" t="s">
        <v>123</v>
      </c>
      <c r="Y294" t="s">
        <v>123</v>
      </c>
      <c r="Z294" t="s">
        <v>116</v>
      </c>
      <c r="AA294">
        <v>0</v>
      </c>
      <c r="AB294" t="s">
        <v>97</v>
      </c>
      <c r="AC294" t="s">
        <v>97</v>
      </c>
      <c r="AD294" t="s">
        <v>117</v>
      </c>
      <c r="AE294" t="s">
        <v>97</v>
      </c>
      <c r="AF294" t="s">
        <v>97</v>
      </c>
      <c r="AG294" t="s">
        <v>99</v>
      </c>
      <c r="AH294" t="s">
        <v>171</v>
      </c>
      <c r="AI294">
        <v>292</v>
      </c>
      <c r="AJ294" t="s">
        <v>101</v>
      </c>
      <c r="AK294">
        <v>0</v>
      </c>
      <c r="AL294">
        <v>476</v>
      </c>
      <c r="AM294">
        <v>768</v>
      </c>
      <c r="AN294" t="s">
        <v>102</v>
      </c>
      <c r="AO294" t="s">
        <v>96</v>
      </c>
      <c r="AP294" t="s">
        <v>104</v>
      </c>
      <c r="AQ294" t="s">
        <v>105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97</v>
      </c>
      <c r="BC294">
        <v>8</v>
      </c>
      <c r="BD294" t="s">
        <v>223</v>
      </c>
      <c r="BE294">
        <v>1</v>
      </c>
      <c r="BF294" t="s">
        <v>96</v>
      </c>
      <c r="BG294" t="s">
        <v>107</v>
      </c>
      <c r="BH294">
        <v>1949</v>
      </c>
      <c r="BI294" t="s">
        <v>101</v>
      </c>
      <c r="BJ294">
        <v>1</v>
      </c>
      <c r="BK294">
        <v>281</v>
      </c>
      <c r="BL294" t="s">
        <v>97</v>
      </c>
      <c r="BM294" t="s">
        <v>97</v>
      </c>
      <c r="BN294" t="s">
        <v>104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X294">
        <v>0</v>
      </c>
      <c r="BY294">
        <v>1</v>
      </c>
      <c r="BZ294">
        <v>2009</v>
      </c>
      <c r="CA294" t="s">
        <v>109</v>
      </c>
      <c r="CB294" t="s">
        <v>110</v>
      </c>
      <c r="CC294">
        <v>131000</v>
      </c>
    </row>
    <row r="295" spans="1:81" x14ac:dyDescent="0.3">
      <c r="A295">
        <v>294</v>
      </c>
      <c r="B295">
        <v>60</v>
      </c>
      <c r="C295" t="s">
        <v>81</v>
      </c>
      <c r="E295">
        <v>16659</v>
      </c>
      <c r="F295" t="s">
        <v>82</v>
      </c>
      <c r="H295" t="s">
        <v>119</v>
      </c>
      <c r="I295" t="s">
        <v>84</v>
      </c>
      <c r="J295" t="s">
        <v>85</v>
      </c>
      <c r="K295" t="s">
        <v>121</v>
      </c>
      <c r="L295" t="s">
        <v>87</v>
      </c>
      <c r="M295" t="s">
        <v>137</v>
      </c>
      <c r="N295" t="s">
        <v>203</v>
      </c>
      <c r="O295" t="s">
        <v>89</v>
      </c>
      <c r="P295" t="s">
        <v>90</v>
      </c>
      <c r="Q295" t="s">
        <v>91</v>
      </c>
      <c r="R295">
        <v>7</v>
      </c>
      <c r="S295">
        <v>7</v>
      </c>
      <c r="T295">
        <v>1977</v>
      </c>
      <c r="U295">
        <v>1994</v>
      </c>
      <c r="V295" t="s">
        <v>92</v>
      </c>
      <c r="W295" t="s">
        <v>93</v>
      </c>
      <c r="X295" t="s">
        <v>160</v>
      </c>
      <c r="Y295" t="s">
        <v>160</v>
      </c>
      <c r="Z295" t="s">
        <v>95</v>
      </c>
      <c r="AA295">
        <v>34</v>
      </c>
      <c r="AB295" t="s">
        <v>97</v>
      </c>
      <c r="AC295" t="s">
        <v>97</v>
      </c>
      <c r="AD295" t="s">
        <v>117</v>
      </c>
      <c r="AE295" t="s">
        <v>97</v>
      </c>
      <c r="AF295" t="s">
        <v>97</v>
      </c>
      <c r="AG295" t="s">
        <v>99</v>
      </c>
      <c r="AH295" t="s">
        <v>118</v>
      </c>
      <c r="AI295">
        <v>795</v>
      </c>
      <c r="AJ295" t="s">
        <v>101</v>
      </c>
      <c r="AK295">
        <v>0</v>
      </c>
      <c r="AL295">
        <v>0</v>
      </c>
      <c r="AM295">
        <v>795</v>
      </c>
      <c r="AN295" t="s">
        <v>102</v>
      </c>
      <c r="AO295" t="s">
        <v>146</v>
      </c>
      <c r="AP295" t="s">
        <v>104</v>
      </c>
      <c r="AQ295" t="s">
        <v>105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96</v>
      </c>
      <c r="BC295">
        <v>9</v>
      </c>
      <c r="BD295" t="s">
        <v>106</v>
      </c>
      <c r="BE295">
        <v>1</v>
      </c>
      <c r="BF295" t="s">
        <v>97</v>
      </c>
      <c r="BG295" t="s">
        <v>107</v>
      </c>
      <c r="BH295">
        <v>1977</v>
      </c>
      <c r="BI295" t="s">
        <v>156</v>
      </c>
      <c r="BJ295">
        <v>2</v>
      </c>
      <c r="BK295">
        <v>539</v>
      </c>
      <c r="BL295" t="s">
        <v>97</v>
      </c>
      <c r="BM295" t="s">
        <v>97</v>
      </c>
      <c r="BN295" t="s">
        <v>104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X295">
        <v>0</v>
      </c>
      <c r="BY295">
        <v>3</v>
      </c>
      <c r="BZ295">
        <v>2006</v>
      </c>
      <c r="CA295" t="s">
        <v>109</v>
      </c>
      <c r="CB295" t="s">
        <v>110</v>
      </c>
      <c r="CC295">
        <v>235000</v>
      </c>
    </row>
    <row r="296" spans="1:81" x14ac:dyDescent="0.3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H296" t="s">
        <v>83</v>
      </c>
      <c r="I296" t="s">
        <v>84</v>
      </c>
      <c r="J296" t="s">
        <v>85</v>
      </c>
      <c r="K296" t="s">
        <v>86</v>
      </c>
      <c r="L296" t="s">
        <v>87</v>
      </c>
      <c r="M296" t="s">
        <v>270</v>
      </c>
      <c r="N296" t="s">
        <v>89</v>
      </c>
      <c r="O296" t="s">
        <v>89</v>
      </c>
      <c r="P296" t="s">
        <v>90</v>
      </c>
      <c r="Q296" t="s">
        <v>114</v>
      </c>
      <c r="R296">
        <v>6</v>
      </c>
      <c r="S296">
        <v>5</v>
      </c>
      <c r="T296">
        <v>1953</v>
      </c>
      <c r="U296">
        <v>1953</v>
      </c>
      <c r="V296" t="s">
        <v>151</v>
      </c>
      <c r="W296" t="s">
        <v>93</v>
      </c>
      <c r="X296" t="s">
        <v>139</v>
      </c>
      <c r="Y296" t="s">
        <v>139</v>
      </c>
      <c r="Z296" t="s">
        <v>136</v>
      </c>
      <c r="AA296">
        <v>238</v>
      </c>
      <c r="AB296" t="s">
        <v>97</v>
      </c>
      <c r="AC296" t="s">
        <v>97</v>
      </c>
      <c r="AD296" t="s">
        <v>117</v>
      </c>
      <c r="AE296" t="s">
        <v>97</v>
      </c>
      <c r="AF296" t="s">
        <v>97</v>
      </c>
      <c r="AG296" t="s">
        <v>99</v>
      </c>
      <c r="AH296" t="s">
        <v>100</v>
      </c>
      <c r="AI296">
        <v>1285</v>
      </c>
      <c r="AJ296" t="s">
        <v>101</v>
      </c>
      <c r="AK296">
        <v>0</v>
      </c>
      <c r="AL296">
        <v>131</v>
      </c>
      <c r="AM296">
        <v>1416</v>
      </c>
      <c r="AN296" t="s">
        <v>102</v>
      </c>
      <c r="AO296" t="s">
        <v>97</v>
      </c>
      <c r="AP296" t="s">
        <v>104</v>
      </c>
      <c r="AQ296" t="s">
        <v>105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97</v>
      </c>
      <c r="BC296">
        <v>7</v>
      </c>
      <c r="BD296" t="s">
        <v>106</v>
      </c>
      <c r="BE296">
        <v>2</v>
      </c>
      <c r="BF296" t="s">
        <v>96</v>
      </c>
      <c r="BG296" t="s">
        <v>107</v>
      </c>
      <c r="BH296">
        <v>1953</v>
      </c>
      <c r="BI296" t="s">
        <v>156</v>
      </c>
      <c r="BJ296">
        <v>2</v>
      </c>
      <c r="BK296">
        <v>418</v>
      </c>
      <c r="BL296" t="s">
        <v>97</v>
      </c>
      <c r="BM296" t="s">
        <v>97</v>
      </c>
      <c r="BN296" t="s">
        <v>104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X296">
        <v>0</v>
      </c>
      <c r="BY296">
        <v>10</v>
      </c>
      <c r="BZ296">
        <v>2009</v>
      </c>
      <c r="CA296" t="s">
        <v>109</v>
      </c>
      <c r="CB296" t="s">
        <v>110</v>
      </c>
      <c r="CC296">
        <v>167000</v>
      </c>
    </row>
    <row r="297" spans="1:81" x14ac:dyDescent="0.3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H297" t="s">
        <v>119</v>
      </c>
      <c r="I297" t="s">
        <v>84</v>
      </c>
      <c r="J297" t="s">
        <v>85</v>
      </c>
      <c r="K297" t="s">
        <v>165</v>
      </c>
      <c r="L297" t="s">
        <v>87</v>
      </c>
      <c r="M297" t="s">
        <v>130</v>
      </c>
      <c r="N297" t="s">
        <v>89</v>
      </c>
      <c r="O297" t="s">
        <v>89</v>
      </c>
      <c r="P297" t="s">
        <v>90</v>
      </c>
      <c r="Q297" t="s">
        <v>196</v>
      </c>
      <c r="R297">
        <v>6</v>
      </c>
      <c r="S297">
        <v>6</v>
      </c>
      <c r="T297">
        <v>1984</v>
      </c>
      <c r="U297">
        <v>1984</v>
      </c>
      <c r="V297" t="s">
        <v>92</v>
      </c>
      <c r="W297" t="s">
        <v>93</v>
      </c>
      <c r="X297" t="s">
        <v>139</v>
      </c>
      <c r="Y297" t="s">
        <v>139</v>
      </c>
      <c r="Z297" t="s">
        <v>116</v>
      </c>
      <c r="AA297">
        <v>0</v>
      </c>
      <c r="AB297" t="s">
        <v>97</v>
      </c>
      <c r="AC297" t="s">
        <v>97</v>
      </c>
      <c r="AD297" t="s">
        <v>117</v>
      </c>
      <c r="AE297" t="s">
        <v>97</v>
      </c>
      <c r="AF297" t="s">
        <v>97</v>
      </c>
      <c r="AG297" t="s">
        <v>129</v>
      </c>
      <c r="AH297" t="s">
        <v>100</v>
      </c>
      <c r="AI297">
        <v>819</v>
      </c>
      <c r="AJ297" t="s">
        <v>101</v>
      </c>
      <c r="AK297">
        <v>0</v>
      </c>
      <c r="AL297">
        <v>184</v>
      </c>
      <c r="AM297">
        <v>1003</v>
      </c>
      <c r="AN297" t="s">
        <v>102</v>
      </c>
      <c r="AO297" t="s">
        <v>97</v>
      </c>
      <c r="AP297" t="s">
        <v>104</v>
      </c>
      <c r="AQ297" t="s">
        <v>105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97</v>
      </c>
      <c r="BC297">
        <v>6</v>
      </c>
      <c r="BD297" t="s">
        <v>106</v>
      </c>
      <c r="BE297">
        <v>0</v>
      </c>
      <c r="BG297" t="s">
        <v>126</v>
      </c>
      <c r="BH297">
        <v>1984</v>
      </c>
      <c r="BI297" t="s">
        <v>101</v>
      </c>
      <c r="BJ297">
        <v>2</v>
      </c>
      <c r="BK297">
        <v>588</v>
      </c>
      <c r="BL297" t="s">
        <v>97</v>
      </c>
      <c r="BM297" t="s">
        <v>97</v>
      </c>
      <c r="BN297" t="s">
        <v>104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V297" t="s">
        <v>164</v>
      </c>
      <c r="BX297">
        <v>0</v>
      </c>
      <c r="BY297">
        <v>3</v>
      </c>
      <c r="BZ297">
        <v>2006</v>
      </c>
      <c r="CA297" t="s">
        <v>109</v>
      </c>
      <c r="CB297" t="s">
        <v>110</v>
      </c>
      <c r="CC297">
        <v>142500</v>
      </c>
    </row>
    <row r="298" spans="1:81" x14ac:dyDescent="0.3">
      <c r="A298">
        <v>297</v>
      </c>
      <c r="B298">
        <v>50</v>
      </c>
      <c r="C298" t="s">
        <v>141</v>
      </c>
      <c r="D298">
        <v>75</v>
      </c>
      <c r="E298">
        <v>13710</v>
      </c>
      <c r="F298" t="s">
        <v>82</v>
      </c>
      <c r="H298" t="s">
        <v>83</v>
      </c>
      <c r="I298" t="s">
        <v>84</v>
      </c>
      <c r="J298" t="s">
        <v>85</v>
      </c>
      <c r="K298" t="s">
        <v>86</v>
      </c>
      <c r="L298" t="s">
        <v>87</v>
      </c>
      <c r="M298" t="s">
        <v>175</v>
      </c>
      <c r="N298" t="s">
        <v>89</v>
      </c>
      <c r="O298" t="s">
        <v>89</v>
      </c>
      <c r="P298" t="s">
        <v>90</v>
      </c>
      <c r="Q298" t="s">
        <v>131</v>
      </c>
      <c r="R298">
        <v>5</v>
      </c>
      <c r="S298">
        <v>5</v>
      </c>
      <c r="T298">
        <v>1950</v>
      </c>
      <c r="U298">
        <v>1950</v>
      </c>
      <c r="V298" t="s">
        <v>92</v>
      </c>
      <c r="W298" t="s">
        <v>93</v>
      </c>
      <c r="X298" t="s">
        <v>123</v>
      </c>
      <c r="Y298" t="s">
        <v>123</v>
      </c>
      <c r="Z298" t="s">
        <v>116</v>
      </c>
      <c r="AA298">
        <v>0</v>
      </c>
      <c r="AB298" t="s">
        <v>97</v>
      </c>
      <c r="AC298" t="s">
        <v>97</v>
      </c>
      <c r="AD298" t="s">
        <v>117</v>
      </c>
      <c r="AE298" t="s">
        <v>97</v>
      </c>
      <c r="AF298" t="s">
        <v>97</v>
      </c>
      <c r="AG298" t="s">
        <v>99</v>
      </c>
      <c r="AH298" t="s">
        <v>140</v>
      </c>
      <c r="AI298">
        <v>420</v>
      </c>
      <c r="AJ298" t="s">
        <v>101</v>
      </c>
      <c r="AK298">
        <v>0</v>
      </c>
      <c r="AL298">
        <v>490</v>
      </c>
      <c r="AM298">
        <v>910</v>
      </c>
      <c r="AN298" t="s">
        <v>102</v>
      </c>
      <c r="AO298" t="s">
        <v>97</v>
      </c>
      <c r="AP298" t="s">
        <v>104</v>
      </c>
      <c r="AQ298" t="s">
        <v>163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97</v>
      </c>
      <c r="BC298">
        <v>6</v>
      </c>
      <c r="BD298" t="s">
        <v>106</v>
      </c>
      <c r="BE298">
        <v>0</v>
      </c>
      <c r="BG298" t="s">
        <v>107</v>
      </c>
      <c r="BH298">
        <v>1950</v>
      </c>
      <c r="BI298" t="s">
        <v>101</v>
      </c>
      <c r="BJ298">
        <v>1</v>
      </c>
      <c r="BK298">
        <v>282</v>
      </c>
      <c r="BL298" t="s">
        <v>97</v>
      </c>
      <c r="BM298" t="s">
        <v>97</v>
      </c>
      <c r="BN298" t="s">
        <v>104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V298" t="s">
        <v>133</v>
      </c>
      <c r="BX298">
        <v>0</v>
      </c>
      <c r="BY298">
        <v>6</v>
      </c>
      <c r="BZ298">
        <v>2007</v>
      </c>
      <c r="CA298" t="s">
        <v>109</v>
      </c>
      <c r="CB298" t="s">
        <v>110</v>
      </c>
      <c r="CC298">
        <v>152000</v>
      </c>
    </row>
    <row r="299" spans="1:81" x14ac:dyDescent="0.3">
      <c r="A299">
        <v>298</v>
      </c>
      <c r="B299">
        <v>60</v>
      </c>
      <c r="C299" t="s">
        <v>191</v>
      </c>
      <c r="D299">
        <v>66</v>
      </c>
      <c r="E299">
        <v>7399</v>
      </c>
      <c r="F299" t="s">
        <v>82</v>
      </c>
      <c r="G299" t="s">
        <v>82</v>
      </c>
      <c r="H299" t="s">
        <v>119</v>
      </c>
      <c r="I299" t="s">
        <v>84</v>
      </c>
      <c r="J299" t="s">
        <v>85</v>
      </c>
      <c r="K299" t="s">
        <v>86</v>
      </c>
      <c r="L299" t="s">
        <v>87</v>
      </c>
      <c r="M299" t="s">
        <v>135</v>
      </c>
      <c r="N299" t="s">
        <v>89</v>
      </c>
      <c r="O299" t="s">
        <v>89</v>
      </c>
      <c r="P299" t="s">
        <v>90</v>
      </c>
      <c r="Q299" t="s">
        <v>91</v>
      </c>
      <c r="R299">
        <v>7</v>
      </c>
      <c r="S299">
        <v>5</v>
      </c>
      <c r="T299">
        <v>1997</v>
      </c>
      <c r="U299">
        <v>1998</v>
      </c>
      <c r="V299" t="s">
        <v>151</v>
      </c>
      <c r="W299" t="s">
        <v>93</v>
      </c>
      <c r="X299" t="s">
        <v>94</v>
      </c>
      <c r="Y299" t="s">
        <v>94</v>
      </c>
      <c r="Z299" t="s">
        <v>95</v>
      </c>
      <c r="AA299">
        <v>1600</v>
      </c>
      <c r="AB299" t="s">
        <v>96</v>
      </c>
      <c r="AC299" t="s">
        <v>97</v>
      </c>
      <c r="AD299" t="s">
        <v>98</v>
      </c>
      <c r="AE299" t="s">
        <v>96</v>
      </c>
      <c r="AF299" t="s">
        <v>97</v>
      </c>
      <c r="AG299" t="s">
        <v>99</v>
      </c>
      <c r="AH299" t="s">
        <v>140</v>
      </c>
      <c r="AI299">
        <v>649</v>
      </c>
      <c r="AJ299" t="s">
        <v>101</v>
      </c>
      <c r="AK299">
        <v>0</v>
      </c>
      <c r="AL299">
        <v>326</v>
      </c>
      <c r="AM299">
        <v>975</v>
      </c>
      <c r="AN299" t="s">
        <v>102</v>
      </c>
      <c r="AO299" t="s">
        <v>103</v>
      </c>
      <c r="AP299" t="s">
        <v>104</v>
      </c>
      <c r="AQ299" t="s">
        <v>105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96</v>
      </c>
      <c r="BC299">
        <v>7</v>
      </c>
      <c r="BD299" t="s">
        <v>106</v>
      </c>
      <c r="BE299">
        <v>1</v>
      </c>
      <c r="BF299" t="s">
        <v>97</v>
      </c>
      <c r="BG299" t="s">
        <v>126</v>
      </c>
      <c r="BH299">
        <v>1997</v>
      </c>
      <c r="BI299" t="s">
        <v>108</v>
      </c>
      <c r="BJ299">
        <v>2</v>
      </c>
      <c r="BK299">
        <v>576</v>
      </c>
      <c r="BL299" t="s">
        <v>97</v>
      </c>
      <c r="BM299" t="s">
        <v>97</v>
      </c>
      <c r="BN299" t="s">
        <v>104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X299">
        <v>0</v>
      </c>
      <c r="BY299">
        <v>6</v>
      </c>
      <c r="BZ299">
        <v>2007</v>
      </c>
      <c r="CA299" t="s">
        <v>109</v>
      </c>
      <c r="CB299" t="s">
        <v>110</v>
      </c>
      <c r="CC299">
        <v>239000</v>
      </c>
    </row>
    <row r="300" spans="1:81" x14ac:dyDescent="0.3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H300" t="s">
        <v>83</v>
      </c>
      <c r="I300" t="s">
        <v>84</v>
      </c>
      <c r="J300" t="s">
        <v>85</v>
      </c>
      <c r="K300" t="s">
        <v>86</v>
      </c>
      <c r="L300" t="s">
        <v>87</v>
      </c>
      <c r="M300" t="s">
        <v>137</v>
      </c>
      <c r="N300" t="s">
        <v>89</v>
      </c>
      <c r="O300" t="s">
        <v>89</v>
      </c>
      <c r="P300" t="s">
        <v>90</v>
      </c>
      <c r="Q300" t="s">
        <v>91</v>
      </c>
      <c r="R300">
        <v>6</v>
      </c>
      <c r="S300">
        <v>6</v>
      </c>
      <c r="T300">
        <v>1968</v>
      </c>
      <c r="U300">
        <v>1968</v>
      </c>
      <c r="V300" t="s">
        <v>210</v>
      </c>
      <c r="W300" t="s">
        <v>93</v>
      </c>
      <c r="X300" t="s">
        <v>139</v>
      </c>
      <c r="Y300" t="s">
        <v>235</v>
      </c>
      <c r="Z300" t="s">
        <v>95</v>
      </c>
      <c r="AA300">
        <v>365</v>
      </c>
      <c r="AB300" t="s">
        <v>96</v>
      </c>
      <c r="AC300" t="s">
        <v>97</v>
      </c>
      <c r="AD300" t="s">
        <v>117</v>
      </c>
      <c r="AE300" t="s">
        <v>97</v>
      </c>
      <c r="AF300" t="s">
        <v>97</v>
      </c>
      <c r="AG300" t="s">
        <v>99</v>
      </c>
      <c r="AH300" t="s">
        <v>118</v>
      </c>
      <c r="AI300">
        <v>384</v>
      </c>
      <c r="AJ300" t="s">
        <v>152</v>
      </c>
      <c r="AK300">
        <v>175</v>
      </c>
      <c r="AL300">
        <v>143</v>
      </c>
      <c r="AM300">
        <v>702</v>
      </c>
      <c r="AN300" t="s">
        <v>102</v>
      </c>
      <c r="AO300" t="s">
        <v>96</v>
      </c>
      <c r="AP300" t="s">
        <v>104</v>
      </c>
      <c r="AQ300" t="s">
        <v>105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97</v>
      </c>
      <c r="BC300">
        <v>7</v>
      </c>
      <c r="BD300" t="s">
        <v>106</v>
      </c>
      <c r="BE300">
        <v>1</v>
      </c>
      <c r="BF300" t="s">
        <v>96</v>
      </c>
      <c r="BG300" t="s">
        <v>107</v>
      </c>
      <c r="BH300">
        <v>1968</v>
      </c>
      <c r="BI300" t="s">
        <v>101</v>
      </c>
      <c r="BJ300">
        <v>2</v>
      </c>
      <c r="BK300">
        <v>539</v>
      </c>
      <c r="BL300" t="s">
        <v>97</v>
      </c>
      <c r="BM300" t="s">
        <v>97</v>
      </c>
      <c r="BN300" t="s">
        <v>104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X300">
        <v>0</v>
      </c>
      <c r="BY300">
        <v>6</v>
      </c>
      <c r="BZ300">
        <v>2007</v>
      </c>
      <c r="CA300" t="s">
        <v>109</v>
      </c>
      <c r="CB300" t="s">
        <v>110</v>
      </c>
      <c r="CC300">
        <v>175000</v>
      </c>
    </row>
    <row r="301" spans="1:81" x14ac:dyDescent="0.3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H301" t="s">
        <v>83</v>
      </c>
      <c r="I301" t="s">
        <v>84</v>
      </c>
      <c r="J301" t="s">
        <v>85</v>
      </c>
      <c r="K301" t="s">
        <v>86</v>
      </c>
      <c r="L301" t="s">
        <v>87</v>
      </c>
      <c r="M301" t="s">
        <v>122</v>
      </c>
      <c r="N301" t="s">
        <v>89</v>
      </c>
      <c r="O301" t="s">
        <v>89</v>
      </c>
      <c r="P301" t="s">
        <v>90</v>
      </c>
      <c r="Q301" t="s">
        <v>114</v>
      </c>
      <c r="R301">
        <v>6</v>
      </c>
      <c r="S301">
        <v>8</v>
      </c>
      <c r="T301">
        <v>1950</v>
      </c>
      <c r="U301">
        <v>2004</v>
      </c>
      <c r="V301" t="s">
        <v>92</v>
      </c>
      <c r="W301" t="s">
        <v>93</v>
      </c>
      <c r="X301" t="s">
        <v>139</v>
      </c>
      <c r="Y301" t="s">
        <v>139</v>
      </c>
      <c r="Z301" t="s">
        <v>116</v>
      </c>
      <c r="AA301">
        <v>0</v>
      </c>
      <c r="AB301" t="s">
        <v>97</v>
      </c>
      <c r="AC301" t="s">
        <v>96</v>
      </c>
      <c r="AD301" t="s">
        <v>117</v>
      </c>
      <c r="AE301" t="s">
        <v>97</v>
      </c>
      <c r="AF301" t="s">
        <v>97</v>
      </c>
      <c r="AG301" t="s">
        <v>99</v>
      </c>
      <c r="AH301" t="s">
        <v>101</v>
      </c>
      <c r="AI301">
        <v>0</v>
      </c>
      <c r="AJ301" t="s">
        <v>101</v>
      </c>
      <c r="AK301">
        <v>0</v>
      </c>
      <c r="AL301">
        <v>1092</v>
      </c>
      <c r="AM301">
        <v>1092</v>
      </c>
      <c r="AN301" t="s">
        <v>102</v>
      </c>
      <c r="AO301" t="s">
        <v>103</v>
      </c>
      <c r="AP301" t="s">
        <v>104</v>
      </c>
      <c r="AQ301" t="s">
        <v>105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96</v>
      </c>
      <c r="BC301">
        <v>6</v>
      </c>
      <c r="BD301" t="s">
        <v>106</v>
      </c>
      <c r="BE301">
        <v>1</v>
      </c>
      <c r="BF301" t="s">
        <v>96</v>
      </c>
      <c r="BG301" t="s">
        <v>107</v>
      </c>
      <c r="BH301">
        <v>1950</v>
      </c>
      <c r="BI301" t="s">
        <v>101</v>
      </c>
      <c r="BJ301">
        <v>1</v>
      </c>
      <c r="BK301">
        <v>300</v>
      </c>
      <c r="BL301" t="s">
        <v>97</v>
      </c>
      <c r="BM301" t="s">
        <v>97</v>
      </c>
      <c r="BN301" t="s">
        <v>104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V301" t="s">
        <v>164</v>
      </c>
      <c r="BX301">
        <v>0</v>
      </c>
      <c r="BY301">
        <v>8</v>
      </c>
      <c r="BZ301">
        <v>2009</v>
      </c>
      <c r="CA301" t="s">
        <v>109</v>
      </c>
      <c r="CB301" t="s">
        <v>218</v>
      </c>
      <c r="CC301">
        <v>158500</v>
      </c>
    </row>
    <row r="302" spans="1:81" x14ac:dyDescent="0.3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H302" t="s">
        <v>83</v>
      </c>
      <c r="I302" t="s">
        <v>84</v>
      </c>
      <c r="J302" t="s">
        <v>85</v>
      </c>
      <c r="K302" t="s">
        <v>121</v>
      </c>
      <c r="L302" t="s">
        <v>87</v>
      </c>
      <c r="M302" t="s">
        <v>122</v>
      </c>
      <c r="N302" t="s">
        <v>89</v>
      </c>
      <c r="O302" t="s">
        <v>89</v>
      </c>
      <c r="P302" t="s">
        <v>148</v>
      </c>
      <c r="Q302" t="s">
        <v>114</v>
      </c>
      <c r="R302">
        <v>5</v>
      </c>
      <c r="S302">
        <v>5</v>
      </c>
      <c r="T302">
        <v>1953</v>
      </c>
      <c r="U302">
        <v>1953</v>
      </c>
      <c r="V302" t="s">
        <v>151</v>
      </c>
      <c r="W302" t="s">
        <v>93</v>
      </c>
      <c r="X302" t="s">
        <v>115</v>
      </c>
      <c r="Y302" t="s">
        <v>115</v>
      </c>
      <c r="Z302" t="s">
        <v>95</v>
      </c>
      <c r="AA302">
        <v>56</v>
      </c>
      <c r="AB302" t="s">
        <v>97</v>
      </c>
      <c r="AC302" t="s">
        <v>97</v>
      </c>
      <c r="AD302" t="s">
        <v>117</v>
      </c>
      <c r="AE302" t="s">
        <v>97</v>
      </c>
      <c r="AF302" t="s">
        <v>97</v>
      </c>
      <c r="AG302" t="s">
        <v>120</v>
      </c>
      <c r="AH302" t="s">
        <v>140</v>
      </c>
      <c r="AI302">
        <v>841</v>
      </c>
      <c r="AJ302" t="s">
        <v>101</v>
      </c>
      <c r="AK302">
        <v>0</v>
      </c>
      <c r="AL302">
        <v>324</v>
      </c>
      <c r="AM302">
        <v>1165</v>
      </c>
      <c r="AN302" t="s">
        <v>102</v>
      </c>
      <c r="AO302" t="s">
        <v>97</v>
      </c>
      <c r="AP302" t="s">
        <v>104</v>
      </c>
      <c r="AQ302" t="s">
        <v>105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97</v>
      </c>
      <c r="BC302">
        <v>5</v>
      </c>
      <c r="BD302" t="s">
        <v>106</v>
      </c>
      <c r="BE302">
        <v>2</v>
      </c>
      <c r="BF302" t="s">
        <v>96</v>
      </c>
      <c r="BG302" t="s">
        <v>107</v>
      </c>
      <c r="BH302">
        <v>1953</v>
      </c>
      <c r="BI302" t="s">
        <v>101</v>
      </c>
      <c r="BJ302">
        <v>1</v>
      </c>
      <c r="BK302">
        <v>375</v>
      </c>
      <c r="BL302" t="s">
        <v>97</v>
      </c>
      <c r="BM302" t="s">
        <v>97</v>
      </c>
      <c r="BN302" t="s">
        <v>104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X302">
        <v>0</v>
      </c>
      <c r="BY302">
        <v>6</v>
      </c>
      <c r="BZ302">
        <v>2006</v>
      </c>
      <c r="CA302" t="s">
        <v>109</v>
      </c>
      <c r="CB302" t="s">
        <v>110</v>
      </c>
      <c r="CC302">
        <v>157000</v>
      </c>
    </row>
    <row r="303" spans="1:81" x14ac:dyDescent="0.3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H303" t="s">
        <v>230</v>
      </c>
      <c r="I303" t="s">
        <v>84</v>
      </c>
      <c r="J303" t="s">
        <v>85</v>
      </c>
      <c r="K303" t="s">
        <v>86</v>
      </c>
      <c r="L303" t="s">
        <v>87</v>
      </c>
      <c r="M303" t="s">
        <v>88</v>
      </c>
      <c r="N303" t="s">
        <v>89</v>
      </c>
      <c r="O303" t="s">
        <v>89</v>
      </c>
      <c r="P303" t="s">
        <v>90</v>
      </c>
      <c r="Q303" t="s">
        <v>91</v>
      </c>
      <c r="R303">
        <v>8</v>
      </c>
      <c r="S303">
        <v>5</v>
      </c>
      <c r="T303">
        <v>1998</v>
      </c>
      <c r="U303">
        <v>1999</v>
      </c>
      <c r="V303" t="s">
        <v>92</v>
      </c>
      <c r="W303" t="s">
        <v>93</v>
      </c>
      <c r="X303" t="s">
        <v>94</v>
      </c>
      <c r="Y303" t="s">
        <v>94</v>
      </c>
      <c r="Z303" t="s">
        <v>116</v>
      </c>
      <c r="AA303">
        <v>0</v>
      </c>
      <c r="AB303" t="s">
        <v>96</v>
      </c>
      <c r="AC303" t="s">
        <v>97</v>
      </c>
      <c r="AD303" t="s">
        <v>98</v>
      </c>
      <c r="AE303" t="s">
        <v>96</v>
      </c>
      <c r="AF303" t="s">
        <v>97</v>
      </c>
      <c r="AG303" t="s">
        <v>99</v>
      </c>
      <c r="AH303" t="s">
        <v>100</v>
      </c>
      <c r="AI303">
        <v>281</v>
      </c>
      <c r="AJ303" t="s">
        <v>101</v>
      </c>
      <c r="AK303">
        <v>0</v>
      </c>
      <c r="AL303">
        <v>747</v>
      </c>
      <c r="AM303">
        <v>1028</v>
      </c>
      <c r="AN303" t="s">
        <v>102</v>
      </c>
      <c r="AO303" t="s">
        <v>103</v>
      </c>
      <c r="AP303" t="s">
        <v>104</v>
      </c>
      <c r="AQ303" t="s">
        <v>105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96</v>
      </c>
      <c r="BC303">
        <v>9</v>
      </c>
      <c r="BD303" t="s">
        <v>106</v>
      </c>
      <c r="BE303">
        <v>1</v>
      </c>
      <c r="BF303" t="s">
        <v>97</v>
      </c>
      <c r="BG303" t="s">
        <v>155</v>
      </c>
      <c r="BH303">
        <v>1998</v>
      </c>
      <c r="BI303" t="s">
        <v>156</v>
      </c>
      <c r="BJ303">
        <v>2</v>
      </c>
      <c r="BK303">
        <v>683</v>
      </c>
      <c r="BL303" t="s">
        <v>97</v>
      </c>
      <c r="BM303" t="s">
        <v>97</v>
      </c>
      <c r="BN303" t="s">
        <v>104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X303">
        <v>0</v>
      </c>
      <c r="BY303">
        <v>5</v>
      </c>
      <c r="BZ303">
        <v>2007</v>
      </c>
      <c r="CA303" t="s">
        <v>109</v>
      </c>
      <c r="CB303" t="s">
        <v>110</v>
      </c>
      <c r="CC303">
        <v>267000</v>
      </c>
    </row>
    <row r="304" spans="1:81" x14ac:dyDescent="0.3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H304" t="s">
        <v>119</v>
      </c>
      <c r="I304" t="s">
        <v>84</v>
      </c>
      <c r="J304" t="s">
        <v>85</v>
      </c>
      <c r="K304" t="s">
        <v>121</v>
      </c>
      <c r="L304" t="s">
        <v>87</v>
      </c>
      <c r="M304" t="s">
        <v>88</v>
      </c>
      <c r="N304" t="s">
        <v>89</v>
      </c>
      <c r="O304" t="s">
        <v>89</v>
      </c>
      <c r="P304" t="s">
        <v>90</v>
      </c>
      <c r="Q304" t="s">
        <v>114</v>
      </c>
      <c r="R304">
        <v>7</v>
      </c>
      <c r="S304">
        <v>5</v>
      </c>
      <c r="T304">
        <v>2001</v>
      </c>
      <c r="U304">
        <v>2002</v>
      </c>
      <c r="V304" t="s">
        <v>92</v>
      </c>
      <c r="W304" t="s">
        <v>93</v>
      </c>
      <c r="X304" t="s">
        <v>94</v>
      </c>
      <c r="Y304" t="s">
        <v>94</v>
      </c>
      <c r="Z304" t="s">
        <v>95</v>
      </c>
      <c r="AA304">
        <v>150</v>
      </c>
      <c r="AB304" t="s">
        <v>96</v>
      </c>
      <c r="AC304" t="s">
        <v>97</v>
      </c>
      <c r="AD304" t="s">
        <v>98</v>
      </c>
      <c r="AE304" t="s">
        <v>96</v>
      </c>
      <c r="AF304" t="s">
        <v>97</v>
      </c>
      <c r="AG304" t="s">
        <v>99</v>
      </c>
      <c r="AH304" t="s">
        <v>101</v>
      </c>
      <c r="AI304">
        <v>0</v>
      </c>
      <c r="AJ304" t="s">
        <v>101</v>
      </c>
      <c r="AK304">
        <v>0</v>
      </c>
      <c r="AL304">
        <v>1541</v>
      </c>
      <c r="AM304">
        <v>1541</v>
      </c>
      <c r="AN304" t="s">
        <v>102</v>
      </c>
      <c r="AO304" t="s">
        <v>103</v>
      </c>
      <c r="AP304" t="s">
        <v>104</v>
      </c>
      <c r="AQ304" t="s">
        <v>105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96</v>
      </c>
      <c r="BC304">
        <v>6</v>
      </c>
      <c r="BD304" t="s">
        <v>106</v>
      </c>
      <c r="BE304">
        <v>1</v>
      </c>
      <c r="BF304" t="s">
        <v>97</v>
      </c>
      <c r="BG304" t="s">
        <v>107</v>
      </c>
      <c r="BH304">
        <v>2001</v>
      </c>
      <c r="BI304" t="s">
        <v>108</v>
      </c>
      <c r="BJ304">
        <v>3</v>
      </c>
      <c r="BK304">
        <v>843</v>
      </c>
      <c r="BL304" t="s">
        <v>97</v>
      </c>
      <c r="BM304" t="s">
        <v>97</v>
      </c>
      <c r="BN304" t="s">
        <v>104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X304">
        <v>0</v>
      </c>
      <c r="BY304">
        <v>1</v>
      </c>
      <c r="BZ304">
        <v>2006</v>
      </c>
      <c r="CA304" t="s">
        <v>109</v>
      </c>
      <c r="CB304" t="s">
        <v>110</v>
      </c>
      <c r="CC304">
        <v>205000</v>
      </c>
    </row>
    <row r="305" spans="1:81" x14ac:dyDescent="0.3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H305" t="s">
        <v>83</v>
      </c>
      <c r="I305" t="s">
        <v>84</v>
      </c>
      <c r="J305" t="s">
        <v>85</v>
      </c>
      <c r="K305" t="s">
        <v>121</v>
      </c>
      <c r="L305" t="s">
        <v>87</v>
      </c>
      <c r="M305" t="s">
        <v>88</v>
      </c>
      <c r="N305" t="s">
        <v>89</v>
      </c>
      <c r="O305" t="s">
        <v>89</v>
      </c>
      <c r="P305" t="s">
        <v>90</v>
      </c>
      <c r="Q305" t="s">
        <v>114</v>
      </c>
      <c r="R305">
        <v>5</v>
      </c>
      <c r="S305">
        <v>7</v>
      </c>
      <c r="T305">
        <v>1972</v>
      </c>
      <c r="U305">
        <v>1972</v>
      </c>
      <c r="V305" t="s">
        <v>92</v>
      </c>
      <c r="W305" t="s">
        <v>93</v>
      </c>
      <c r="X305" t="s">
        <v>94</v>
      </c>
      <c r="Y305" t="s">
        <v>94</v>
      </c>
      <c r="Z305" t="s">
        <v>116</v>
      </c>
      <c r="AA305">
        <v>0</v>
      </c>
      <c r="AB305" t="s">
        <v>97</v>
      </c>
      <c r="AC305" t="s">
        <v>97</v>
      </c>
      <c r="AD305" t="s">
        <v>98</v>
      </c>
      <c r="AE305" t="s">
        <v>97</v>
      </c>
      <c r="AF305" t="s">
        <v>97</v>
      </c>
      <c r="AG305" t="s">
        <v>99</v>
      </c>
      <c r="AH305" t="s">
        <v>118</v>
      </c>
      <c r="AI305">
        <v>894</v>
      </c>
      <c r="AJ305" t="s">
        <v>101</v>
      </c>
      <c r="AK305">
        <v>0</v>
      </c>
      <c r="AL305">
        <v>0</v>
      </c>
      <c r="AM305">
        <v>894</v>
      </c>
      <c r="AN305" t="s">
        <v>102</v>
      </c>
      <c r="AO305" t="s">
        <v>97</v>
      </c>
      <c r="AP305" t="s">
        <v>104</v>
      </c>
      <c r="AQ305" t="s">
        <v>105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97</v>
      </c>
      <c r="BC305">
        <v>5</v>
      </c>
      <c r="BD305" t="s">
        <v>106</v>
      </c>
      <c r="BE305">
        <v>0</v>
      </c>
      <c r="BG305" t="s">
        <v>107</v>
      </c>
      <c r="BH305">
        <v>1975</v>
      </c>
      <c r="BI305" t="s">
        <v>101</v>
      </c>
      <c r="BJ305">
        <v>2</v>
      </c>
      <c r="BK305">
        <v>552</v>
      </c>
      <c r="BL305" t="s">
        <v>97</v>
      </c>
      <c r="BM305" t="s">
        <v>97</v>
      </c>
      <c r="BN305" t="s">
        <v>104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V305" t="s">
        <v>162</v>
      </c>
      <c r="BX305">
        <v>0</v>
      </c>
      <c r="BY305">
        <v>7</v>
      </c>
      <c r="BZ305">
        <v>2006</v>
      </c>
      <c r="CA305" t="s">
        <v>109</v>
      </c>
      <c r="CB305" t="s">
        <v>127</v>
      </c>
      <c r="CC305">
        <v>149900</v>
      </c>
    </row>
    <row r="306" spans="1:81" x14ac:dyDescent="0.3">
      <c r="A306">
        <v>305</v>
      </c>
      <c r="B306">
        <v>75</v>
      </c>
      <c r="C306" t="s">
        <v>141</v>
      </c>
      <c r="D306">
        <v>87</v>
      </c>
      <c r="E306">
        <v>18386</v>
      </c>
      <c r="F306" t="s">
        <v>82</v>
      </c>
      <c r="H306" t="s">
        <v>83</v>
      </c>
      <c r="I306" t="s">
        <v>84</v>
      </c>
      <c r="J306" t="s">
        <v>85</v>
      </c>
      <c r="K306" t="s">
        <v>86</v>
      </c>
      <c r="L306" t="s">
        <v>87</v>
      </c>
      <c r="M306" t="s">
        <v>142</v>
      </c>
      <c r="N306" t="s">
        <v>89</v>
      </c>
      <c r="O306" t="s">
        <v>89</v>
      </c>
      <c r="P306" t="s">
        <v>90</v>
      </c>
      <c r="Q306" t="s">
        <v>224</v>
      </c>
      <c r="R306">
        <v>7</v>
      </c>
      <c r="S306">
        <v>9</v>
      </c>
      <c r="T306">
        <v>1880</v>
      </c>
      <c r="U306">
        <v>2002</v>
      </c>
      <c r="V306" t="s">
        <v>92</v>
      </c>
      <c r="W306" t="s">
        <v>93</v>
      </c>
      <c r="X306" t="s">
        <v>179</v>
      </c>
      <c r="Y306" t="s">
        <v>180</v>
      </c>
      <c r="Z306" t="s">
        <v>116</v>
      </c>
      <c r="AA306">
        <v>0</v>
      </c>
      <c r="AB306" t="s">
        <v>97</v>
      </c>
      <c r="AC306" t="s">
        <v>97</v>
      </c>
      <c r="AD306" t="s">
        <v>125</v>
      </c>
      <c r="AE306" t="s">
        <v>97</v>
      </c>
      <c r="AF306" t="s">
        <v>97</v>
      </c>
      <c r="AG306" t="s">
        <v>99</v>
      </c>
      <c r="AH306" t="s">
        <v>101</v>
      </c>
      <c r="AI306">
        <v>0</v>
      </c>
      <c r="AJ306" t="s">
        <v>101</v>
      </c>
      <c r="AK306">
        <v>0</v>
      </c>
      <c r="AL306">
        <v>1470</v>
      </c>
      <c r="AM306">
        <v>1470</v>
      </c>
      <c r="AN306" t="s">
        <v>102</v>
      </c>
      <c r="AO306" t="s">
        <v>103</v>
      </c>
      <c r="AP306" t="s">
        <v>104</v>
      </c>
      <c r="AQ306" t="s">
        <v>105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96</v>
      </c>
      <c r="BC306">
        <v>10</v>
      </c>
      <c r="BD306" t="s">
        <v>106</v>
      </c>
      <c r="BE306">
        <v>1</v>
      </c>
      <c r="BF306" t="s">
        <v>103</v>
      </c>
      <c r="BG306" t="s">
        <v>107</v>
      </c>
      <c r="BH306">
        <v>2003</v>
      </c>
      <c r="BI306" t="s">
        <v>101</v>
      </c>
      <c r="BJ306">
        <v>3</v>
      </c>
      <c r="BK306">
        <v>870</v>
      </c>
      <c r="BL306" t="s">
        <v>97</v>
      </c>
      <c r="BM306" t="s">
        <v>97</v>
      </c>
      <c r="BN306" t="s">
        <v>104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X306">
        <v>0</v>
      </c>
      <c r="BY306">
        <v>5</v>
      </c>
      <c r="BZ306">
        <v>2008</v>
      </c>
      <c r="CA306" t="s">
        <v>109</v>
      </c>
      <c r="CB306" t="s">
        <v>110</v>
      </c>
      <c r="CC306">
        <v>295000</v>
      </c>
    </row>
    <row r="307" spans="1:81" x14ac:dyDescent="0.3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H307" t="s">
        <v>83</v>
      </c>
      <c r="I307" t="s">
        <v>84</v>
      </c>
      <c r="J307" t="s">
        <v>85</v>
      </c>
      <c r="K307" t="s">
        <v>86</v>
      </c>
      <c r="L307" t="s">
        <v>87</v>
      </c>
      <c r="M307" t="s">
        <v>88</v>
      </c>
      <c r="N307" t="s">
        <v>89</v>
      </c>
      <c r="O307" t="s">
        <v>89</v>
      </c>
      <c r="P307" t="s">
        <v>90</v>
      </c>
      <c r="Q307" t="s">
        <v>114</v>
      </c>
      <c r="R307">
        <v>8</v>
      </c>
      <c r="S307">
        <v>5</v>
      </c>
      <c r="T307">
        <v>2004</v>
      </c>
      <c r="U307">
        <v>2005</v>
      </c>
      <c r="V307" t="s">
        <v>92</v>
      </c>
      <c r="W307" t="s">
        <v>93</v>
      </c>
      <c r="X307" t="s">
        <v>179</v>
      </c>
      <c r="Y307" t="s">
        <v>180</v>
      </c>
      <c r="Z307" t="s">
        <v>136</v>
      </c>
      <c r="AA307">
        <v>246</v>
      </c>
      <c r="AB307" t="s">
        <v>96</v>
      </c>
      <c r="AC307" t="s">
        <v>97</v>
      </c>
      <c r="AD307" t="s">
        <v>98</v>
      </c>
      <c r="AE307" t="s">
        <v>96</v>
      </c>
      <c r="AF307" t="s">
        <v>97</v>
      </c>
      <c r="AG307" t="s">
        <v>99</v>
      </c>
      <c r="AH307" t="s">
        <v>100</v>
      </c>
      <c r="AI307">
        <v>1464</v>
      </c>
      <c r="AJ307" t="s">
        <v>101</v>
      </c>
      <c r="AK307">
        <v>0</v>
      </c>
      <c r="AL307">
        <v>536</v>
      </c>
      <c r="AM307">
        <v>2000</v>
      </c>
      <c r="AN307" t="s">
        <v>102</v>
      </c>
      <c r="AO307" t="s">
        <v>103</v>
      </c>
      <c r="AP307" t="s">
        <v>104</v>
      </c>
      <c r="AQ307" t="s">
        <v>105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96</v>
      </c>
      <c r="BC307">
        <v>8</v>
      </c>
      <c r="BD307" t="s">
        <v>106</v>
      </c>
      <c r="BE307">
        <v>0</v>
      </c>
      <c r="BG307" t="s">
        <v>107</v>
      </c>
      <c r="BH307">
        <v>2004</v>
      </c>
      <c r="BI307" t="s">
        <v>156</v>
      </c>
      <c r="BJ307">
        <v>3</v>
      </c>
      <c r="BK307">
        <v>888</v>
      </c>
      <c r="BL307" t="s">
        <v>97</v>
      </c>
      <c r="BM307" t="s">
        <v>97</v>
      </c>
      <c r="BN307" t="s">
        <v>104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X307">
        <v>0</v>
      </c>
      <c r="BY307">
        <v>7</v>
      </c>
      <c r="BZ307">
        <v>2007</v>
      </c>
      <c r="CA307" t="s">
        <v>109</v>
      </c>
      <c r="CB307" t="s">
        <v>110</v>
      </c>
      <c r="CC307">
        <v>305900</v>
      </c>
    </row>
    <row r="308" spans="1:81" x14ac:dyDescent="0.3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H308" t="s">
        <v>83</v>
      </c>
      <c r="I308" t="s">
        <v>84</v>
      </c>
      <c r="J308" t="s">
        <v>85</v>
      </c>
      <c r="K308" t="s">
        <v>86</v>
      </c>
      <c r="L308" t="s">
        <v>87</v>
      </c>
      <c r="M308" t="s">
        <v>169</v>
      </c>
      <c r="N308" t="s">
        <v>113</v>
      </c>
      <c r="O308" t="s">
        <v>89</v>
      </c>
      <c r="P308" t="s">
        <v>90</v>
      </c>
      <c r="Q308" t="s">
        <v>91</v>
      </c>
      <c r="R308">
        <v>7</v>
      </c>
      <c r="S308">
        <v>5</v>
      </c>
      <c r="T308">
        <v>1990</v>
      </c>
      <c r="U308">
        <v>1991</v>
      </c>
      <c r="V308" t="s">
        <v>92</v>
      </c>
      <c r="W308" t="s">
        <v>93</v>
      </c>
      <c r="X308" t="s">
        <v>139</v>
      </c>
      <c r="Y308" t="s">
        <v>160</v>
      </c>
      <c r="Z308" t="s">
        <v>95</v>
      </c>
      <c r="AA308">
        <v>246</v>
      </c>
      <c r="AB308" t="s">
        <v>96</v>
      </c>
      <c r="AC308" t="s">
        <v>97</v>
      </c>
      <c r="AD308" t="s">
        <v>117</v>
      </c>
      <c r="AE308" t="s">
        <v>96</v>
      </c>
      <c r="AF308" t="s">
        <v>97</v>
      </c>
      <c r="AG308" t="s">
        <v>99</v>
      </c>
      <c r="AH308" t="s">
        <v>118</v>
      </c>
      <c r="AI308">
        <v>700</v>
      </c>
      <c r="AJ308" t="s">
        <v>101</v>
      </c>
      <c r="AK308">
        <v>0</v>
      </c>
      <c r="AL308">
        <v>0</v>
      </c>
      <c r="AM308">
        <v>700</v>
      </c>
      <c r="AN308" t="s">
        <v>102</v>
      </c>
      <c r="AO308" t="s">
        <v>96</v>
      </c>
      <c r="AP308" t="s">
        <v>104</v>
      </c>
      <c r="AQ308" t="s">
        <v>105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96</v>
      </c>
      <c r="BC308">
        <v>8</v>
      </c>
      <c r="BD308" t="s">
        <v>106</v>
      </c>
      <c r="BE308">
        <v>1</v>
      </c>
      <c r="BF308" t="s">
        <v>97</v>
      </c>
      <c r="BG308" t="s">
        <v>107</v>
      </c>
      <c r="BH308">
        <v>1990</v>
      </c>
      <c r="BI308" t="s">
        <v>108</v>
      </c>
      <c r="BJ308">
        <v>3</v>
      </c>
      <c r="BK308">
        <v>746</v>
      </c>
      <c r="BL308" t="s">
        <v>97</v>
      </c>
      <c r="BM308" t="s">
        <v>97</v>
      </c>
      <c r="BN308" t="s">
        <v>104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X308">
        <v>0</v>
      </c>
      <c r="BY308">
        <v>6</v>
      </c>
      <c r="BZ308">
        <v>2007</v>
      </c>
      <c r="CA308" t="s">
        <v>109</v>
      </c>
      <c r="CB308" t="s">
        <v>110</v>
      </c>
      <c r="CC308">
        <v>225000</v>
      </c>
    </row>
    <row r="309" spans="1:81" x14ac:dyDescent="0.3">
      <c r="A309">
        <v>308</v>
      </c>
      <c r="B309">
        <v>50</v>
      </c>
      <c r="C309" t="s">
        <v>141</v>
      </c>
      <c r="E309">
        <v>7920</v>
      </c>
      <c r="F309" t="s">
        <v>82</v>
      </c>
      <c r="G309" t="s">
        <v>173</v>
      </c>
      <c r="H309" t="s">
        <v>119</v>
      </c>
      <c r="I309" t="s">
        <v>84</v>
      </c>
      <c r="J309" t="s">
        <v>85</v>
      </c>
      <c r="K309" t="s">
        <v>86</v>
      </c>
      <c r="L309" t="s">
        <v>87</v>
      </c>
      <c r="M309" t="s">
        <v>175</v>
      </c>
      <c r="N309" t="s">
        <v>143</v>
      </c>
      <c r="O309" t="s">
        <v>89</v>
      </c>
      <c r="P309" t="s">
        <v>90</v>
      </c>
      <c r="Q309" t="s">
        <v>131</v>
      </c>
      <c r="R309">
        <v>6</v>
      </c>
      <c r="S309">
        <v>7</v>
      </c>
      <c r="T309">
        <v>1920</v>
      </c>
      <c r="U309">
        <v>1950</v>
      </c>
      <c r="V309" t="s">
        <v>92</v>
      </c>
      <c r="W309" t="s">
        <v>93</v>
      </c>
      <c r="X309" t="s">
        <v>115</v>
      </c>
      <c r="Y309" t="s">
        <v>115</v>
      </c>
      <c r="Z309" t="s">
        <v>116</v>
      </c>
      <c r="AA309">
        <v>0</v>
      </c>
      <c r="AB309" t="s">
        <v>97</v>
      </c>
      <c r="AC309" t="s">
        <v>146</v>
      </c>
      <c r="AD309" t="s">
        <v>117</v>
      </c>
      <c r="AE309" t="s">
        <v>97</v>
      </c>
      <c r="AF309" t="s">
        <v>97</v>
      </c>
      <c r="AG309" t="s">
        <v>99</v>
      </c>
      <c r="AH309" t="s">
        <v>101</v>
      </c>
      <c r="AI309">
        <v>0</v>
      </c>
      <c r="AJ309" t="s">
        <v>101</v>
      </c>
      <c r="AK309">
        <v>0</v>
      </c>
      <c r="AL309">
        <v>319</v>
      </c>
      <c r="AM309">
        <v>319</v>
      </c>
      <c r="AN309" t="s">
        <v>102</v>
      </c>
      <c r="AO309" t="s">
        <v>97</v>
      </c>
      <c r="AP309" t="s">
        <v>104</v>
      </c>
      <c r="AQ309" t="s">
        <v>163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146</v>
      </c>
      <c r="BC309">
        <v>6</v>
      </c>
      <c r="BD309" t="s">
        <v>106</v>
      </c>
      <c r="BE309">
        <v>0</v>
      </c>
      <c r="BJ309">
        <v>0</v>
      </c>
      <c r="BK309">
        <v>0</v>
      </c>
      <c r="BN309" t="s">
        <v>176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V309" t="s">
        <v>133</v>
      </c>
      <c r="BX309">
        <v>0</v>
      </c>
      <c r="BY309">
        <v>3</v>
      </c>
      <c r="BZ309">
        <v>2008</v>
      </c>
      <c r="CA309" t="s">
        <v>109</v>
      </c>
      <c r="CB309" t="s">
        <v>110</v>
      </c>
      <c r="CC309">
        <v>89500</v>
      </c>
    </row>
    <row r="310" spans="1:81" x14ac:dyDescent="0.3">
      <c r="A310">
        <v>309</v>
      </c>
      <c r="B310">
        <v>30</v>
      </c>
      <c r="C310" t="s">
        <v>81</v>
      </c>
      <c r="E310">
        <v>12342</v>
      </c>
      <c r="F310" t="s">
        <v>82</v>
      </c>
      <c r="H310" t="s">
        <v>119</v>
      </c>
      <c r="I310" t="s">
        <v>84</v>
      </c>
      <c r="J310" t="s">
        <v>85</v>
      </c>
      <c r="K310" t="s">
        <v>86</v>
      </c>
      <c r="L310" t="s">
        <v>87</v>
      </c>
      <c r="M310" t="s">
        <v>184</v>
      </c>
      <c r="N310" t="s">
        <v>89</v>
      </c>
      <c r="O310" t="s">
        <v>89</v>
      </c>
      <c r="P310" t="s">
        <v>90</v>
      </c>
      <c r="Q310" t="s">
        <v>114</v>
      </c>
      <c r="R310">
        <v>4</v>
      </c>
      <c r="S310">
        <v>5</v>
      </c>
      <c r="T310">
        <v>1940</v>
      </c>
      <c r="U310">
        <v>1950</v>
      </c>
      <c r="V310" t="s">
        <v>92</v>
      </c>
      <c r="W310" t="s">
        <v>93</v>
      </c>
      <c r="X310" t="s">
        <v>94</v>
      </c>
      <c r="Y310" t="s">
        <v>94</v>
      </c>
      <c r="Z310" t="s">
        <v>116</v>
      </c>
      <c r="AA310">
        <v>0</v>
      </c>
      <c r="AB310" t="s">
        <v>97</v>
      </c>
      <c r="AC310" t="s">
        <v>97</v>
      </c>
      <c r="AD310" t="s">
        <v>117</v>
      </c>
      <c r="AE310" t="s">
        <v>97</v>
      </c>
      <c r="AF310" t="s">
        <v>97</v>
      </c>
      <c r="AG310" t="s">
        <v>99</v>
      </c>
      <c r="AH310" t="s">
        <v>140</v>
      </c>
      <c r="AI310">
        <v>262</v>
      </c>
      <c r="AJ310" t="s">
        <v>101</v>
      </c>
      <c r="AK310">
        <v>0</v>
      </c>
      <c r="AL310">
        <v>599</v>
      </c>
      <c r="AM310">
        <v>861</v>
      </c>
      <c r="AN310" t="s">
        <v>102</v>
      </c>
      <c r="AO310" t="s">
        <v>103</v>
      </c>
      <c r="AP310" t="s">
        <v>104</v>
      </c>
      <c r="AQ310" t="s">
        <v>105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97</v>
      </c>
      <c r="BC310">
        <v>4</v>
      </c>
      <c r="BD310" t="s">
        <v>106</v>
      </c>
      <c r="BE310">
        <v>0</v>
      </c>
      <c r="BG310" t="s">
        <v>126</v>
      </c>
      <c r="BH310">
        <v>1961</v>
      </c>
      <c r="BI310" t="s">
        <v>101</v>
      </c>
      <c r="BJ310">
        <v>2</v>
      </c>
      <c r="BK310">
        <v>539</v>
      </c>
      <c r="BL310" t="s">
        <v>97</v>
      </c>
      <c r="BM310" t="s">
        <v>97</v>
      </c>
      <c r="BN310" t="s">
        <v>104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X310">
        <v>0</v>
      </c>
      <c r="BY310">
        <v>3</v>
      </c>
      <c r="BZ310">
        <v>2009</v>
      </c>
      <c r="CA310" t="s">
        <v>109</v>
      </c>
      <c r="CB310" t="s">
        <v>110</v>
      </c>
      <c r="CC310">
        <v>82500</v>
      </c>
    </row>
    <row r="311" spans="1:81" x14ac:dyDescent="0.3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H311" t="s">
        <v>119</v>
      </c>
      <c r="I311" t="s">
        <v>84</v>
      </c>
      <c r="J311" t="s">
        <v>85</v>
      </c>
      <c r="K311" t="s">
        <v>86</v>
      </c>
      <c r="L311" t="s">
        <v>87</v>
      </c>
      <c r="M311" t="s">
        <v>153</v>
      </c>
      <c r="N311" t="s">
        <v>89</v>
      </c>
      <c r="O311" t="s">
        <v>89</v>
      </c>
      <c r="P311" t="s">
        <v>90</v>
      </c>
      <c r="Q311" t="s">
        <v>114</v>
      </c>
      <c r="R311">
        <v>9</v>
      </c>
      <c r="S311">
        <v>5</v>
      </c>
      <c r="T311">
        <v>2003</v>
      </c>
      <c r="U311">
        <v>2004</v>
      </c>
      <c r="V311" t="s">
        <v>92</v>
      </c>
      <c r="W311" t="s">
        <v>93</v>
      </c>
      <c r="X311" t="s">
        <v>94</v>
      </c>
      <c r="Y311" t="s">
        <v>94</v>
      </c>
      <c r="Z311" t="s">
        <v>116</v>
      </c>
      <c r="AA311">
        <v>0</v>
      </c>
      <c r="AB311" t="s">
        <v>96</v>
      </c>
      <c r="AC311" t="s">
        <v>97</v>
      </c>
      <c r="AD311" t="s">
        <v>98</v>
      </c>
      <c r="AE311" t="s">
        <v>103</v>
      </c>
      <c r="AF311" t="s">
        <v>97</v>
      </c>
      <c r="AG311" t="s">
        <v>96</v>
      </c>
      <c r="AH311" t="s">
        <v>100</v>
      </c>
      <c r="AI311">
        <v>1274</v>
      </c>
      <c r="AJ311" t="s">
        <v>101</v>
      </c>
      <c r="AK311">
        <v>0</v>
      </c>
      <c r="AL311">
        <v>622</v>
      </c>
      <c r="AM311">
        <v>1896</v>
      </c>
      <c r="AN311" t="s">
        <v>102</v>
      </c>
      <c r="AO311" t="s">
        <v>103</v>
      </c>
      <c r="AP311" t="s">
        <v>104</v>
      </c>
      <c r="AQ311" t="s">
        <v>105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103</v>
      </c>
      <c r="BC311">
        <v>8</v>
      </c>
      <c r="BD311" t="s">
        <v>106</v>
      </c>
      <c r="BE311">
        <v>3</v>
      </c>
      <c r="BF311" t="s">
        <v>103</v>
      </c>
      <c r="BG311" t="s">
        <v>107</v>
      </c>
      <c r="BH311">
        <v>2003</v>
      </c>
      <c r="BI311" t="s">
        <v>156</v>
      </c>
      <c r="BJ311">
        <v>3</v>
      </c>
      <c r="BK311">
        <v>708</v>
      </c>
      <c r="BL311" t="s">
        <v>97</v>
      </c>
      <c r="BM311" t="s">
        <v>97</v>
      </c>
      <c r="BN311" t="s">
        <v>104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X311">
        <v>0</v>
      </c>
      <c r="BY311">
        <v>11</v>
      </c>
      <c r="BZ311">
        <v>2006</v>
      </c>
      <c r="CA311" t="s">
        <v>109</v>
      </c>
      <c r="CB311" t="s">
        <v>110</v>
      </c>
      <c r="CC311">
        <v>360000</v>
      </c>
    </row>
    <row r="312" spans="1:81" x14ac:dyDescent="0.3">
      <c r="A312">
        <v>311</v>
      </c>
      <c r="B312">
        <v>60</v>
      </c>
      <c r="C312" t="s">
        <v>81</v>
      </c>
      <c r="E312">
        <v>7685</v>
      </c>
      <c r="F312" t="s">
        <v>82</v>
      </c>
      <c r="H312" t="s">
        <v>119</v>
      </c>
      <c r="I312" t="s">
        <v>84</v>
      </c>
      <c r="J312" t="s">
        <v>85</v>
      </c>
      <c r="K312" t="s">
        <v>86</v>
      </c>
      <c r="L312" t="s">
        <v>87</v>
      </c>
      <c r="M312" t="s">
        <v>192</v>
      </c>
      <c r="N312" t="s">
        <v>89</v>
      </c>
      <c r="O312" t="s">
        <v>89</v>
      </c>
      <c r="P312" t="s">
        <v>90</v>
      </c>
      <c r="Q312" t="s">
        <v>91</v>
      </c>
      <c r="R312">
        <v>6</v>
      </c>
      <c r="S312">
        <v>5</v>
      </c>
      <c r="T312">
        <v>1993</v>
      </c>
      <c r="U312">
        <v>1994</v>
      </c>
      <c r="V312" t="s">
        <v>92</v>
      </c>
      <c r="W312" t="s">
        <v>93</v>
      </c>
      <c r="X312" t="s">
        <v>139</v>
      </c>
      <c r="Y312" t="s">
        <v>139</v>
      </c>
      <c r="Z312" t="s">
        <v>95</v>
      </c>
      <c r="AA312">
        <v>112</v>
      </c>
      <c r="AB312" t="s">
        <v>97</v>
      </c>
      <c r="AC312" t="s">
        <v>97</v>
      </c>
      <c r="AD312" t="s">
        <v>98</v>
      </c>
      <c r="AE312" t="s">
        <v>96</v>
      </c>
      <c r="AF312" t="s">
        <v>97</v>
      </c>
      <c r="AG312" t="s">
        <v>99</v>
      </c>
      <c r="AH312" t="s">
        <v>118</v>
      </c>
      <c r="AI312">
        <v>518</v>
      </c>
      <c r="AJ312" t="s">
        <v>101</v>
      </c>
      <c r="AK312">
        <v>0</v>
      </c>
      <c r="AL312">
        <v>179</v>
      </c>
      <c r="AM312">
        <v>697</v>
      </c>
      <c r="AN312" t="s">
        <v>102</v>
      </c>
      <c r="AO312" t="s">
        <v>96</v>
      </c>
      <c r="AP312" t="s">
        <v>104</v>
      </c>
      <c r="AQ312" t="s">
        <v>105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96</v>
      </c>
      <c r="BC312">
        <v>6</v>
      </c>
      <c r="BD312" t="s">
        <v>106</v>
      </c>
      <c r="BE312">
        <v>1</v>
      </c>
      <c r="BF312" t="s">
        <v>97</v>
      </c>
      <c r="BG312" t="s">
        <v>107</v>
      </c>
      <c r="BH312">
        <v>1993</v>
      </c>
      <c r="BI312" t="s">
        <v>156</v>
      </c>
      <c r="BJ312">
        <v>2</v>
      </c>
      <c r="BK312">
        <v>420</v>
      </c>
      <c r="BL312" t="s">
        <v>97</v>
      </c>
      <c r="BM312" t="s">
        <v>97</v>
      </c>
      <c r="BN312" t="s">
        <v>104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X312">
        <v>0</v>
      </c>
      <c r="BY312">
        <v>5</v>
      </c>
      <c r="BZ312">
        <v>2006</v>
      </c>
      <c r="CA312" t="s">
        <v>109</v>
      </c>
      <c r="CB312" t="s">
        <v>110</v>
      </c>
      <c r="CC312">
        <v>165600</v>
      </c>
    </row>
    <row r="313" spans="1:81" x14ac:dyDescent="0.3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H313" t="s">
        <v>83</v>
      </c>
      <c r="I313" t="s">
        <v>84</v>
      </c>
      <c r="J313" t="s">
        <v>85</v>
      </c>
      <c r="K313" t="s">
        <v>86</v>
      </c>
      <c r="L313" t="s">
        <v>87</v>
      </c>
      <c r="M313" t="s">
        <v>270</v>
      </c>
      <c r="N313" t="s">
        <v>89</v>
      </c>
      <c r="O313" t="s">
        <v>89</v>
      </c>
      <c r="P313" t="s">
        <v>90</v>
      </c>
      <c r="Q313" t="s">
        <v>114</v>
      </c>
      <c r="R313">
        <v>6</v>
      </c>
      <c r="S313">
        <v>6</v>
      </c>
      <c r="T313">
        <v>1948</v>
      </c>
      <c r="U313">
        <v>2002</v>
      </c>
      <c r="V313" t="s">
        <v>92</v>
      </c>
      <c r="W313" t="s">
        <v>93</v>
      </c>
      <c r="X313" t="s">
        <v>94</v>
      </c>
      <c r="Y313" t="s">
        <v>94</v>
      </c>
      <c r="Z313" t="s">
        <v>116</v>
      </c>
      <c r="AA313">
        <v>0</v>
      </c>
      <c r="AB313" t="s">
        <v>97</v>
      </c>
      <c r="AC313" t="s">
        <v>96</v>
      </c>
      <c r="AD313" t="s">
        <v>117</v>
      </c>
      <c r="AE313" t="s">
        <v>97</v>
      </c>
      <c r="AF313" t="s">
        <v>97</v>
      </c>
      <c r="AG313" t="s">
        <v>99</v>
      </c>
      <c r="AH313" t="s">
        <v>118</v>
      </c>
      <c r="AI313">
        <v>680</v>
      </c>
      <c r="AJ313" t="s">
        <v>101</v>
      </c>
      <c r="AK313">
        <v>0</v>
      </c>
      <c r="AL313">
        <v>292</v>
      </c>
      <c r="AM313">
        <v>972</v>
      </c>
      <c r="AN313" t="s">
        <v>102</v>
      </c>
      <c r="AO313" t="s">
        <v>103</v>
      </c>
      <c r="AP313" t="s">
        <v>104</v>
      </c>
      <c r="AQ313" t="s">
        <v>105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97</v>
      </c>
      <c r="BC313">
        <v>5</v>
      </c>
      <c r="BD313" t="s">
        <v>106</v>
      </c>
      <c r="BE313">
        <v>1</v>
      </c>
      <c r="BF313" t="s">
        <v>96</v>
      </c>
      <c r="BG313" t="s">
        <v>126</v>
      </c>
      <c r="BH313">
        <v>1948</v>
      </c>
      <c r="BI313" t="s">
        <v>101</v>
      </c>
      <c r="BJ313">
        <v>1</v>
      </c>
      <c r="BK313">
        <v>240</v>
      </c>
      <c r="BL313" t="s">
        <v>97</v>
      </c>
      <c r="BM313" t="s">
        <v>97</v>
      </c>
      <c r="BN313" t="s">
        <v>104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X313">
        <v>0</v>
      </c>
      <c r="BY313">
        <v>5</v>
      </c>
      <c r="BZ313">
        <v>2009</v>
      </c>
      <c r="CA313" t="s">
        <v>109</v>
      </c>
      <c r="CB313" t="s">
        <v>110</v>
      </c>
      <c r="CC313">
        <v>132000</v>
      </c>
    </row>
    <row r="314" spans="1:81" x14ac:dyDescent="0.3">
      <c r="A314">
        <v>313</v>
      </c>
      <c r="B314">
        <v>190</v>
      </c>
      <c r="C314" t="s">
        <v>141</v>
      </c>
      <c r="D314">
        <v>65</v>
      </c>
      <c r="E314">
        <v>7800</v>
      </c>
      <c r="F314" t="s">
        <v>82</v>
      </c>
      <c r="H314" t="s">
        <v>83</v>
      </c>
      <c r="I314" t="s">
        <v>84</v>
      </c>
      <c r="J314" t="s">
        <v>85</v>
      </c>
      <c r="K314" t="s">
        <v>86</v>
      </c>
      <c r="L314" t="s">
        <v>87</v>
      </c>
      <c r="M314" t="s">
        <v>142</v>
      </c>
      <c r="N314" t="s">
        <v>143</v>
      </c>
      <c r="O314" t="s">
        <v>89</v>
      </c>
      <c r="P314" t="s">
        <v>148</v>
      </c>
      <c r="Q314" t="s">
        <v>131</v>
      </c>
      <c r="R314">
        <v>5</v>
      </c>
      <c r="S314">
        <v>7</v>
      </c>
      <c r="T314">
        <v>1939</v>
      </c>
      <c r="U314">
        <v>1950</v>
      </c>
      <c r="V314" t="s">
        <v>92</v>
      </c>
      <c r="W314" t="s">
        <v>93</v>
      </c>
      <c r="X314" t="s">
        <v>115</v>
      </c>
      <c r="Y314" t="s">
        <v>115</v>
      </c>
      <c r="Z314" t="s">
        <v>116</v>
      </c>
      <c r="AA314">
        <v>0</v>
      </c>
      <c r="AB314" t="s">
        <v>97</v>
      </c>
      <c r="AC314" t="s">
        <v>97</v>
      </c>
      <c r="AD314" t="s">
        <v>117</v>
      </c>
      <c r="AE314" t="s">
        <v>96</v>
      </c>
      <c r="AF314" t="s">
        <v>97</v>
      </c>
      <c r="AG314" t="s">
        <v>120</v>
      </c>
      <c r="AH314" t="s">
        <v>152</v>
      </c>
      <c r="AI314">
        <v>507</v>
      </c>
      <c r="AJ314" t="s">
        <v>101</v>
      </c>
      <c r="AK314">
        <v>0</v>
      </c>
      <c r="AL314">
        <v>286</v>
      </c>
      <c r="AM314">
        <v>793</v>
      </c>
      <c r="AN314" t="s">
        <v>102</v>
      </c>
      <c r="AO314" t="s">
        <v>97</v>
      </c>
      <c r="AP314" t="s">
        <v>104</v>
      </c>
      <c r="AQ314" t="s">
        <v>105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97</v>
      </c>
      <c r="BC314">
        <v>5</v>
      </c>
      <c r="BD314" t="s">
        <v>106</v>
      </c>
      <c r="BE314">
        <v>1</v>
      </c>
      <c r="BF314" t="s">
        <v>96</v>
      </c>
      <c r="BG314" t="s">
        <v>126</v>
      </c>
      <c r="BH314">
        <v>1939</v>
      </c>
      <c r="BI314" t="s">
        <v>101</v>
      </c>
      <c r="BJ314">
        <v>2</v>
      </c>
      <c r="BK314">
        <v>410</v>
      </c>
      <c r="BL314" t="s">
        <v>97</v>
      </c>
      <c r="BM314" t="s">
        <v>97</v>
      </c>
      <c r="BN314" t="s">
        <v>104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V314" t="s">
        <v>133</v>
      </c>
      <c r="BX314">
        <v>0</v>
      </c>
      <c r="BY314">
        <v>5</v>
      </c>
      <c r="BZ314">
        <v>2006</v>
      </c>
      <c r="CA314" t="s">
        <v>109</v>
      </c>
      <c r="CB314" t="s">
        <v>110</v>
      </c>
      <c r="CC314">
        <v>119900</v>
      </c>
    </row>
    <row r="315" spans="1:81" x14ac:dyDescent="0.3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H315" t="s">
        <v>230</v>
      </c>
      <c r="I315" t="s">
        <v>194</v>
      </c>
      <c r="J315" t="s">
        <v>85</v>
      </c>
      <c r="K315" t="s">
        <v>86</v>
      </c>
      <c r="L315" t="s">
        <v>212</v>
      </c>
      <c r="M315" t="s">
        <v>188</v>
      </c>
      <c r="N315" t="s">
        <v>89</v>
      </c>
      <c r="O315" t="s">
        <v>89</v>
      </c>
      <c r="P315" t="s">
        <v>90</v>
      </c>
      <c r="Q315" t="s">
        <v>114</v>
      </c>
      <c r="R315">
        <v>7</v>
      </c>
      <c r="S315">
        <v>5</v>
      </c>
      <c r="T315">
        <v>1965</v>
      </c>
      <c r="U315">
        <v>1965</v>
      </c>
      <c r="V315" t="s">
        <v>151</v>
      </c>
      <c r="W315" t="s">
        <v>93</v>
      </c>
      <c r="X315" t="s">
        <v>95</v>
      </c>
      <c r="Y315" t="s">
        <v>95</v>
      </c>
      <c r="Z315" t="s">
        <v>116</v>
      </c>
      <c r="AA315">
        <v>0</v>
      </c>
      <c r="AB315" t="s">
        <v>97</v>
      </c>
      <c r="AC315" t="s">
        <v>97</v>
      </c>
      <c r="AD315" t="s">
        <v>117</v>
      </c>
      <c r="AE315" t="s">
        <v>96</v>
      </c>
      <c r="AF315" t="s">
        <v>97</v>
      </c>
      <c r="AG315" t="s">
        <v>96</v>
      </c>
      <c r="AH315" t="s">
        <v>118</v>
      </c>
      <c r="AI315">
        <v>1236</v>
      </c>
      <c r="AJ315" t="s">
        <v>152</v>
      </c>
      <c r="AK315">
        <v>820</v>
      </c>
      <c r="AL315">
        <v>80</v>
      </c>
      <c r="AM315">
        <v>2136</v>
      </c>
      <c r="AN315" t="s">
        <v>205</v>
      </c>
      <c r="AO315" t="s">
        <v>97</v>
      </c>
      <c r="AP315" t="s">
        <v>104</v>
      </c>
      <c r="AQ315" t="s">
        <v>105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97</v>
      </c>
      <c r="BC315">
        <v>8</v>
      </c>
      <c r="BD315" t="s">
        <v>106</v>
      </c>
      <c r="BE315">
        <v>2</v>
      </c>
      <c r="BF315" t="s">
        <v>96</v>
      </c>
      <c r="BG315" t="s">
        <v>107</v>
      </c>
      <c r="BH315">
        <v>1965</v>
      </c>
      <c r="BI315" t="s">
        <v>108</v>
      </c>
      <c r="BJ315">
        <v>2</v>
      </c>
      <c r="BK315">
        <v>513</v>
      </c>
      <c r="BL315" t="s">
        <v>97</v>
      </c>
      <c r="BM315" t="s">
        <v>97</v>
      </c>
      <c r="BN315" t="s">
        <v>104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X315">
        <v>0</v>
      </c>
      <c r="BY315">
        <v>6</v>
      </c>
      <c r="BZ315">
        <v>2009</v>
      </c>
      <c r="CA315" t="s">
        <v>109</v>
      </c>
      <c r="CB315" t="s">
        <v>110</v>
      </c>
      <c r="CC315">
        <v>375000</v>
      </c>
    </row>
    <row r="316" spans="1:81" x14ac:dyDescent="0.3">
      <c r="A316">
        <v>315</v>
      </c>
      <c r="B316">
        <v>70</v>
      </c>
      <c r="C316" t="s">
        <v>141</v>
      </c>
      <c r="D316">
        <v>60</v>
      </c>
      <c r="E316">
        <v>9600</v>
      </c>
      <c r="F316" t="s">
        <v>82</v>
      </c>
      <c r="G316" t="s">
        <v>173</v>
      </c>
      <c r="H316" t="s">
        <v>83</v>
      </c>
      <c r="I316" t="s">
        <v>84</v>
      </c>
      <c r="J316" t="s">
        <v>85</v>
      </c>
      <c r="K316" t="s">
        <v>86</v>
      </c>
      <c r="L316" t="s">
        <v>87</v>
      </c>
      <c r="M316" t="s">
        <v>142</v>
      </c>
      <c r="N316" t="s">
        <v>89</v>
      </c>
      <c r="O316" t="s">
        <v>89</v>
      </c>
      <c r="P316" t="s">
        <v>90</v>
      </c>
      <c r="Q316" t="s">
        <v>91</v>
      </c>
      <c r="R316">
        <v>7</v>
      </c>
      <c r="S316">
        <v>7</v>
      </c>
      <c r="T316">
        <v>1925</v>
      </c>
      <c r="U316">
        <v>1990</v>
      </c>
      <c r="V316" t="s">
        <v>92</v>
      </c>
      <c r="W316" t="s">
        <v>93</v>
      </c>
      <c r="X316" t="s">
        <v>123</v>
      </c>
      <c r="Y316" t="s">
        <v>123</v>
      </c>
      <c r="Z316" t="s">
        <v>116</v>
      </c>
      <c r="AA316">
        <v>0</v>
      </c>
      <c r="AB316" t="s">
        <v>97</v>
      </c>
      <c r="AC316" t="s">
        <v>97</v>
      </c>
      <c r="AD316" t="s">
        <v>125</v>
      </c>
      <c r="AE316" t="s">
        <v>97</v>
      </c>
      <c r="AF316" t="s">
        <v>96</v>
      </c>
      <c r="AG316" t="s">
        <v>99</v>
      </c>
      <c r="AH316" t="s">
        <v>171</v>
      </c>
      <c r="AI316">
        <v>16</v>
      </c>
      <c r="AJ316" t="s">
        <v>101</v>
      </c>
      <c r="AK316">
        <v>0</v>
      </c>
      <c r="AL316">
        <v>712</v>
      </c>
      <c r="AM316">
        <v>728</v>
      </c>
      <c r="AN316" t="s">
        <v>102</v>
      </c>
      <c r="AO316" t="s">
        <v>103</v>
      </c>
      <c r="AP316" t="s">
        <v>104</v>
      </c>
      <c r="AQ316" t="s">
        <v>105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103</v>
      </c>
      <c r="BC316">
        <v>6</v>
      </c>
      <c r="BD316" t="s">
        <v>106</v>
      </c>
      <c r="BE316">
        <v>1</v>
      </c>
      <c r="BF316" t="s">
        <v>96</v>
      </c>
      <c r="BG316" t="s">
        <v>126</v>
      </c>
      <c r="BH316">
        <v>1925</v>
      </c>
      <c r="BI316" t="s">
        <v>101</v>
      </c>
      <c r="BJ316">
        <v>2</v>
      </c>
      <c r="BK316">
        <v>546</v>
      </c>
      <c r="BL316" t="s">
        <v>146</v>
      </c>
      <c r="BM316" t="s">
        <v>97</v>
      </c>
      <c r="BN316" t="s">
        <v>104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X316">
        <v>0</v>
      </c>
      <c r="BY316">
        <v>8</v>
      </c>
      <c r="BZ316">
        <v>2006</v>
      </c>
      <c r="CA316" t="s">
        <v>109</v>
      </c>
      <c r="CB316" t="s">
        <v>110</v>
      </c>
      <c r="CC316">
        <v>178000</v>
      </c>
    </row>
    <row r="317" spans="1:81" x14ac:dyDescent="0.3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H317" t="s">
        <v>119</v>
      </c>
      <c r="I317" t="s">
        <v>84</v>
      </c>
      <c r="J317" t="s">
        <v>85</v>
      </c>
      <c r="K317" t="s">
        <v>86</v>
      </c>
      <c r="L317" t="s">
        <v>87</v>
      </c>
      <c r="M317" t="s">
        <v>192</v>
      </c>
      <c r="N317" t="s">
        <v>89</v>
      </c>
      <c r="O317" t="s">
        <v>89</v>
      </c>
      <c r="P317" t="s">
        <v>90</v>
      </c>
      <c r="Q317" t="s">
        <v>91</v>
      </c>
      <c r="R317">
        <v>7</v>
      </c>
      <c r="S317">
        <v>5</v>
      </c>
      <c r="T317">
        <v>2004</v>
      </c>
      <c r="U317">
        <v>2005</v>
      </c>
      <c r="V317" t="s">
        <v>92</v>
      </c>
      <c r="W317" t="s">
        <v>93</v>
      </c>
      <c r="X317" t="s">
        <v>94</v>
      </c>
      <c r="Y317" t="s">
        <v>94</v>
      </c>
      <c r="Z317" t="s">
        <v>116</v>
      </c>
      <c r="AA317">
        <v>0</v>
      </c>
      <c r="AB317" t="s">
        <v>96</v>
      </c>
      <c r="AC317" t="s">
        <v>97</v>
      </c>
      <c r="AD317" t="s">
        <v>98</v>
      </c>
      <c r="AE317" t="s">
        <v>96</v>
      </c>
      <c r="AF317" t="s">
        <v>97</v>
      </c>
      <c r="AG317" t="s">
        <v>99</v>
      </c>
      <c r="AH317" t="s">
        <v>100</v>
      </c>
      <c r="AI317">
        <v>425</v>
      </c>
      <c r="AJ317" t="s">
        <v>101</v>
      </c>
      <c r="AK317">
        <v>0</v>
      </c>
      <c r="AL317">
        <v>291</v>
      </c>
      <c r="AM317">
        <v>716</v>
      </c>
      <c r="AN317" t="s">
        <v>102</v>
      </c>
      <c r="AO317" t="s">
        <v>103</v>
      </c>
      <c r="AP317" t="s">
        <v>104</v>
      </c>
      <c r="AQ317" t="s">
        <v>105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96</v>
      </c>
      <c r="BC317">
        <v>6</v>
      </c>
      <c r="BD317" t="s">
        <v>106</v>
      </c>
      <c r="BE317">
        <v>1</v>
      </c>
      <c r="BF317" t="s">
        <v>96</v>
      </c>
      <c r="BG317" t="s">
        <v>107</v>
      </c>
      <c r="BH317">
        <v>2004</v>
      </c>
      <c r="BI317" t="s">
        <v>156</v>
      </c>
      <c r="BJ317">
        <v>2</v>
      </c>
      <c r="BK317">
        <v>432</v>
      </c>
      <c r="BL317" t="s">
        <v>97</v>
      </c>
      <c r="BM317" t="s">
        <v>97</v>
      </c>
      <c r="BN317" t="s">
        <v>104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X317">
        <v>0</v>
      </c>
      <c r="BY317">
        <v>7</v>
      </c>
      <c r="BZ317">
        <v>2009</v>
      </c>
      <c r="CA317" t="s">
        <v>109</v>
      </c>
      <c r="CB317" t="s">
        <v>110</v>
      </c>
      <c r="CC317">
        <v>188500</v>
      </c>
    </row>
    <row r="318" spans="1:81" x14ac:dyDescent="0.3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H318" t="s">
        <v>119</v>
      </c>
      <c r="I318" t="s">
        <v>84</v>
      </c>
      <c r="J318" t="s">
        <v>85</v>
      </c>
      <c r="K318" t="s">
        <v>121</v>
      </c>
      <c r="L318" t="s">
        <v>87</v>
      </c>
      <c r="M318" t="s">
        <v>137</v>
      </c>
      <c r="N318" t="s">
        <v>89</v>
      </c>
      <c r="O318" t="s">
        <v>89</v>
      </c>
      <c r="P318" t="s">
        <v>90</v>
      </c>
      <c r="Q318" t="s">
        <v>91</v>
      </c>
      <c r="R318">
        <v>7</v>
      </c>
      <c r="S318">
        <v>7</v>
      </c>
      <c r="T318">
        <v>1980</v>
      </c>
      <c r="U318">
        <v>1980</v>
      </c>
      <c r="V318" t="s">
        <v>92</v>
      </c>
      <c r="W318" t="s">
        <v>93</v>
      </c>
      <c r="X318" t="s">
        <v>179</v>
      </c>
      <c r="Y318" t="s">
        <v>180</v>
      </c>
      <c r="Z318" t="s">
        <v>95</v>
      </c>
      <c r="AA318">
        <v>278</v>
      </c>
      <c r="AB318" t="s">
        <v>96</v>
      </c>
      <c r="AC318" t="s">
        <v>97</v>
      </c>
      <c r="AD318" t="s">
        <v>117</v>
      </c>
      <c r="AE318" t="s">
        <v>96</v>
      </c>
      <c r="AF318" t="s">
        <v>97</v>
      </c>
      <c r="AG318" t="s">
        <v>99</v>
      </c>
      <c r="AH318" t="s">
        <v>100</v>
      </c>
      <c r="AI318">
        <v>692</v>
      </c>
      <c r="AJ318" t="s">
        <v>101</v>
      </c>
      <c r="AK318">
        <v>0</v>
      </c>
      <c r="AL318">
        <v>153</v>
      </c>
      <c r="AM318">
        <v>845</v>
      </c>
      <c r="AN318" t="s">
        <v>102</v>
      </c>
      <c r="AO318" t="s">
        <v>97</v>
      </c>
      <c r="AP318" t="s">
        <v>104</v>
      </c>
      <c r="AQ318" t="s">
        <v>105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103</v>
      </c>
      <c r="BC318">
        <v>10</v>
      </c>
      <c r="BD318" t="s">
        <v>106</v>
      </c>
      <c r="BE318">
        <v>1</v>
      </c>
      <c r="BF318" t="s">
        <v>97</v>
      </c>
      <c r="BG318" t="s">
        <v>107</v>
      </c>
      <c r="BH318">
        <v>1983</v>
      </c>
      <c r="BI318" t="s">
        <v>108</v>
      </c>
      <c r="BJ318">
        <v>2</v>
      </c>
      <c r="BK318">
        <v>484</v>
      </c>
      <c r="BL318" t="s">
        <v>97</v>
      </c>
      <c r="BM318" t="s">
        <v>97</v>
      </c>
      <c r="BN318" t="s">
        <v>104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V318" t="s">
        <v>164</v>
      </c>
      <c r="BX318">
        <v>0</v>
      </c>
      <c r="BY318">
        <v>8</v>
      </c>
      <c r="BZ318">
        <v>2009</v>
      </c>
      <c r="CA318" t="s">
        <v>109</v>
      </c>
      <c r="CB318" t="s">
        <v>110</v>
      </c>
      <c r="CC318">
        <v>260000</v>
      </c>
    </row>
    <row r="319" spans="1:81" x14ac:dyDescent="0.3">
      <c r="A319">
        <v>318</v>
      </c>
      <c r="B319">
        <v>60</v>
      </c>
      <c r="C319" t="s">
        <v>191</v>
      </c>
      <c r="D319">
        <v>75</v>
      </c>
      <c r="E319">
        <v>9000</v>
      </c>
      <c r="F319" t="s">
        <v>82</v>
      </c>
      <c r="H319" t="s">
        <v>83</v>
      </c>
      <c r="I319" t="s">
        <v>84</v>
      </c>
      <c r="J319" t="s">
        <v>85</v>
      </c>
      <c r="K319" t="s">
        <v>86</v>
      </c>
      <c r="L319" t="s">
        <v>87</v>
      </c>
      <c r="M319" t="s">
        <v>135</v>
      </c>
      <c r="N319" t="s">
        <v>89</v>
      </c>
      <c r="O319" t="s">
        <v>89</v>
      </c>
      <c r="P319" t="s">
        <v>90</v>
      </c>
      <c r="Q319" t="s">
        <v>91</v>
      </c>
      <c r="R319">
        <v>8</v>
      </c>
      <c r="S319">
        <v>5</v>
      </c>
      <c r="T319">
        <v>2006</v>
      </c>
      <c r="U319">
        <v>2006</v>
      </c>
      <c r="V319" t="s">
        <v>92</v>
      </c>
      <c r="W319" t="s">
        <v>93</v>
      </c>
      <c r="X319" t="s">
        <v>94</v>
      </c>
      <c r="Y319" t="s">
        <v>94</v>
      </c>
      <c r="Z319" t="s">
        <v>116</v>
      </c>
      <c r="AA319">
        <v>0</v>
      </c>
      <c r="AB319" t="s">
        <v>96</v>
      </c>
      <c r="AC319" t="s">
        <v>97</v>
      </c>
      <c r="AD319" t="s">
        <v>98</v>
      </c>
      <c r="AE319" t="s">
        <v>96</v>
      </c>
      <c r="AF319" t="s">
        <v>97</v>
      </c>
      <c r="AG319" t="s">
        <v>129</v>
      </c>
      <c r="AH319" t="s">
        <v>101</v>
      </c>
      <c r="AI319">
        <v>0</v>
      </c>
      <c r="AJ319" t="s">
        <v>101</v>
      </c>
      <c r="AK319">
        <v>0</v>
      </c>
      <c r="AL319">
        <v>1088</v>
      </c>
      <c r="AM319">
        <v>1088</v>
      </c>
      <c r="AN319" t="s">
        <v>102</v>
      </c>
      <c r="AO319" t="s">
        <v>103</v>
      </c>
      <c r="AP319" t="s">
        <v>104</v>
      </c>
      <c r="AQ319" t="s">
        <v>105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96</v>
      </c>
      <c r="BC319">
        <v>8</v>
      </c>
      <c r="BD319" t="s">
        <v>106</v>
      </c>
      <c r="BE319">
        <v>1</v>
      </c>
      <c r="BF319" t="s">
        <v>96</v>
      </c>
      <c r="BG319" t="s">
        <v>107</v>
      </c>
      <c r="BH319">
        <v>2006</v>
      </c>
      <c r="BI319" t="s">
        <v>108</v>
      </c>
      <c r="BJ319">
        <v>3</v>
      </c>
      <c r="BK319">
        <v>1025</v>
      </c>
      <c r="BL319" t="s">
        <v>97</v>
      </c>
      <c r="BM319" t="s">
        <v>97</v>
      </c>
      <c r="BN319" t="s">
        <v>104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X319">
        <v>0</v>
      </c>
      <c r="BY319">
        <v>12</v>
      </c>
      <c r="BZ319">
        <v>2007</v>
      </c>
      <c r="CA319" t="s">
        <v>109</v>
      </c>
      <c r="CB319" t="s">
        <v>110</v>
      </c>
      <c r="CC319">
        <v>270000</v>
      </c>
    </row>
    <row r="320" spans="1:81" x14ac:dyDescent="0.3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H320" t="s">
        <v>83</v>
      </c>
      <c r="I320" t="s">
        <v>194</v>
      </c>
      <c r="J320" t="s">
        <v>85</v>
      </c>
      <c r="K320" t="s">
        <v>86</v>
      </c>
      <c r="L320" t="s">
        <v>193</v>
      </c>
      <c r="M320" t="s">
        <v>128</v>
      </c>
      <c r="N320" t="s">
        <v>89</v>
      </c>
      <c r="O320" t="s">
        <v>89</v>
      </c>
      <c r="P320" t="s">
        <v>90</v>
      </c>
      <c r="Q320" t="s">
        <v>91</v>
      </c>
      <c r="R320">
        <v>7</v>
      </c>
      <c r="S320">
        <v>5</v>
      </c>
      <c r="T320">
        <v>1993</v>
      </c>
      <c r="U320">
        <v>1993</v>
      </c>
      <c r="V320" t="s">
        <v>92</v>
      </c>
      <c r="W320" t="s">
        <v>93</v>
      </c>
      <c r="X320" t="s">
        <v>139</v>
      </c>
      <c r="Y320" t="s">
        <v>139</v>
      </c>
      <c r="Z320" t="s">
        <v>95</v>
      </c>
      <c r="AA320">
        <v>256</v>
      </c>
      <c r="AB320" t="s">
        <v>96</v>
      </c>
      <c r="AC320" t="s">
        <v>97</v>
      </c>
      <c r="AD320" t="s">
        <v>98</v>
      </c>
      <c r="AE320" t="s">
        <v>96</v>
      </c>
      <c r="AF320" t="s">
        <v>97</v>
      </c>
      <c r="AG320" t="s">
        <v>96</v>
      </c>
      <c r="AH320" t="s">
        <v>100</v>
      </c>
      <c r="AI320">
        <v>987</v>
      </c>
      <c r="AJ320" t="s">
        <v>101</v>
      </c>
      <c r="AK320">
        <v>0</v>
      </c>
      <c r="AL320">
        <v>360</v>
      </c>
      <c r="AM320">
        <v>1347</v>
      </c>
      <c r="AN320" t="s">
        <v>102</v>
      </c>
      <c r="AO320" t="s">
        <v>103</v>
      </c>
      <c r="AP320" t="s">
        <v>104</v>
      </c>
      <c r="AQ320" t="s">
        <v>105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96</v>
      </c>
      <c r="BC320">
        <v>9</v>
      </c>
      <c r="BD320" t="s">
        <v>106</v>
      </c>
      <c r="BE320">
        <v>1</v>
      </c>
      <c r="BF320" t="s">
        <v>97</v>
      </c>
      <c r="BG320" t="s">
        <v>107</v>
      </c>
      <c r="BH320">
        <v>1993</v>
      </c>
      <c r="BI320" t="s">
        <v>108</v>
      </c>
      <c r="BJ320">
        <v>3</v>
      </c>
      <c r="BK320">
        <v>656</v>
      </c>
      <c r="BL320" t="s">
        <v>97</v>
      </c>
      <c r="BM320" t="s">
        <v>97</v>
      </c>
      <c r="BN320" t="s">
        <v>104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X320">
        <v>0</v>
      </c>
      <c r="BY320">
        <v>4</v>
      </c>
      <c r="BZ320">
        <v>2009</v>
      </c>
      <c r="CA320" t="s">
        <v>109</v>
      </c>
      <c r="CB320" t="s">
        <v>110</v>
      </c>
      <c r="CC320">
        <v>260000</v>
      </c>
    </row>
    <row r="321" spans="1:81" x14ac:dyDescent="0.3">
      <c r="A321">
        <v>320</v>
      </c>
      <c r="B321">
        <v>80</v>
      </c>
      <c r="C321" t="s">
        <v>81</v>
      </c>
      <c r="E321">
        <v>14115</v>
      </c>
      <c r="F321" t="s">
        <v>82</v>
      </c>
      <c r="H321" t="s">
        <v>83</v>
      </c>
      <c r="I321" t="s">
        <v>84</v>
      </c>
      <c r="J321" t="s">
        <v>85</v>
      </c>
      <c r="K321" t="s">
        <v>86</v>
      </c>
      <c r="L321" t="s">
        <v>87</v>
      </c>
      <c r="M321" t="s">
        <v>137</v>
      </c>
      <c r="N321" t="s">
        <v>89</v>
      </c>
      <c r="O321" t="s">
        <v>89</v>
      </c>
      <c r="P321" t="s">
        <v>90</v>
      </c>
      <c r="Q321" t="s">
        <v>196</v>
      </c>
      <c r="R321">
        <v>7</v>
      </c>
      <c r="S321">
        <v>5</v>
      </c>
      <c r="T321">
        <v>1980</v>
      </c>
      <c r="U321">
        <v>1980</v>
      </c>
      <c r="V321" t="s">
        <v>92</v>
      </c>
      <c r="W321" t="s">
        <v>93</v>
      </c>
      <c r="X321" t="s">
        <v>160</v>
      </c>
      <c r="Y321" t="s">
        <v>160</v>
      </c>
      <c r="Z321" t="s">
        <v>95</v>
      </c>
      <c r="AA321">
        <v>225</v>
      </c>
      <c r="AB321" t="s">
        <v>97</v>
      </c>
      <c r="AC321" t="s">
        <v>97</v>
      </c>
      <c r="AD321" t="s">
        <v>117</v>
      </c>
      <c r="AE321" t="s">
        <v>96</v>
      </c>
      <c r="AF321" t="s">
        <v>97</v>
      </c>
      <c r="AG321" t="s">
        <v>129</v>
      </c>
      <c r="AH321" t="s">
        <v>100</v>
      </c>
      <c r="AI321">
        <v>1036</v>
      </c>
      <c r="AJ321" t="s">
        <v>101</v>
      </c>
      <c r="AK321">
        <v>0</v>
      </c>
      <c r="AL321">
        <v>336</v>
      </c>
      <c r="AM321">
        <v>1372</v>
      </c>
      <c r="AN321" t="s">
        <v>102</v>
      </c>
      <c r="AO321" t="s">
        <v>97</v>
      </c>
      <c r="AP321" t="s">
        <v>104</v>
      </c>
      <c r="AQ321" t="s">
        <v>105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97</v>
      </c>
      <c r="BC321">
        <v>6</v>
      </c>
      <c r="BD321" t="s">
        <v>106</v>
      </c>
      <c r="BE321">
        <v>2</v>
      </c>
      <c r="BF321" t="s">
        <v>97</v>
      </c>
      <c r="BG321" t="s">
        <v>107</v>
      </c>
      <c r="BH321">
        <v>1980</v>
      </c>
      <c r="BI321" t="s">
        <v>101</v>
      </c>
      <c r="BJ321">
        <v>2</v>
      </c>
      <c r="BK321">
        <v>588</v>
      </c>
      <c r="BL321" t="s">
        <v>97</v>
      </c>
      <c r="BM321" t="s">
        <v>97</v>
      </c>
      <c r="BN321" t="s">
        <v>104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X321">
        <v>0</v>
      </c>
      <c r="BY321">
        <v>6</v>
      </c>
      <c r="BZ321">
        <v>2009</v>
      </c>
      <c r="CA321" t="s">
        <v>109</v>
      </c>
      <c r="CB321" t="s">
        <v>110</v>
      </c>
      <c r="CC321">
        <v>187500</v>
      </c>
    </row>
    <row r="322" spans="1:81" x14ac:dyDescent="0.3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H322" t="s">
        <v>83</v>
      </c>
      <c r="I322" t="s">
        <v>84</v>
      </c>
      <c r="J322" t="s">
        <v>85</v>
      </c>
      <c r="K322" t="s">
        <v>121</v>
      </c>
      <c r="L322" t="s">
        <v>87</v>
      </c>
      <c r="M322" t="s">
        <v>153</v>
      </c>
      <c r="N322" t="s">
        <v>89</v>
      </c>
      <c r="O322" t="s">
        <v>89</v>
      </c>
      <c r="P322" t="s">
        <v>90</v>
      </c>
      <c r="Q322" t="s">
        <v>91</v>
      </c>
      <c r="R322">
        <v>9</v>
      </c>
      <c r="S322">
        <v>5</v>
      </c>
      <c r="T322">
        <v>2006</v>
      </c>
      <c r="U322">
        <v>2006</v>
      </c>
      <c r="V322" t="s">
        <v>92</v>
      </c>
      <c r="W322" t="s">
        <v>93</v>
      </c>
      <c r="X322" t="s">
        <v>94</v>
      </c>
      <c r="Y322" t="s">
        <v>94</v>
      </c>
      <c r="Z322" t="s">
        <v>136</v>
      </c>
      <c r="AA322">
        <v>370</v>
      </c>
      <c r="AB322" t="s">
        <v>97</v>
      </c>
      <c r="AC322" t="s">
        <v>97</v>
      </c>
      <c r="AD322" t="s">
        <v>98</v>
      </c>
      <c r="AE322" t="s">
        <v>103</v>
      </c>
      <c r="AF322" t="s">
        <v>96</v>
      </c>
      <c r="AG322" t="s">
        <v>129</v>
      </c>
      <c r="AH322" t="s">
        <v>101</v>
      </c>
      <c r="AI322">
        <v>0</v>
      </c>
      <c r="AJ322" t="s">
        <v>101</v>
      </c>
      <c r="AK322">
        <v>0</v>
      </c>
      <c r="AL322">
        <v>1249</v>
      </c>
      <c r="AM322">
        <v>1249</v>
      </c>
      <c r="AN322" t="s">
        <v>102</v>
      </c>
      <c r="AO322" t="s">
        <v>103</v>
      </c>
      <c r="AP322" t="s">
        <v>104</v>
      </c>
      <c r="AQ322" t="s">
        <v>105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96</v>
      </c>
      <c r="BC322">
        <v>9</v>
      </c>
      <c r="BD322" t="s">
        <v>106</v>
      </c>
      <c r="BE322">
        <v>0</v>
      </c>
      <c r="BG322" t="s">
        <v>107</v>
      </c>
      <c r="BH322">
        <v>2006</v>
      </c>
      <c r="BI322" t="s">
        <v>108</v>
      </c>
      <c r="BJ322">
        <v>3</v>
      </c>
      <c r="BK322">
        <v>840</v>
      </c>
      <c r="BL322" t="s">
        <v>97</v>
      </c>
      <c r="BM322" t="s">
        <v>97</v>
      </c>
      <c r="BN322" t="s">
        <v>104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X322">
        <v>0</v>
      </c>
      <c r="BY322">
        <v>9</v>
      </c>
      <c r="BZ322">
        <v>2006</v>
      </c>
      <c r="CA322" t="s">
        <v>157</v>
      </c>
      <c r="CB322" t="s">
        <v>158</v>
      </c>
      <c r="CC322">
        <v>342643</v>
      </c>
    </row>
    <row r="323" spans="1:81" x14ac:dyDescent="0.3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H323" t="s">
        <v>119</v>
      </c>
      <c r="I323" t="s">
        <v>84</v>
      </c>
      <c r="J323" t="s">
        <v>85</v>
      </c>
      <c r="K323" t="s">
        <v>86</v>
      </c>
      <c r="L323" t="s">
        <v>87</v>
      </c>
      <c r="M323" t="s">
        <v>153</v>
      </c>
      <c r="N323" t="s">
        <v>89</v>
      </c>
      <c r="O323" t="s">
        <v>89</v>
      </c>
      <c r="P323" t="s">
        <v>90</v>
      </c>
      <c r="Q323" t="s">
        <v>91</v>
      </c>
      <c r="R323">
        <v>8</v>
      </c>
      <c r="S323">
        <v>5</v>
      </c>
      <c r="T323">
        <v>2004</v>
      </c>
      <c r="U323">
        <v>2004</v>
      </c>
      <c r="V323" t="s">
        <v>92</v>
      </c>
      <c r="W323" t="s">
        <v>93</v>
      </c>
      <c r="X323" t="s">
        <v>94</v>
      </c>
      <c r="Y323" t="s">
        <v>94</v>
      </c>
      <c r="Z323" t="s">
        <v>95</v>
      </c>
      <c r="AA323">
        <v>388</v>
      </c>
      <c r="AB323" t="s">
        <v>96</v>
      </c>
      <c r="AC323" t="s">
        <v>97</v>
      </c>
      <c r="AD323" t="s">
        <v>98</v>
      </c>
      <c r="AE323" t="s">
        <v>103</v>
      </c>
      <c r="AF323" t="s">
        <v>97</v>
      </c>
      <c r="AG323" t="s">
        <v>129</v>
      </c>
      <c r="AH323" t="s">
        <v>100</v>
      </c>
      <c r="AI323">
        <v>970</v>
      </c>
      <c r="AJ323" t="s">
        <v>101</v>
      </c>
      <c r="AK323">
        <v>0</v>
      </c>
      <c r="AL323">
        <v>166</v>
      </c>
      <c r="AM323">
        <v>1136</v>
      </c>
      <c r="AN323" t="s">
        <v>102</v>
      </c>
      <c r="AO323" t="s">
        <v>103</v>
      </c>
      <c r="AP323" t="s">
        <v>104</v>
      </c>
      <c r="AQ323" t="s">
        <v>105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96</v>
      </c>
      <c r="BC323">
        <v>10</v>
      </c>
      <c r="BD323" t="s">
        <v>106</v>
      </c>
      <c r="BE323">
        <v>1</v>
      </c>
      <c r="BF323" t="s">
        <v>96</v>
      </c>
      <c r="BG323" t="s">
        <v>155</v>
      </c>
      <c r="BH323">
        <v>2004</v>
      </c>
      <c r="BI323" t="s">
        <v>156</v>
      </c>
      <c r="BJ323">
        <v>3</v>
      </c>
      <c r="BK323">
        <v>872</v>
      </c>
      <c r="BL323" t="s">
        <v>97</v>
      </c>
      <c r="BM323" t="s">
        <v>97</v>
      </c>
      <c r="BN323" t="s">
        <v>104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X323">
        <v>0</v>
      </c>
      <c r="BY323">
        <v>6</v>
      </c>
      <c r="BZ323">
        <v>2007</v>
      </c>
      <c r="CA323" t="s">
        <v>109</v>
      </c>
      <c r="CB323" t="s">
        <v>110</v>
      </c>
      <c r="CC323">
        <v>354000</v>
      </c>
    </row>
    <row r="324" spans="1:81" x14ac:dyDescent="0.3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H324" t="s">
        <v>119</v>
      </c>
      <c r="I324" t="s">
        <v>84</v>
      </c>
      <c r="J324" t="s">
        <v>85</v>
      </c>
      <c r="K324" t="s">
        <v>86</v>
      </c>
      <c r="L324" t="s">
        <v>87</v>
      </c>
      <c r="M324" t="s">
        <v>169</v>
      </c>
      <c r="N324" t="s">
        <v>89</v>
      </c>
      <c r="O324" t="s">
        <v>89</v>
      </c>
      <c r="P324" t="s">
        <v>90</v>
      </c>
      <c r="Q324" t="s">
        <v>91</v>
      </c>
      <c r="R324">
        <v>7</v>
      </c>
      <c r="S324">
        <v>5</v>
      </c>
      <c r="T324">
        <v>1986</v>
      </c>
      <c r="U324">
        <v>1987</v>
      </c>
      <c r="V324" t="s">
        <v>92</v>
      </c>
      <c r="W324" t="s">
        <v>93</v>
      </c>
      <c r="X324" t="s">
        <v>160</v>
      </c>
      <c r="Y324" t="s">
        <v>160</v>
      </c>
      <c r="Z324" t="s">
        <v>95</v>
      </c>
      <c r="AA324">
        <v>172</v>
      </c>
      <c r="AB324" t="s">
        <v>96</v>
      </c>
      <c r="AC324" t="s">
        <v>97</v>
      </c>
      <c r="AD324" t="s">
        <v>117</v>
      </c>
      <c r="AE324" t="s">
        <v>97</v>
      </c>
      <c r="AF324" t="s">
        <v>97</v>
      </c>
      <c r="AG324" t="s">
        <v>96</v>
      </c>
      <c r="AH324" t="s">
        <v>171</v>
      </c>
      <c r="AI324">
        <v>28</v>
      </c>
      <c r="AJ324" t="s">
        <v>118</v>
      </c>
      <c r="AK324">
        <v>1474</v>
      </c>
      <c r="AL324">
        <v>0</v>
      </c>
      <c r="AM324">
        <v>1502</v>
      </c>
      <c r="AN324" t="s">
        <v>102</v>
      </c>
      <c r="AO324" t="s">
        <v>103</v>
      </c>
      <c r="AP324" t="s">
        <v>104</v>
      </c>
      <c r="AQ324" t="s">
        <v>105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96</v>
      </c>
      <c r="BC324">
        <v>8</v>
      </c>
      <c r="BD324" t="s">
        <v>106</v>
      </c>
      <c r="BE324">
        <v>1</v>
      </c>
      <c r="BF324" t="s">
        <v>97</v>
      </c>
      <c r="BG324" t="s">
        <v>107</v>
      </c>
      <c r="BH324">
        <v>1987</v>
      </c>
      <c r="BI324" t="s">
        <v>156</v>
      </c>
      <c r="BJ324">
        <v>2</v>
      </c>
      <c r="BK324">
        <v>576</v>
      </c>
      <c r="BL324" t="s">
        <v>97</v>
      </c>
      <c r="BM324" t="s">
        <v>97</v>
      </c>
      <c r="BN324" t="s">
        <v>104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V324" t="s">
        <v>133</v>
      </c>
      <c r="BX324">
        <v>0</v>
      </c>
      <c r="BY324">
        <v>8</v>
      </c>
      <c r="BZ324">
        <v>2007</v>
      </c>
      <c r="CA324" t="s">
        <v>109</v>
      </c>
      <c r="CB324" t="s">
        <v>110</v>
      </c>
      <c r="CC324">
        <v>301000</v>
      </c>
    </row>
    <row r="325" spans="1:81" x14ac:dyDescent="0.3">
      <c r="A325">
        <v>324</v>
      </c>
      <c r="B325">
        <v>20</v>
      </c>
      <c r="C325" t="s">
        <v>141</v>
      </c>
      <c r="D325">
        <v>49</v>
      </c>
      <c r="E325">
        <v>5820</v>
      </c>
      <c r="F325" t="s">
        <v>82</v>
      </c>
      <c r="H325" t="s">
        <v>83</v>
      </c>
      <c r="I325" t="s">
        <v>84</v>
      </c>
      <c r="J325" t="s">
        <v>85</v>
      </c>
      <c r="K325" t="s">
        <v>86</v>
      </c>
      <c r="L325" t="s">
        <v>87</v>
      </c>
      <c r="M325" t="s">
        <v>142</v>
      </c>
      <c r="N325" t="s">
        <v>89</v>
      </c>
      <c r="O325" t="s">
        <v>89</v>
      </c>
      <c r="P325" t="s">
        <v>90</v>
      </c>
      <c r="Q325" t="s">
        <v>114</v>
      </c>
      <c r="R325">
        <v>3</v>
      </c>
      <c r="S325">
        <v>8</v>
      </c>
      <c r="T325">
        <v>1955</v>
      </c>
      <c r="U325">
        <v>2005</v>
      </c>
      <c r="V325" t="s">
        <v>92</v>
      </c>
      <c r="W325" t="s">
        <v>93</v>
      </c>
      <c r="X325" t="s">
        <v>94</v>
      </c>
      <c r="Y325" t="s">
        <v>94</v>
      </c>
      <c r="Z325" t="s">
        <v>116</v>
      </c>
      <c r="AA325">
        <v>0</v>
      </c>
      <c r="AB325" t="s">
        <v>97</v>
      </c>
      <c r="AC325" t="s">
        <v>96</v>
      </c>
      <c r="AD325" t="s">
        <v>117</v>
      </c>
      <c r="AE325" t="s">
        <v>97</v>
      </c>
      <c r="AF325" t="s">
        <v>97</v>
      </c>
      <c r="AG325" t="s">
        <v>99</v>
      </c>
      <c r="AH325" t="s">
        <v>118</v>
      </c>
      <c r="AI325">
        <v>256</v>
      </c>
      <c r="AJ325" t="s">
        <v>101</v>
      </c>
      <c r="AK325">
        <v>0</v>
      </c>
      <c r="AL325">
        <v>906</v>
      </c>
      <c r="AM325">
        <v>1162</v>
      </c>
      <c r="AN325" t="s">
        <v>102</v>
      </c>
      <c r="AO325" t="s">
        <v>103</v>
      </c>
      <c r="AP325" t="s">
        <v>104</v>
      </c>
      <c r="AQ325" t="s">
        <v>105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97</v>
      </c>
      <c r="BC325">
        <v>6</v>
      </c>
      <c r="BD325" t="s">
        <v>106</v>
      </c>
      <c r="BE325">
        <v>0</v>
      </c>
      <c r="BG325" t="s">
        <v>107</v>
      </c>
      <c r="BH325">
        <v>1955</v>
      </c>
      <c r="BI325" t="s">
        <v>101</v>
      </c>
      <c r="BJ325">
        <v>1</v>
      </c>
      <c r="BK325">
        <v>220</v>
      </c>
      <c r="BL325" t="s">
        <v>146</v>
      </c>
      <c r="BM325" t="s">
        <v>97</v>
      </c>
      <c r="BN325" t="s">
        <v>104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X325">
        <v>0</v>
      </c>
      <c r="BY325">
        <v>7</v>
      </c>
      <c r="BZ325">
        <v>2006</v>
      </c>
      <c r="CA325" t="s">
        <v>109</v>
      </c>
      <c r="CB325" t="s">
        <v>110</v>
      </c>
      <c r="CC325">
        <v>126175</v>
      </c>
    </row>
    <row r="326" spans="1:81" x14ac:dyDescent="0.3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H326" t="s">
        <v>83</v>
      </c>
      <c r="I326" t="s">
        <v>84</v>
      </c>
      <c r="J326" t="s">
        <v>85</v>
      </c>
      <c r="K326" t="s">
        <v>121</v>
      </c>
      <c r="L326" t="s">
        <v>87</v>
      </c>
      <c r="M326" t="s">
        <v>270</v>
      </c>
      <c r="N326" t="s">
        <v>138</v>
      </c>
      <c r="O326" t="s">
        <v>89</v>
      </c>
      <c r="P326" t="s">
        <v>90</v>
      </c>
      <c r="Q326" t="s">
        <v>196</v>
      </c>
      <c r="R326">
        <v>7</v>
      </c>
      <c r="S326">
        <v>7</v>
      </c>
      <c r="T326">
        <v>1967</v>
      </c>
      <c r="U326">
        <v>2007</v>
      </c>
      <c r="V326" t="s">
        <v>210</v>
      </c>
      <c r="W326" t="s">
        <v>222</v>
      </c>
      <c r="X326" t="s">
        <v>123</v>
      </c>
      <c r="Y326" t="s">
        <v>123</v>
      </c>
      <c r="Z326" t="s">
        <v>95</v>
      </c>
      <c r="AA326">
        <v>300</v>
      </c>
      <c r="AB326" t="s">
        <v>96</v>
      </c>
      <c r="AC326" t="s">
        <v>96</v>
      </c>
      <c r="AD326" t="s">
        <v>117</v>
      </c>
      <c r="AE326" t="s">
        <v>96</v>
      </c>
      <c r="AF326" t="s">
        <v>97</v>
      </c>
      <c r="AG326" t="s">
        <v>99</v>
      </c>
      <c r="AH326" t="s">
        <v>101</v>
      </c>
      <c r="AI326">
        <v>0</v>
      </c>
      <c r="AJ326" t="s">
        <v>101</v>
      </c>
      <c r="AK326">
        <v>0</v>
      </c>
      <c r="AL326">
        <v>710</v>
      </c>
      <c r="AM326">
        <v>710</v>
      </c>
      <c r="AN326" t="s">
        <v>102</v>
      </c>
      <c r="AO326" t="s">
        <v>103</v>
      </c>
      <c r="AP326" t="s">
        <v>104</v>
      </c>
      <c r="AQ326" t="s">
        <v>105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96</v>
      </c>
      <c r="BC326">
        <v>11</v>
      </c>
      <c r="BD326" t="s">
        <v>106</v>
      </c>
      <c r="BE326">
        <v>1</v>
      </c>
      <c r="BF326" t="s">
        <v>96</v>
      </c>
      <c r="BG326" t="s">
        <v>155</v>
      </c>
      <c r="BH326">
        <v>1961</v>
      </c>
      <c r="BI326" t="s">
        <v>156</v>
      </c>
      <c r="BJ326">
        <v>2</v>
      </c>
      <c r="BK326">
        <v>564</v>
      </c>
      <c r="BL326" t="s">
        <v>97</v>
      </c>
      <c r="BM326" t="s">
        <v>97</v>
      </c>
      <c r="BN326" t="s">
        <v>104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X326">
        <v>0</v>
      </c>
      <c r="BY326">
        <v>6</v>
      </c>
      <c r="BZ326">
        <v>2010</v>
      </c>
      <c r="CA326" t="s">
        <v>109</v>
      </c>
      <c r="CB326" t="s">
        <v>110</v>
      </c>
      <c r="CC326">
        <v>242000</v>
      </c>
    </row>
    <row r="327" spans="1:81" x14ac:dyDescent="0.3">
      <c r="A327">
        <v>326</v>
      </c>
      <c r="B327">
        <v>45</v>
      </c>
      <c r="C327" t="s">
        <v>141</v>
      </c>
      <c r="D327">
        <v>50</v>
      </c>
      <c r="E327">
        <v>5000</v>
      </c>
      <c r="F327" t="s">
        <v>82</v>
      </c>
      <c r="H327" t="s">
        <v>83</v>
      </c>
      <c r="I327" t="s">
        <v>84</v>
      </c>
      <c r="J327" t="s">
        <v>85</v>
      </c>
      <c r="K327" t="s">
        <v>86</v>
      </c>
      <c r="L327" t="s">
        <v>87</v>
      </c>
      <c r="M327" t="s">
        <v>175</v>
      </c>
      <c r="N327" t="s">
        <v>170</v>
      </c>
      <c r="O327" t="s">
        <v>89</v>
      </c>
      <c r="P327" t="s">
        <v>90</v>
      </c>
      <c r="Q327" t="s">
        <v>149</v>
      </c>
      <c r="R327">
        <v>5</v>
      </c>
      <c r="S327">
        <v>6</v>
      </c>
      <c r="T327">
        <v>1941</v>
      </c>
      <c r="U327">
        <v>1950</v>
      </c>
      <c r="V327" t="s">
        <v>92</v>
      </c>
      <c r="W327" t="s">
        <v>93</v>
      </c>
      <c r="X327" t="s">
        <v>115</v>
      </c>
      <c r="Y327" t="s">
        <v>115</v>
      </c>
      <c r="Z327" t="s">
        <v>116</v>
      </c>
      <c r="AA327">
        <v>0</v>
      </c>
      <c r="AB327" t="s">
        <v>97</v>
      </c>
      <c r="AC327" t="s">
        <v>97</v>
      </c>
      <c r="AD327" t="s">
        <v>117</v>
      </c>
      <c r="AE327" t="s">
        <v>97</v>
      </c>
      <c r="AF327" t="s">
        <v>97</v>
      </c>
      <c r="AG327" t="s">
        <v>129</v>
      </c>
      <c r="AH327" t="s">
        <v>140</v>
      </c>
      <c r="AI327">
        <v>116</v>
      </c>
      <c r="AJ327" t="s">
        <v>101</v>
      </c>
      <c r="AK327">
        <v>0</v>
      </c>
      <c r="AL327">
        <v>604</v>
      </c>
      <c r="AM327">
        <v>720</v>
      </c>
      <c r="AN327" t="s">
        <v>102</v>
      </c>
      <c r="AO327" t="s">
        <v>211</v>
      </c>
      <c r="AP327" t="s">
        <v>176</v>
      </c>
      <c r="AQ327" t="s">
        <v>144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97</v>
      </c>
      <c r="BC327">
        <v>5</v>
      </c>
      <c r="BD327" t="s">
        <v>106</v>
      </c>
      <c r="BE327">
        <v>0</v>
      </c>
      <c r="BG327" t="s">
        <v>126</v>
      </c>
      <c r="BH327">
        <v>1941</v>
      </c>
      <c r="BI327" t="s">
        <v>101</v>
      </c>
      <c r="BJ327">
        <v>2</v>
      </c>
      <c r="BK327">
        <v>360</v>
      </c>
      <c r="BL327" t="s">
        <v>97</v>
      </c>
      <c r="BM327" t="s">
        <v>97</v>
      </c>
      <c r="BN327" t="s">
        <v>104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X327">
        <v>0</v>
      </c>
      <c r="BY327">
        <v>12</v>
      </c>
      <c r="BZ327">
        <v>2007</v>
      </c>
      <c r="CA327" t="s">
        <v>109</v>
      </c>
      <c r="CB327" t="s">
        <v>110</v>
      </c>
      <c r="CC327">
        <v>87000</v>
      </c>
    </row>
    <row r="328" spans="1:81" x14ac:dyDescent="0.3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H328" t="s">
        <v>119</v>
      </c>
      <c r="I328" t="s">
        <v>84</v>
      </c>
      <c r="J328" t="s">
        <v>85</v>
      </c>
      <c r="K328" t="s">
        <v>165</v>
      </c>
      <c r="L328" t="s">
        <v>87</v>
      </c>
      <c r="M328" t="s">
        <v>112</v>
      </c>
      <c r="N328" t="s">
        <v>89</v>
      </c>
      <c r="O328" t="s">
        <v>89</v>
      </c>
      <c r="P328" t="s">
        <v>178</v>
      </c>
      <c r="Q328" t="s">
        <v>114</v>
      </c>
      <c r="R328">
        <v>8</v>
      </c>
      <c r="S328">
        <v>5</v>
      </c>
      <c r="T328">
        <v>1993</v>
      </c>
      <c r="U328">
        <v>1993</v>
      </c>
      <c r="V328" t="s">
        <v>92</v>
      </c>
      <c r="W328" t="s">
        <v>93</v>
      </c>
      <c r="X328" t="s">
        <v>95</v>
      </c>
      <c r="Y328" t="s">
        <v>95</v>
      </c>
      <c r="Z328" t="s">
        <v>116</v>
      </c>
      <c r="AA328">
        <v>0</v>
      </c>
      <c r="AB328" t="s">
        <v>96</v>
      </c>
      <c r="AC328" t="s">
        <v>97</v>
      </c>
      <c r="AD328" t="s">
        <v>98</v>
      </c>
      <c r="AE328" t="s">
        <v>96</v>
      </c>
      <c r="AF328" t="s">
        <v>97</v>
      </c>
      <c r="AG328" t="s">
        <v>96</v>
      </c>
      <c r="AH328" t="s">
        <v>100</v>
      </c>
      <c r="AI328">
        <v>1619</v>
      </c>
      <c r="AJ328" t="s">
        <v>101</v>
      </c>
      <c r="AK328">
        <v>0</v>
      </c>
      <c r="AL328">
        <v>100</v>
      </c>
      <c r="AM328">
        <v>1719</v>
      </c>
      <c r="AN328" t="s">
        <v>102</v>
      </c>
      <c r="AO328" t="s">
        <v>103</v>
      </c>
      <c r="AP328" t="s">
        <v>104</v>
      </c>
      <c r="AQ328" t="s">
        <v>105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96</v>
      </c>
      <c r="BC328">
        <v>6</v>
      </c>
      <c r="BD328" t="s">
        <v>106</v>
      </c>
      <c r="BE328">
        <v>2</v>
      </c>
      <c r="BF328" t="s">
        <v>96</v>
      </c>
      <c r="BG328" t="s">
        <v>107</v>
      </c>
      <c r="BH328">
        <v>1993</v>
      </c>
      <c r="BI328" t="s">
        <v>156</v>
      </c>
      <c r="BJ328">
        <v>2</v>
      </c>
      <c r="BK328">
        <v>473</v>
      </c>
      <c r="BL328" t="s">
        <v>97</v>
      </c>
      <c r="BM328" t="s">
        <v>97</v>
      </c>
      <c r="BN328" t="s">
        <v>104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X328">
        <v>0</v>
      </c>
      <c r="BY328">
        <v>5</v>
      </c>
      <c r="BZ328">
        <v>2008</v>
      </c>
      <c r="CA328" t="s">
        <v>236</v>
      </c>
      <c r="CB328" t="s">
        <v>110</v>
      </c>
      <c r="CC328">
        <v>324000</v>
      </c>
    </row>
    <row r="329" spans="1:81" x14ac:dyDescent="0.3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H329" t="s">
        <v>83</v>
      </c>
      <c r="I329" t="s">
        <v>84</v>
      </c>
      <c r="J329" t="s">
        <v>85</v>
      </c>
      <c r="K329" t="s">
        <v>86</v>
      </c>
      <c r="L329" t="s">
        <v>87</v>
      </c>
      <c r="M329" t="s">
        <v>270</v>
      </c>
      <c r="N329" t="s">
        <v>89</v>
      </c>
      <c r="O329" t="s">
        <v>89</v>
      </c>
      <c r="P329" t="s">
        <v>90</v>
      </c>
      <c r="Q329" t="s">
        <v>114</v>
      </c>
      <c r="R329">
        <v>6</v>
      </c>
      <c r="S329">
        <v>5</v>
      </c>
      <c r="T329">
        <v>1960</v>
      </c>
      <c r="U329">
        <v>1960</v>
      </c>
      <c r="V329" t="s">
        <v>151</v>
      </c>
      <c r="W329" t="s">
        <v>93</v>
      </c>
      <c r="X329" t="s">
        <v>123</v>
      </c>
      <c r="Y329" t="s">
        <v>123</v>
      </c>
      <c r="Z329" t="s">
        <v>95</v>
      </c>
      <c r="AA329">
        <v>175</v>
      </c>
      <c r="AB329" t="s">
        <v>97</v>
      </c>
      <c r="AC329" t="s">
        <v>97</v>
      </c>
      <c r="AD329" t="s">
        <v>117</v>
      </c>
      <c r="AE329" t="s">
        <v>97</v>
      </c>
      <c r="AF329" t="s">
        <v>97</v>
      </c>
      <c r="AG329" t="s">
        <v>99</v>
      </c>
      <c r="AH329" t="s">
        <v>152</v>
      </c>
      <c r="AI329">
        <v>565</v>
      </c>
      <c r="AJ329" t="s">
        <v>101</v>
      </c>
      <c r="AK329">
        <v>0</v>
      </c>
      <c r="AL329">
        <v>818</v>
      </c>
      <c r="AM329">
        <v>1383</v>
      </c>
      <c r="AN329" t="s">
        <v>102</v>
      </c>
      <c r="AO329" t="s">
        <v>97</v>
      </c>
      <c r="AP329" t="s">
        <v>104</v>
      </c>
      <c r="AQ329" t="s">
        <v>105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97</v>
      </c>
      <c r="BC329">
        <v>7</v>
      </c>
      <c r="BD329" t="s">
        <v>106</v>
      </c>
      <c r="BE329">
        <v>0</v>
      </c>
      <c r="BG329" t="s">
        <v>107</v>
      </c>
      <c r="BH329">
        <v>1960</v>
      </c>
      <c r="BI329" t="s">
        <v>108</v>
      </c>
      <c r="BJ329">
        <v>1</v>
      </c>
      <c r="BK329">
        <v>292</v>
      </c>
      <c r="BL329" t="s">
        <v>97</v>
      </c>
      <c r="BM329" t="s">
        <v>97</v>
      </c>
      <c r="BN329" t="s">
        <v>104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X329">
        <v>0</v>
      </c>
      <c r="BY329">
        <v>4</v>
      </c>
      <c r="BZ329">
        <v>2006</v>
      </c>
      <c r="CA329" t="s">
        <v>109</v>
      </c>
      <c r="CB329" t="s">
        <v>110</v>
      </c>
      <c r="CC329">
        <v>145250</v>
      </c>
    </row>
    <row r="330" spans="1:81" x14ac:dyDescent="0.3">
      <c r="A330">
        <v>329</v>
      </c>
      <c r="B330">
        <v>75</v>
      </c>
      <c r="C330" t="s">
        <v>81</v>
      </c>
      <c r="E330">
        <v>11888</v>
      </c>
      <c r="F330" t="s">
        <v>82</v>
      </c>
      <c r="G330" t="s">
        <v>82</v>
      </c>
      <c r="H330" t="s">
        <v>119</v>
      </c>
      <c r="I330" t="s">
        <v>174</v>
      </c>
      <c r="J330" t="s">
        <v>85</v>
      </c>
      <c r="K330" t="s">
        <v>86</v>
      </c>
      <c r="L330" t="s">
        <v>87</v>
      </c>
      <c r="M330" t="s">
        <v>147</v>
      </c>
      <c r="N330" t="s">
        <v>138</v>
      </c>
      <c r="O330" t="s">
        <v>89</v>
      </c>
      <c r="P330" t="s">
        <v>90</v>
      </c>
      <c r="Q330" t="s">
        <v>200</v>
      </c>
      <c r="R330">
        <v>6</v>
      </c>
      <c r="S330">
        <v>6</v>
      </c>
      <c r="T330">
        <v>1916</v>
      </c>
      <c r="U330">
        <v>1994</v>
      </c>
      <c r="V330" t="s">
        <v>92</v>
      </c>
      <c r="W330" t="s">
        <v>93</v>
      </c>
      <c r="X330" t="s">
        <v>123</v>
      </c>
      <c r="Y330" t="s">
        <v>124</v>
      </c>
      <c r="Z330" t="s">
        <v>116</v>
      </c>
      <c r="AA330">
        <v>0</v>
      </c>
      <c r="AB330" t="s">
        <v>97</v>
      </c>
      <c r="AC330" t="s">
        <v>97</v>
      </c>
      <c r="AD330" t="s">
        <v>125</v>
      </c>
      <c r="AE330" t="s">
        <v>97</v>
      </c>
      <c r="AF330" t="s">
        <v>97</v>
      </c>
      <c r="AG330" t="s">
        <v>99</v>
      </c>
      <c r="AH330" t="s">
        <v>101</v>
      </c>
      <c r="AI330">
        <v>0</v>
      </c>
      <c r="AJ330" t="s">
        <v>101</v>
      </c>
      <c r="AK330">
        <v>0</v>
      </c>
      <c r="AL330">
        <v>844</v>
      </c>
      <c r="AM330">
        <v>844</v>
      </c>
      <c r="AN330" t="s">
        <v>102</v>
      </c>
      <c r="AO330" t="s">
        <v>96</v>
      </c>
      <c r="AP330" t="s">
        <v>176</v>
      </c>
      <c r="AQ330" t="s">
        <v>163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96</v>
      </c>
      <c r="BC330">
        <v>10</v>
      </c>
      <c r="BD330" t="s">
        <v>106</v>
      </c>
      <c r="BE330">
        <v>0</v>
      </c>
      <c r="BG330" t="s">
        <v>126</v>
      </c>
      <c r="BH330">
        <v>1930</v>
      </c>
      <c r="BI330" t="s">
        <v>101</v>
      </c>
      <c r="BJ330">
        <v>2</v>
      </c>
      <c r="BK330">
        <v>441</v>
      </c>
      <c r="BL330" t="s">
        <v>97</v>
      </c>
      <c r="BM330" t="s">
        <v>97</v>
      </c>
      <c r="BN330" t="s">
        <v>104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X330">
        <v>0</v>
      </c>
      <c r="BY330">
        <v>7</v>
      </c>
      <c r="BZ330">
        <v>2009</v>
      </c>
      <c r="CA330" t="s">
        <v>109</v>
      </c>
      <c r="CB330" t="s">
        <v>110</v>
      </c>
      <c r="CC330">
        <v>214500</v>
      </c>
    </row>
    <row r="331" spans="1:81" x14ac:dyDescent="0.3">
      <c r="A331">
        <v>330</v>
      </c>
      <c r="B331">
        <v>70</v>
      </c>
      <c r="C331" t="s">
        <v>141</v>
      </c>
      <c r="D331">
        <v>60</v>
      </c>
      <c r="E331">
        <v>6402</v>
      </c>
      <c r="F331" t="s">
        <v>82</v>
      </c>
      <c r="H331" t="s">
        <v>83</v>
      </c>
      <c r="I331" t="s">
        <v>84</v>
      </c>
      <c r="J331" t="s">
        <v>85</v>
      </c>
      <c r="K331" t="s">
        <v>121</v>
      </c>
      <c r="L331" t="s">
        <v>87</v>
      </c>
      <c r="M331" t="s">
        <v>175</v>
      </c>
      <c r="N331" t="s">
        <v>89</v>
      </c>
      <c r="O331" t="s">
        <v>89</v>
      </c>
      <c r="P331" t="s">
        <v>90</v>
      </c>
      <c r="Q331" t="s">
        <v>91</v>
      </c>
      <c r="R331">
        <v>5</v>
      </c>
      <c r="S331">
        <v>5</v>
      </c>
      <c r="T331">
        <v>1920</v>
      </c>
      <c r="U331">
        <v>1950</v>
      </c>
      <c r="V331" t="s">
        <v>92</v>
      </c>
      <c r="W331" t="s">
        <v>93</v>
      </c>
      <c r="X331" t="s">
        <v>123</v>
      </c>
      <c r="Y331" t="s">
        <v>124</v>
      </c>
      <c r="Z331" t="s">
        <v>116</v>
      </c>
      <c r="AA331">
        <v>0</v>
      </c>
      <c r="AB331" t="s">
        <v>97</v>
      </c>
      <c r="AC331" t="s">
        <v>97</v>
      </c>
      <c r="AD331" t="s">
        <v>98</v>
      </c>
      <c r="AE331" t="s">
        <v>97</v>
      </c>
      <c r="AF331" t="s">
        <v>97</v>
      </c>
      <c r="AG331" t="s">
        <v>120</v>
      </c>
      <c r="AH331" t="s">
        <v>101</v>
      </c>
      <c r="AI331">
        <v>0</v>
      </c>
      <c r="AJ331" t="s">
        <v>101</v>
      </c>
      <c r="AK331">
        <v>0</v>
      </c>
      <c r="AL331">
        <v>596</v>
      </c>
      <c r="AM331">
        <v>596</v>
      </c>
      <c r="AN331" t="s">
        <v>102</v>
      </c>
      <c r="AO331" t="s">
        <v>97</v>
      </c>
      <c r="AP331" t="s">
        <v>176</v>
      </c>
      <c r="AQ331" t="s">
        <v>105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97</v>
      </c>
      <c r="BC331">
        <v>6</v>
      </c>
      <c r="BD331" t="s">
        <v>106</v>
      </c>
      <c r="BE331">
        <v>0</v>
      </c>
      <c r="BG331" t="s">
        <v>126</v>
      </c>
      <c r="BH331">
        <v>1920</v>
      </c>
      <c r="BI331" t="s">
        <v>101</v>
      </c>
      <c r="BJ331">
        <v>1</v>
      </c>
      <c r="BK331">
        <v>189</v>
      </c>
      <c r="BL331" t="s">
        <v>146</v>
      </c>
      <c r="BM331" t="s">
        <v>146</v>
      </c>
      <c r="BN331" t="s">
        <v>176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V331" t="s">
        <v>162</v>
      </c>
      <c r="BX331">
        <v>0</v>
      </c>
      <c r="BY331">
        <v>7</v>
      </c>
      <c r="BZ331">
        <v>2009</v>
      </c>
      <c r="CA331" t="s">
        <v>109</v>
      </c>
      <c r="CB331" t="s">
        <v>110</v>
      </c>
      <c r="CC331">
        <v>78000</v>
      </c>
    </row>
    <row r="332" spans="1:81" x14ac:dyDescent="0.3">
      <c r="A332">
        <v>331</v>
      </c>
      <c r="B332">
        <v>90</v>
      </c>
      <c r="C332" t="s">
        <v>81</v>
      </c>
      <c r="E332">
        <v>10624</v>
      </c>
      <c r="F332" t="s">
        <v>82</v>
      </c>
      <c r="H332" t="s">
        <v>119</v>
      </c>
      <c r="I332" t="s">
        <v>84</v>
      </c>
      <c r="J332" t="s">
        <v>85</v>
      </c>
      <c r="K332" t="s">
        <v>86</v>
      </c>
      <c r="L332" t="s">
        <v>87</v>
      </c>
      <c r="M332" t="s">
        <v>270</v>
      </c>
      <c r="N332" t="s">
        <v>89</v>
      </c>
      <c r="O332" t="s">
        <v>89</v>
      </c>
      <c r="P332" t="s">
        <v>166</v>
      </c>
      <c r="Q332" t="s">
        <v>114</v>
      </c>
      <c r="R332">
        <v>5</v>
      </c>
      <c r="S332">
        <v>4</v>
      </c>
      <c r="T332">
        <v>1964</v>
      </c>
      <c r="U332">
        <v>1964</v>
      </c>
      <c r="V332" t="s">
        <v>92</v>
      </c>
      <c r="W332" t="s">
        <v>93</v>
      </c>
      <c r="X332" t="s">
        <v>139</v>
      </c>
      <c r="Y332" t="s">
        <v>139</v>
      </c>
      <c r="Z332" t="s">
        <v>95</v>
      </c>
      <c r="AA332">
        <v>84</v>
      </c>
      <c r="AB332" t="s">
        <v>97</v>
      </c>
      <c r="AC332" t="s">
        <v>97</v>
      </c>
      <c r="AD332" t="s">
        <v>117</v>
      </c>
      <c r="AE332" t="s">
        <v>97</v>
      </c>
      <c r="AF332" t="s">
        <v>97</v>
      </c>
      <c r="AG332" t="s">
        <v>99</v>
      </c>
      <c r="AH332" t="s">
        <v>100</v>
      </c>
      <c r="AI332">
        <v>40</v>
      </c>
      <c r="AJ332" t="s">
        <v>152</v>
      </c>
      <c r="AK332">
        <v>264</v>
      </c>
      <c r="AL332">
        <v>1424</v>
      </c>
      <c r="AM332">
        <v>1728</v>
      </c>
      <c r="AN332" t="s">
        <v>102</v>
      </c>
      <c r="AO332" t="s">
        <v>97</v>
      </c>
      <c r="AP332" t="s">
        <v>104</v>
      </c>
      <c r="AQ332" t="s">
        <v>105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97</v>
      </c>
      <c r="BC332">
        <v>10</v>
      </c>
      <c r="BD332" t="s">
        <v>106</v>
      </c>
      <c r="BE332">
        <v>0</v>
      </c>
      <c r="BG332" t="s">
        <v>126</v>
      </c>
      <c r="BH332">
        <v>2002</v>
      </c>
      <c r="BI332" t="s">
        <v>101</v>
      </c>
      <c r="BJ332">
        <v>1</v>
      </c>
      <c r="BK332">
        <v>352</v>
      </c>
      <c r="BL332" t="s">
        <v>97</v>
      </c>
      <c r="BM332" t="s">
        <v>97</v>
      </c>
      <c r="BN332" t="s">
        <v>104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X332">
        <v>0</v>
      </c>
      <c r="BY332">
        <v>11</v>
      </c>
      <c r="BZ332">
        <v>2007</v>
      </c>
      <c r="CA332" t="s">
        <v>109</v>
      </c>
      <c r="CB332" t="s">
        <v>110</v>
      </c>
      <c r="CC332">
        <v>119000</v>
      </c>
    </row>
    <row r="333" spans="1:81" x14ac:dyDescent="0.3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H333" t="s">
        <v>83</v>
      </c>
      <c r="I333" t="s">
        <v>84</v>
      </c>
      <c r="J333" t="s">
        <v>85</v>
      </c>
      <c r="K333" t="s">
        <v>86</v>
      </c>
      <c r="L333" t="s">
        <v>87</v>
      </c>
      <c r="M333" t="s">
        <v>270</v>
      </c>
      <c r="N333" t="s">
        <v>89</v>
      </c>
      <c r="O333" t="s">
        <v>89</v>
      </c>
      <c r="P333" t="s">
        <v>90</v>
      </c>
      <c r="Q333" t="s">
        <v>114</v>
      </c>
      <c r="R333">
        <v>5</v>
      </c>
      <c r="S333">
        <v>6</v>
      </c>
      <c r="T333">
        <v>1958</v>
      </c>
      <c r="U333">
        <v>1992</v>
      </c>
      <c r="V333" t="s">
        <v>92</v>
      </c>
      <c r="W333" t="s">
        <v>93</v>
      </c>
      <c r="X333" t="s">
        <v>123</v>
      </c>
      <c r="Y333" t="s">
        <v>123</v>
      </c>
      <c r="Z333" t="s">
        <v>116</v>
      </c>
      <c r="AA333">
        <v>0</v>
      </c>
      <c r="AB333" t="s">
        <v>97</v>
      </c>
      <c r="AC333" t="s">
        <v>97</v>
      </c>
      <c r="AD333" t="s">
        <v>117</v>
      </c>
      <c r="AE333" t="s">
        <v>97</v>
      </c>
      <c r="AF333" t="s">
        <v>97</v>
      </c>
      <c r="AG333" t="s">
        <v>99</v>
      </c>
      <c r="AH333" t="s">
        <v>152</v>
      </c>
      <c r="AI333">
        <v>846</v>
      </c>
      <c r="AJ333" t="s">
        <v>101</v>
      </c>
      <c r="AK333">
        <v>0</v>
      </c>
      <c r="AL333">
        <v>210</v>
      </c>
      <c r="AM333">
        <v>1056</v>
      </c>
      <c r="AN333" t="s">
        <v>102</v>
      </c>
      <c r="AO333" t="s">
        <v>146</v>
      </c>
      <c r="AP333" t="s">
        <v>104</v>
      </c>
      <c r="AQ333" t="s">
        <v>105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97</v>
      </c>
      <c r="BC333">
        <v>6</v>
      </c>
      <c r="BD333" t="s">
        <v>106</v>
      </c>
      <c r="BE333">
        <v>0</v>
      </c>
      <c r="BG333" t="s">
        <v>107</v>
      </c>
      <c r="BH333">
        <v>1958</v>
      </c>
      <c r="BI333" t="s">
        <v>108</v>
      </c>
      <c r="BJ333">
        <v>1</v>
      </c>
      <c r="BK333">
        <v>308</v>
      </c>
      <c r="BL333" t="s">
        <v>97</v>
      </c>
      <c r="BM333" t="s">
        <v>97</v>
      </c>
      <c r="BN333" t="s">
        <v>104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X333">
        <v>0</v>
      </c>
      <c r="BY333">
        <v>8</v>
      </c>
      <c r="BZ333">
        <v>2007</v>
      </c>
      <c r="CA333" t="s">
        <v>109</v>
      </c>
      <c r="CB333" t="s">
        <v>110</v>
      </c>
      <c r="CC333">
        <v>139000</v>
      </c>
    </row>
    <row r="334" spans="1:81" x14ac:dyDescent="0.3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H334" t="s">
        <v>119</v>
      </c>
      <c r="I334" t="s">
        <v>84</v>
      </c>
      <c r="J334" t="s">
        <v>85</v>
      </c>
      <c r="K334" t="s">
        <v>86</v>
      </c>
      <c r="L334" t="s">
        <v>87</v>
      </c>
      <c r="M334" t="s">
        <v>153</v>
      </c>
      <c r="N334" t="s">
        <v>89</v>
      </c>
      <c r="O334" t="s">
        <v>89</v>
      </c>
      <c r="P334" t="s">
        <v>90</v>
      </c>
      <c r="Q334" t="s">
        <v>114</v>
      </c>
      <c r="R334">
        <v>8</v>
      </c>
      <c r="S334">
        <v>5</v>
      </c>
      <c r="T334">
        <v>2003</v>
      </c>
      <c r="U334">
        <v>2004</v>
      </c>
      <c r="V334" t="s">
        <v>92</v>
      </c>
      <c r="W334" t="s">
        <v>93</v>
      </c>
      <c r="X334" t="s">
        <v>94</v>
      </c>
      <c r="Y334" t="s">
        <v>94</v>
      </c>
      <c r="Z334" t="s">
        <v>95</v>
      </c>
      <c r="AA334">
        <v>296</v>
      </c>
      <c r="AB334" t="s">
        <v>96</v>
      </c>
      <c r="AC334" t="s">
        <v>97</v>
      </c>
      <c r="AD334" t="s">
        <v>98</v>
      </c>
      <c r="AE334" t="s">
        <v>96</v>
      </c>
      <c r="AF334" t="s">
        <v>97</v>
      </c>
      <c r="AG334" t="s">
        <v>99</v>
      </c>
      <c r="AH334" t="s">
        <v>100</v>
      </c>
      <c r="AI334">
        <v>1124</v>
      </c>
      <c r="AK334">
        <v>479</v>
      </c>
      <c r="AL334">
        <v>1603</v>
      </c>
      <c r="AM334">
        <v>3206</v>
      </c>
      <c r="AN334" t="s">
        <v>102</v>
      </c>
      <c r="AO334" t="s">
        <v>103</v>
      </c>
      <c r="AP334" t="s">
        <v>104</v>
      </c>
      <c r="AQ334" t="s">
        <v>105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96</v>
      </c>
      <c r="BC334">
        <v>7</v>
      </c>
      <c r="BD334" t="s">
        <v>106</v>
      </c>
      <c r="BE334">
        <v>1</v>
      </c>
      <c r="BF334" t="s">
        <v>96</v>
      </c>
      <c r="BG334" t="s">
        <v>107</v>
      </c>
      <c r="BH334">
        <v>2003</v>
      </c>
      <c r="BI334" t="s">
        <v>108</v>
      </c>
      <c r="BJ334">
        <v>3</v>
      </c>
      <c r="BK334">
        <v>880</v>
      </c>
      <c r="BL334" t="s">
        <v>97</v>
      </c>
      <c r="BM334" t="s">
        <v>97</v>
      </c>
      <c r="BN334" t="s">
        <v>104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X334">
        <v>0</v>
      </c>
      <c r="BY334">
        <v>10</v>
      </c>
      <c r="BZ334">
        <v>2009</v>
      </c>
      <c r="CA334" t="s">
        <v>109</v>
      </c>
      <c r="CB334" t="s">
        <v>110</v>
      </c>
      <c r="CC334">
        <v>284000</v>
      </c>
    </row>
    <row r="335" spans="1:81" x14ac:dyDescent="0.3">
      <c r="A335">
        <v>334</v>
      </c>
      <c r="B335">
        <v>120</v>
      </c>
      <c r="C335" t="s">
        <v>141</v>
      </c>
      <c r="D335">
        <v>59</v>
      </c>
      <c r="E335">
        <v>8198</v>
      </c>
      <c r="F335" t="s">
        <v>82</v>
      </c>
      <c r="H335" t="s">
        <v>83</v>
      </c>
      <c r="I335" t="s">
        <v>84</v>
      </c>
      <c r="J335" t="s">
        <v>85</v>
      </c>
      <c r="K335" t="s">
        <v>237</v>
      </c>
      <c r="L335" t="s">
        <v>87</v>
      </c>
      <c r="M335" t="s">
        <v>153</v>
      </c>
      <c r="N335" t="s">
        <v>89</v>
      </c>
      <c r="O335" t="s">
        <v>89</v>
      </c>
      <c r="P335" t="s">
        <v>178</v>
      </c>
      <c r="Q335" t="s">
        <v>114</v>
      </c>
      <c r="R335">
        <v>7</v>
      </c>
      <c r="S335">
        <v>5</v>
      </c>
      <c r="T335">
        <v>2004</v>
      </c>
      <c r="U335">
        <v>2004</v>
      </c>
      <c r="V335" t="s">
        <v>92</v>
      </c>
      <c r="W335" t="s">
        <v>93</v>
      </c>
      <c r="X335" t="s">
        <v>94</v>
      </c>
      <c r="Y335" t="s">
        <v>94</v>
      </c>
      <c r="Z335" t="s">
        <v>136</v>
      </c>
      <c r="AA335">
        <v>146</v>
      </c>
      <c r="AB335" t="s">
        <v>96</v>
      </c>
      <c r="AC335" t="s">
        <v>97</v>
      </c>
      <c r="AD335" t="s">
        <v>98</v>
      </c>
      <c r="AE335" t="s">
        <v>96</v>
      </c>
      <c r="AF335" t="s">
        <v>97</v>
      </c>
      <c r="AG335" t="s">
        <v>129</v>
      </c>
      <c r="AH335" t="s">
        <v>100</v>
      </c>
      <c r="AI335">
        <v>720</v>
      </c>
      <c r="AJ335" t="s">
        <v>101</v>
      </c>
      <c r="AK335">
        <v>0</v>
      </c>
      <c r="AL335">
        <v>638</v>
      </c>
      <c r="AM335">
        <v>1358</v>
      </c>
      <c r="AN335" t="s">
        <v>102</v>
      </c>
      <c r="AO335" t="s">
        <v>103</v>
      </c>
      <c r="AP335" t="s">
        <v>104</v>
      </c>
      <c r="AQ335" t="s">
        <v>105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96</v>
      </c>
      <c r="BC335">
        <v>6</v>
      </c>
      <c r="BD335" t="s">
        <v>106</v>
      </c>
      <c r="BE335">
        <v>1</v>
      </c>
      <c r="BF335" t="s">
        <v>96</v>
      </c>
      <c r="BG335" t="s">
        <v>107</v>
      </c>
      <c r="BH335">
        <v>2004</v>
      </c>
      <c r="BI335" t="s">
        <v>108</v>
      </c>
      <c r="BJ335">
        <v>2</v>
      </c>
      <c r="BK335">
        <v>484</v>
      </c>
      <c r="BL335" t="s">
        <v>97</v>
      </c>
      <c r="BM335" t="s">
        <v>97</v>
      </c>
      <c r="BN335" t="s">
        <v>104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X335">
        <v>0</v>
      </c>
      <c r="BY335">
        <v>7</v>
      </c>
      <c r="BZ335">
        <v>2008</v>
      </c>
      <c r="CA335" t="s">
        <v>109</v>
      </c>
      <c r="CB335" t="s">
        <v>110</v>
      </c>
      <c r="CC335">
        <v>207000</v>
      </c>
    </row>
    <row r="336" spans="1:81" x14ac:dyDescent="0.3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H336" t="s">
        <v>119</v>
      </c>
      <c r="I336" t="s">
        <v>84</v>
      </c>
      <c r="J336" t="s">
        <v>85</v>
      </c>
      <c r="K336" t="s">
        <v>86</v>
      </c>
      <c r="L336" t="s">
        <v>87</v>
      </c>
      <c r="M336" t="s">
        <v>192</v>
      </c>
      <c r="N336" t="s">
        <v>89</v>
      </c>
      <c r="O336" t="s">
        <v>89</v>
      </c>
      <c r="P336" t="s">
        <v>90</v>
      </c>
      <c r="Q336" t="s">
        <v>91</v>
      </c>
      <c r="R336">
        <v>6</v>
      </c>
      <c r="S336">
        <v>5</v>
      </c>
      <c r="T336">
        <v>1998</v>
      </c>
      <c r="U336">
        <v>1998</v>
      </c>
      <c r="V336" t="s">
        <v>92</v>
      </c>
      <c r="W336" t="s">
        <v>93</v>
      </c>
      <c r="X336" t="s">
        <v>94</v>
      </c>
      <c r="Y336" t="s">
        <v>94</v>
      </c>
      <c r="Z336" t="s">
        <v>116</v>
      </c>
      <c r="AA336">
        <v>0</v>
      </c>
      <c r="AB336" t="s">
        <v>97</v>
      </c>
      <c r="AC336" t="s">
        <v>97</v>
      </c>
      <c r="AD336" t="s">
        <v>98</v>
      </c>
      <c r="AE336" t="s">
        <v>96</v>
      </c>
      <c r="AF336" t="s">
        <v>97</v>
      </c>
      <c r="AG336" t="s">
        <v>96</v>
      </c>
      <c r="AH336" t="s">
        <v>100</v>
      </c>
      <c r="AI336">
        <v>828</v>
      </c>
      <c r="AJ336" t="s">
        <v>101</v>
      </c>
      <c r="AK336">
        <v>0</v>
      </c>
      <c r="AL336">
        <v>115</v>
      </c>
      <c r="AM336">
        <v>943</v>
      </c>
      <c r="AN336" t="s">
        <v>102</v>
      </c>
      <c r="AO336" t="s">
        <v>96</v>
      </c>
      <c r="AP336" t="s">
        <v>104</v>
      </c>
      <c r="AQ336" t="s">
        <v>105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97</v>
      </c>
      <c r="BC336">
        <v>7</v>
      </c>
      <c r="BD336" t="s">
        <v>106</v>
      </c>
      <c r="BE336">
        <v>2</v>
      </c>
      <c r="BF336" t="s">
        <v>97</v>
      </c>
      <c r="BG336" t="s">
        <v>107</v>
      </c>
      <c r="BH336">
        <v>1998</v>
      </c>
      <c r="BI336" t="s">
        <v>156</v>
      </c>
      <c r="BJ336">
        <v>2</v>
      </c>
      <c r="BK336">
        <v>472</v>
      </c>
      <c r="BL336" t="s">
        <v>97</v>
      </c>
      <c r="BM336" t="s">
        <v>97</v>
      </c>
      <c r="BN336" t="s">
        <v>104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X336">
        <v>0</v>
      </c>
      <c r="BY336">
        <v>7</v>
      </c>
      <c r="BZ336">
        <v>2008</v>
      </c>
      <c r="CA336" t="s">
        <v>109</v>
      </c>
      <c r="CB336" t="s">
        <v>110</v>
      </c>
      <c r="CC336">
        <v>192000</v>
      </c>
    </row>
    <row r="337" spans="1:81" x14ac:dyDescent="0.3">
      <c r="A337">
        <v>336</v>
      </c>
      <c r="B337">
        <v>190</v>
      </c>
      <c r="C337" t="s">
        <v>81</v>
      </c>
      <c r="E337">
        <v>164660</v>
      </c>
      <c r="F337" t="s">
        <v>173</v>
      </c>
      <c r="H337" t="s">
        <v>119</v>
      </c>
      <c r="I337" t="s">
        <v>198</v>
      </c>
      <c r="J337" t="s">
        <v>85</v>
      </c>
      <c r="K337" t="s">
        <v>121</v>
      </c>
      <c r="L337" t="s">
        <v>212</v>
      </c>
      <c r="M337" t="s">
        <v>188</v>
      </c>
      <c r="N337" t="s">
        <v>89</v>
      </c>
      <c r="O337" t="s">
        <v>89</v>
      </c>
      <c r="P337" t="s">
        <v>148</v>
      </c>
      <c r="Q337" t="s">
        <v>131</v>
      </c>
      <c r="R337">
        <v>5</v>
      </c>
      <c r="S337">
        <v>6</v>
      </c>
      <c r="T337">
        <v>1965</v>
      </c>
      <c r="U337">
        <v>1965</v>
      </c>
      <c r="V337" t="s">
        <v>92</v>
      </c>
      <c r="W337" t="s">
        <v>93</v>
      </c>
      <c r="X337" t="s">
        <v>160</v>
      </c>
      <c r="Y337" t="s">
        <v>160</v>
      </c>
      <c r="Z337" t="s">
        <v>116</v>
      </c>
      <c r="AA337">
        <v>0</v>
      </c>
      <c r="AB337" t="s">
        <v>97</v>
      </c>
      <c r="AC337" t="s">
        <v>97</v>
      </c>
      <c r="AD337" t="s">
        <v>117</v>
      </c>
      <c r="AE337" t="s">
        <v>97</v>
      </c>
      <c r="AF337" t="s">
        <v>97</v>
      </c>
      <c r="AG337" t="s">
        <v>96</v>
      </c>
      <c r="AH337" t="s">
        <v>118</v>
      </c>
      <c r="AI337">
        <v>1249</v>
      </c>
      <c r="AJ337" t="s">
        <v>140</v>
      </c>
      <c r="AK337">
        <v>147</v>
      </c>
      <c r="AL337">
        <v>103</v>
      </c>
      <c r="AM337">
        <v>1499</v>
      </c>
      <c r="AN337" t="s">
        <v>102</v>
      </c>
      <c r="AO337" t="s">
        <v>103</v>
      </c>
      <c r="AP337" t="s">
        <v>104</v>
      </c>
      <c r="AQ337" t="s">
        <v>105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97</v>
      </c>
      <c r="BC337">
        <v>7</v>
      </c>
      <c r="BD337" t="s">
        <v>106</v>
      </c>
      <c r="BE337">
        <v>2</v>
      </c>
      <c r="BF337" t="s">
        <v>96</v>
      </c>
      <c r="BG337" t="s">
        <v>107</v>
      </c>
      <c r="BH337">
        <v>1965</v>
      </c>
      <c r="BI337" t="s">
        <v>156</v>
      </c>
      <c r="BJ337">
        <v>2</v>
      </c>
      <c r="BK337">
        <v>529</v>
      </c>
      <c r="BL337" t="s">
        <v>97</v>
      </c>
      <c r="BM337" t="s">
        <v>97</v>
      </c>
      <c r="BN337" t="s">
        <v>104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W337" t="s">
        <v>134</v>
      </c>
      <c r="BX337">
        <v>700</v>
      </c>
      <c r="BY337">
        <v>8</v>
      </c>
      <c r="BZ337">
        <v>2008</v>
      </c>
      <c r="CA337" t="s">
        <v>109</v>
      </c>
      <c r="CB337" t="s">
        <v>110</v>
      </c>
      <c r="CC337">
        <v>228950</v>
      </c>
    </row>
    <row r="338" spans="1:81" x14ac:dyDescent="0.3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H338" t="s">
        <v>119</v>
      </c>
      <c r="I338" t="s">
        <v>198</v>
      </c>
      <c r="J338" t="s">
        <v>85</v>
      </c>
      <c r="K338" t="s">
        <v>121</v>
      </c>
      <c r="L338" t="s">
        <v>87</v>
      </c>
      <c r="M338" t="s">
        <v>199</v>
      </c>
      <c r="N338" t="s">
        <v>89</v>
      </c>
      <c r="O338" t="s">
        <v>89</v>
      </c>
      <c r="P338" t="s">
        <v>90</v>
      </c>
      <c r="Q338" t="s">
        <v>114</v>
      </c>
      <c r="R338">
        <v>9</v>
      </c>
      <c r="S338">
        <v>5</v>
      </c>
      <c r="T338">
        <v>2005</v>
      </c>
      <c r="U338">
        <v>2006</v>
      </c>
      <c r="V338" t="s">
        <v>151</v>
      </c>
      <c r="W338" t="s">
        <v>93</v>
      </c>
      <c r="X338" t="s">
        <v>94</v>
      </c>
      <c r="Y338" t="s">
        <v>94</v>
      </c>
      <c r="Z338" t="s">
        <v>136</v>
      </c>
      <c r="AA338">
        <v>200</v>
      </c>
      <c r="AB338" t="s">
        <v>96</v>
      </c>
      <c r="AC338" t="s">
        <v>97</v>
      </c>
      <c r="AD338" t="s">
        <v>98</v>
      </c>
      <c r="AE338" t="s">
        <v>103</v>
      </c>
      <c r="AF338" t="s">
        <v>97</v>
      </c>
      <c r="AG338" t="s">
        <v>96</v>
      </c>
      <c r="AH338" t="s">
        <v>100</v>
      </c>
      <c r="AI338">
        <v>1249</v>
      </c>
      <c r="AJ338" t="s">
        <v>101</v>
      </c>
      <c r="AK338">
        <v>0</v>
      </c>
      <c r="AL338">
        <v>673</v>
      </c>
      <c r="AM338">
        <v>1922</v>
      </c>
      <c r="AN338" t="s">
        <v>102</v>
      </c>
      <c r="AO338" t="s">
        <v>103</v>
      </c>
      <c r="AP338" t="s">
        <v>104</v>
      </c>
      <c r="AQ338" t="s">
        <v>105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96</v>
      </c>
      <c r="BC338">
        <v>8</v>
      </c>
      <c r="BD338" t="s">
        <v>106</v>
      </c>
      <c r="BE338">
        <v>1</v>
      </c>
      <c r="BF338" t="s">
        <v>96</v>
      </c>
      <c r="BG338" t="s">
        <v>107</v>
      </c>
      <c r="BH338">
        <v>2005</v>
      </c>
      <c r="BI338" t="s">
        <v>156</v>
      </c>
      <c r="BJ338">
        <v>3</v>
      </c>
      <c r="BK338">
        <v>676</v>
      </c>
      <c r="BL338" t="s">
        <v>97</v>
      </c>
      <c r="BM338" t="s">
        <v>97</v>
      </c>
      <c r="BN338" t="s">
        <v>104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X338">
        <v>0</v>
      </c>
      <c r="BY338">
        <v>7</v>
      </c>
      <c r="BZ338">
        <v>2007</v>
      </c>
      <c r="CA338" t="s">
        <v>109</v>
      </c>
      <c r="CB338" t="s">
        <v>110</v>
      </c>
      <c r="CC338">
        <v>377426</v>
      </c>
    </row>
    <row r="339" spans="1:81" x14ac:dyDescent="0.3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H339" t="s">
        <v>83</v>
      </c>
      <c r="I339" t="s">
        <v>84</v>
      </c>
      <c r="J339" t="s">
        <v>85</v>
      </c>
      <c r="K339" t="s">
        <v>86</v>
      </c>
      <c r="L339" t="s">
        <v>87</v>
      </c>
      <c r="M339" t="s">
        <v>88</v>
      </c>
      <c r="N339" t="s">
        <v>89</v>
      </c>
      <c r="O339" t="s">
        <v>89</v>
      </c>
      <c r="P339" t="s">
        <v>90</v>
      </c>
      <c r="Q339" t="s">
        <v>114</v>
      </c>
      <c r="R339">
        <v>7</v>
      </c>
      <c r="S339">
        <v>5</v>
      </c>
      <c r="T339">
        <v>2002</v>
      </c>
      <c r="U339">
        <v>2003</v>
      </c>
      <c r="V339" t="s">
        <v>92</v>
      </c>
      <c r="W339" t="s">
        <v>93</v>
      </c>
      <c r="X339" t="s">
        <v>94</v>
      </c>
      <c r="Y339" t="s">
        <v>94</v>
      </c>
      <c r="Z339" t="s">
        <v>95</v>
      </c>
      <c r="AA339">
        <v>113</v>
      </c>
      <c r="AB339" t="s">
        <v>96</v>
      </c>
      <c r="AC339" t="s">
        <v>97</v>
      </c>
      <c r="AD339" t="s">
        <v>98</v>
      </c>
      <c r="AE339" t="s">
        <v>96</v>
      </c>
      <c r="AF339" t="s">
        <v>97</v>
      </c>
      <c r="AG339" t="s">
        <v>129</v>
      </c>
      <c r="AH339" t="s">
        <v>100</v>
      </c>
      <c r="AI339">
        <v>810</v>
      </c>
      <c r="AJ339" t="s">
        <v>101</v>
      </c>
      <c r="AK339">
        <v>0</v>
      </c>
      <c r="AL339">
        <v>726</v>
      </c>
      <c r="AM339">
        <v>1536</v>
      </c>
      <c r="AN339" t="s">
        <v>102</v>
      </c>
      <c r="AO339" t="s">
        <v>103</v>
      </c>
      <c r="AP339" t="s">
        <v>104</v>
      </c>
      <c r="AQ339" t="s">
        <v>105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96</v>
      </c>
      <c r="BC339">
        <v>7</v>
      </c>
      <c r="BD339" t="s">
        <v>106</v>
      </c>
      <c r="BE339">
        <v>0</v>
      </c>
      <c r="BG339" t="s">
        <v>107</v>
      </c>
      <c r="BH339">
        <v>2002</v>
      </c>
      <c r="BI339" t="s">
        <v>108</v>
      </c>
      <c r="BJ339">
        <v>2</v>
      </c>
      <c r="BK339">
        <v>532</v>
      </c>
      <c r="BL339" t="s">
        <v>97</v>
      </c>
      <c r="BM339" t="s">
        <v>97</v>
      </c>
      <c r="BN339" t="s">
        <v>104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X339">
        <v>0</v>
      </c>
      <c r="BY339">
        <v>12</v>
      </c>
      <c r="BZ339">
        <v>2008</v>
      </c>
      <c r="CA339" t="s">
        <v>109</v>
      </c>
      <c r="CB339" t="s">
        <v>110</v>
      </c>
      <c r="CC339">
        <v>214000</v>
      </c>
    </row>
    <row r="340" spans="1:81" x14ac:dyDescent="0.3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H340" t="s">
        <v>83</v>
      </c>
      <c r="I340" t="s">
        <v>84</v>
      </c>
      <c r="J340" t="s">
        <v>85</v>
      </c>
      <c r="K340" t="s">
        <v>121</v>
      </c>
      <c r="L340" t="s">
        <v>87</v>
      </c>
      <c r="M340" t="s">
        <v>137</v>
      </c>
      <c r="N340" t="s">
        <v>89</v>
      </c>
      <c r="O340" t="s">
        <v>89</v>
      </c>
      <c r="P340" t="s">
        <v>90</v>
      </c>
      <c r="Q340" t="s">
        <v>114</v>
      </c>
      <c r="R340">
        <v>7</v>
      </c>
      <c r="S340">
        <v>7</v>
      </c>
      <c r="T340">
        <v>1984</v>
      </c>
      <c r="U340">
        <v>1998</v>
      </c>
      <c r="V340" t="s">
        <v>92</v>
      </c>
      <c r="W340" t="s">
        <v>93</v>
      </c>
      <c r="X340" t="s">
        <v>123</v>
      </c>
      <c r="Y340" t="s">
        <v>123</v>
      </c>
      <c r="Z340" t="s">
        <v>116</v>
      </c>
      <c r="AA340">
        <v>0</v>
      </c>
      <c r="AB340" t="s">
        <v>96</v>
      </c>
      <c r="AC340" t="s">
        <v>97</v>
      </c>
      <c r="AD340" t="s">
        <v>117</v>
      </c>
      <c r="AE340" t="s">
        <v>96</v>
      </c>
      <c r="AF340" t="s">
        <v>97</v>
      </c>
      <c r="AG340" t="s">
        <v>120</v>
      </c>
      <c r="AH340" t="s">
        <v>118</v>
      </c>
      <c r="AI340">
        <v>213</v>
      </c>
      <c r="AJ340" t="s">
        <v>101</v>
      </c>
      <c r="AK340">
        <v>0</v>
      </c>
      <c r="AL340">
        <v>995</v>
      </c>
      <c r="AM340">
        <v>1208</v>
      </c>
      <c r="AN340" t="s">
        <v>102</v>
      </c>
      <c r="AO340" t="s">
        <v>103</v>
      </c>
      <c r="AP340" t="s">
        <v>104</v>
      </c>
      <c r="AQ340" t="s">
        <v>105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96</v>
      </c>
      <c r="BC340">
        <v>8</v>
      </c>
      <c r="BD340" t="s">
        <v>106</v>
      </c>
      <c r="BE340">
        <v>0</v>
      </c>
      <c r="BG340" t="s">
        <v>107</v>
      </c>
      <c r="BH340">
        <v>1984</v>
      </c>
      <c r="BI340" t="s">
        <v>108</v>
      </c>
      <c r="BJ340">
        <v>2</v>
      </c>
      <c r="BK340">
        <v>440</v>
      </c>
      <c r="BL340" t="s">
        <v>97</v>
      </c>
      <c r="BM340" t="s">
        <v>97</v>
      </c>
      <c r="BN340" t="s">
        <v>104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W340" t="s">
        <v>134</v>
      </c>
      <c r="BX340">
        <v>400</v>
      </c>
      <c r="BY340">
        <v>5</v>
      </c>
      <c r="BZ340">
        <v>2006</v>
      </c>
      <c r="CA340" t="s">
        <v>109</v>
      </c>
      <c r="CB340" t="s">
        <v>110</v>
      </c>
      <c r="CC340">
        <v>202500</v>
      </c>
    </row>
    <row r="341" spans="1:81" x14ac:dyDescent="0.3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H341" t="s">
        <v>119</v>
      </c>
      <c r="I341" t="s">
        <v>84</v>
      </c>
      <c r="J341" t="s">
        <v>85</v>
      </c>
      <c r="K341" t="s">
        <v>86</v>
      </c>
      <c r="L341" t="s">
        <v>87</v>
      </c>
      <c r="M341" t="s">
        <v>270</v>
      </c>
      <c r="N341" t="s">
        <v>113</v>
      </c>
      <c r="O341" t="s">
        <v>89</v>
      </c>
      <c r="P341" t="s">
        <v>90</v>
      </c>
      <c r="Q341" t="s">
        <v>114</v>
      </c>
      <c r="R341">
        <v>6</v>
      </c>
      <c r="S341">
        <v>7</v>
      </c>
      <c r="T341">
        <v>1958</v>
      </c>
      <c r="U341">
        <v>1998</v>
      </c>
      <c r="V341" t="s">
        <v>151</v>
      </c>
      <c r="W341" t="s">
        <v>93</v>
      </c>
      <c r="X341" t="s">
        <v>123</v>
      </c>
      <c r="Y341" t="s">
        <v>123</v>
      </c>
      <c r="Z341" t="s">
        <v>95</v>
      </c>
      <c r="AA341">
        <v>176</v>
      </c>
      <c r="AB341" t="s">
        <v>97</v>
      </c>
      <c r="AC341" t="s">
        <v>97</v>
      </c>
      <c r="AD341" t="s">
        <v>117</v>
      </c>
      <c r="AE341" t="s">
        <v>97</v>
      </c>
      <c r="AF341" t="s">
        <v>146</v>
      </c>
      <c r="AG341" t="s">
        <v>99</v>
      </c>
      <c r="AH341" t="s">
        <v>152</v>
      </c>
      <c r="AI341">
        <v>585</v>
      </c>
      <c r="AJ341" t="s">
        <v>101</v>
      </c>
      <c r="AK341">
        <v>0</v>
      </c>
      <c r="AL341">
        <v>630</v>
      </c>
      <c r="AM341">
        <v>1215</v>
      </c>
      <c r="AN341" t="s">
        <v>102</v>
      </c>
      <c r="AO341" t="s">
        <v>97</v>
      </c>
      <c r="AP341" t="s">
        <v>104</v>
      </c>
      <c r="AQ341" t="s">
        <v>163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97</v>
      </c>
      <c r="BC341">
        <v>6</v>
      </c>
      <c r="BD341" t="s">
        <v>106</v>
      </c>
      <c r="BE341">
        <v>0</v>
      </c>
      <c r="BG341" t="s">
        <v>107</v>
      </c>
      <c r="BH341">
        <v>1958</v>
      </c>
      <c r="BI341" t="s">
        <v>101</v>
      </c>
      <c r="BJ341">
        <v>1</v>
      </c>
      <c r="BK341">
        <v>297</v>
      </c>
      <c r="BL341" t="s">
        <v>97</v>
      </c>
      <c r="BM341" t="s">
        <v>97</v>
      </c>
      <c r="BN341" t="s">
        <v>104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X341">
        <v>0</v>
      </c>
      <c r="BY341">
        <v>6</v>
      </c>
      <c r="BZ341">
        <v>2009</v>
      </c>
      <c r="CA341" t="s">
        <v>109</v>
      </c>
      <c r="CB341" t="s">
        <v>110</v>
      </c>
      <c r="CC341">
        <v>155000</v>
      </c>
    </row>
    <row r="342" spans="1:81" x14ac:dyDescent="0.3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H342" t="s">
        <v>83</v>
      </c>
      <c r="I342" t="s">
        <v>84</v>
      </c>
      <c r="J342" t="s">
        <v>85</v>
      </c>
      <c r="K342" t="s">
        <v>86</v>
      </c>
      <c r="L342" t="s">
        <v>87</v>
      </c>
      <c r="M342" t="s">
        <v>188</v>
      </c>
      <c r="N342" t="s">
        <v>89</v>
      </c>
      <c r="O342" t="s">
        <v>89</v>
      </c>
      <c r="P342" t="s">
        <v>90</v>
      </c>
      <c r="Q342" t="s">
        <v>91</v>
      </c>
      <c r="R342">
        <v>8</v>
      </c>
      <c r="S342">
        <v>5</v>
      </c>
      <c r="T342">
        <v>2002</v>
      </c>
      <c r="U342">
        <v>2002</v>
      </c>
      <c r="V342" t="s">
        <v>92</v>
      </c>
      <c r="W342" t="s">
        <v>93</v>
      </c>
      <c r="X342" t="s">
        <v>94</v>
      </c>
      <c r="Y342" t="s">
        <v>94</v>
      </c>
      <c r="Z342" t="s">
        <v>116</v>
      </c>
      <c r="AA342">
        <v>0</v>
      </c>
      <c r="AB342" t="s">
        <v>96</v>
      </c>
      <c r="AC342" t="s">
        <v>97</v>
      </c>
      <c r="AD342" t="s">
        <v>98</v>
      </c>
      <c r="AE342" t="s">
        <v>96</v>
      </c>
      <c r="AF342" t="s">
        <v>97</v>
      </c>
      <c r="AG342" t="s">
        <v>99</v>
      </c>
      <c r="AH342" t="s">
        <v>101</v>
      </c>
      <c r="AI342">
        <v>0</v>
      </c>
      <c r="AJ342" t="s">
        <v>101</v>
      </c>
      <c r="AK342">
        <v>0</v>
      </c>
      <c r="AL342">
        <v>967</v>
      </c>
      <c r="AM342">
        <v>967</v>
      </c>
      <c r="AN342" t="s">
        <v>102</v>
      </c>
      <c r="AO342" t="s">
        <v>103</v>
      </c>
      <c r="AP342" t="s">
        <v>104</v>
      </c>
      <c r="AQ342" t="s">
        <v>105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96</v>
      </c>
      <c r="BC342">
        <v>9</v>
      </c>
      <c r="BD342" t="s">
        <v>106</v>
      </c>
      <c r="BE342">
        <v>0</v>
      </c>
      <c r="BG342" t="s">
        <v>107</v>
      </c>
      <c r="BH342">
        <v>2002</v>
      </c>
      <c r="BI342" t="s">
        <v>156</v>
      </c>
      <c r="BJ342">
        <v>2</v>
      </c>
      <c r="BK342">
        <v>431</v>
      </c>
      <c r="BL342" t="s">
        <v>97</v>
      </c>
      <c r="BM342" t="s">
        <v>97</v>
      </c>
      <c r="BN342" t="s">
        <v>104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X342">
        <v>0</v>
      </c>
      <c r="BY342">
        <v>4</v>
      </c>
      <c r="BZ342">
        <v>2010</v>
      </c>
      <c r="CA342" t="s">
        <v>109</v>
      </c>
      <c r="CB342" t="s">
        <v>110</v>
      </c>
      <c r="CC342">
        <v>202900</v>
      </c>
    </row>
    <row r="343" spans="1:81" x14ac:dyDescent="0.3">
      <c r="A343">
        <v>342</v>
      </c>
      <c r="B343">
        <v>20</v>
      </c>
      <c r="C343" t="s">
        <v>238</v>
      </c>
      <c r="D343">
        <v>60</v>
      </c>
      <c r="E343">
        <v>8400</v>
      </c>
      <c r="F343" t="s">
        <v>82</v>
      </c>
      <c r="H343" t="s">
        <v>83</v>
      </c>
      <c r="I343" t="s">
        <v>84</v>
      </c>
      <c r="J343" t="s">
        <v>85</v>
      </c>
      <c r="K343" t="s">
        <v>86</v>
      </c>
      <c r="L343" t="s">
        <v>87</v>
      </c>
      <c r="M343" t="s">
        <v>169</v>
      </c>
      <c r="N343" t="s">
        <v>113</v>
      </c>
      <c r="O343" t="s">
        <v>89</v>
      </c>
      <c r="P343" t="s">
        <v>90</v>
      </c>
      <c r="Q343" t="s">
        <v>114</v>
      </c>
      <c r="R343">
        <v>4</v>
      </c>
      <c r="S343">
        <v>4</v>
      </c>
      <c r="T343">
        <v>1950</v>
      </c>
      <c r="U343">
        <v>1950</v>
      </c>
      <c r="V343" t="s">
        <v>92</v>
      </c>
      <c r="W343" t="s">
        <v>93</v>
      </c>
      <c r="X343" t="s">
        <v>123</v>
      </c>
      <c r="Y343" t="s">
        <v>185</v>
      </c>
      <c r="Z343" t="s">
        <v>116</v>
      </c>
      <c r="AA343">
        <v>0</v>
      </c>
      <c r="AB343" t="s">
        <v>146</v>
      </c>
      <c r="AC343" t="s">
        <v>146</v>
      </c>
      <c r="AD343" t="s">
        <v>117</v>
      </c>
      <c r="AE343" t="s">
        <v>97</v>
      </c>
      <c r="AF343" t="s">
        <v>146</v>
      </c>
      <c r="AG343" t="s">
        <v>99</v>
      </c>
      <c r="AH343" t="s">
        <v>101</v>
      </c>
      <c r="AI343">
        <v>0</v>
      </c>
      <c r="AJ343" t="s">
        <v>101</v>
      </c>
      <c r="AK343">
        <v>0</v>
      </c>
      <c r="AL343">
        <v>721</v>
      </c>
      <c r="AM343">
        <v>721</v>
      </c>
      <c r="AN343" t="s">
        <v>102</v>
      </c>
      <c r="AO343" t="s">
        <v>96</v>
      </c>
      <c r="AP343" t="s">
        <v>104</v>
      </c>
      <c r="AQ343" t="s">
        <v>105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97</v>
      </c>
      <c r="BC343">
        <v>4</v>
      </c>
      <c r="BD343" t="s">
        <v>106</v>
      </c>
      <c r="BE343">
        <v>0</v>
      </c>
      <c r="BG343" t="s">
        <v>168</v>
      </c>
      <c r="BH343">
        <v>1950</v>
      </c>
      <c r="BI343" t="s">
        <v>101</v>
      </c>
      <c r="BJ343">
        <v>1</v>
      </c>
      <c r="BK343">
        <v>294</v>
      </c>
      <c r="BL343" t="s">
        <v>97</v>
      </c>
      <c r="BM343" t="s">
        <v>97</v>
      </c>
      <c r="BN343" t="s">
        <v>176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X343">
        <v>0</v>
      </c>
      <c r="BY343">
        <v>9</v>
      </c>
      <c r="BZ343">
        <v>2009</v>
      </c>
      <c r="CA343" t="s">
        <v>109</v>
      </c>
      <c r="CB343" t="s">
        <v>110</v>
      </c>
      <c r="CC343">
        <v>82000</v>
      </c>
    </row>
    <row r="344" spans="1:81" x14ac:dyDescent="0.3">
      <c r="A344">
        <v>343</v>
      </c>
      <c r="B344">
        <v>90</v>
      </c>
      <c r="C344" t="s">
        <v>81</v>
      </c>
      <c r="E344">
        <v>8544</v>
      </c>
      <c r="F344" t="s">
        <v>82</v>
      </c>
      <c r="H344" t="s">
        <v>83</v>
      </c>
      <c r="I344" t="s">
        <v>84</v>
      </c>
      <c r="J344" t="s">
        <v>85</v>
      </c>
      <c r="K344" t="s">
        <v>86</v>
      </c>
      <c r="L344" t="s">
        <v>87</v>
      </c>
      <c r="M344" t="s">
        <v>270</v>
      </c>
      <c r="N344" t="s">
        <v>89</v>
      </c>
      <c r="O344" t="s">
        <v>89</v>
      </c>
      <c r="P344" t="s">
        <v>166</v>
      </c>
      <c r="Q344" t="s">
        <v>114</v>
      </c>
      <c r="R344">
        <v>3</v>
      </c>
      <c r="S344">
        <v>4</v>
      </c>
      <c r="T344">
        <v>1949</v>
      </c>
      <c r="U344">
        <v>1950</v>
      </c>
      <c r="V344" t="s">
        <v>92</v>
      </c>
      <c r="W344" t="s">
        <v>93</v>
      </c>
      <c r="X344" t="s">
        <v>202</v>
      </c>
      <c r="Y344" t="s">
        <v>202</v>
      </c>
      <c r="Z344" t="s">
        <v>95</v>
      </c>
      <c r="AA344">
        <v>340</v>
      </c>
      <c r="AB344" t="s">
        <v>97</v>
      </c>
      <c r="AC344" t="s">
        <v>97</v>
      </c>
      <c r="AD344" t="s">
        <v>167</v>
      </c>
      <c r="AI344">
        <v>0</v>
      </c>
      <c r="AK344">
        <v>0</v>
      </c>
      <c r="AL344">
        <v>0</v>
      </c>
      <c r="AM344">
        <v>0</v>
      </c>
      <c r="AN344" t="s">
        <v>239</v>
      </c>
      <c r="AO344" t="s">
        <v>146</v>
      </c>
      <c r="AP344" t="s">
        <v>176</v>
      </c>
      <c r="AQ344" t="s">
        <v>163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97</v>
      </c>
      <c r="BC344">
        <v>6</v>
      </c>
      <c r="BD344" t="s">
        <v>106</v>
      </c>
      <c r="BE344">
        <v>0</v>
      </c>
      <c r="BG344" t="s">
        <v>126</v>
      </c>
      <c r="BH344">
        <v>1949</v>
      </c>
      <c r="BI344" t="s">
        <v>101</v>
      </c>
      <c r="BJ344">
        <v>2</v>
      </c>
      <c r="BK344">
        <v>400</v>
      </c>
      <c r="BL344" t="s">
        <v>97</v>
      </c>
      <c r="BM344" t="s">
        <v>97</v>
      </c>
      <c r="BN344" t="s">
        <v>104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X344">
        <v>0</v>
      </c>
      <c r="BY344">
        <v>5</v>
      </c>
      <c r="BZ344">
        <v>2006</v>
      </c>
      <c r="CA344" t="s">
        <v>109</v>
      </c>
      <c r="CB344" t="s">
        <v>110</v>
      </c>
      <c r="CC344">
        <v>87500</v>
      </c>
    </row>
    <row r="345" spans="1:81" x14ac:dyDescent="0.3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H345" t="s">
        <v>119</v>
      </c>
      <c r="I345" t="s">
        <v>84</v>
      </c>
      <c r="J345" t="s">
        <v>85</v>
      </c>
      <c r="K345" t="s">
        <v>86</v>
      </c>
      <c r="L345" t="s">
        <v>87</v>
      </c>
      <c r="M345" t="s">
        <v>153</v>
      </c>
      <c r="N345" t="s">
        <v>89</v>
      </c>
      <c r="O345" t="s">
        <v>89</v>
      </c>
      <c r="P345" t="s">
        <v>178</v>
      </c>
      <c r="Q345" t="s">
        <v>114</v>
      </c>
      <c r="R345">
        <v>9</v>
      </c>
      <c r="S345">
        <v>5</v>
      </c>
      <c r="T345">
        <v>2005</v>
      </c>
      <c r="U345">
        <v>2005</v>
      </c>
      <c r="V345" t="s">
        <v>151</v>
      </c>
      <c r="W345" t="s">
        <v>93</v>
      </c>
      <c r="X345" t="s">
        <v>115</v>
      </c>
      <c r="Y345" t="s">
        <v>115</v>
      </c>
      <c r="Z345" t="s">
        <v>95</v>
      </c>
      <c r="AA345">
        <v>616</v>
      </c>
      <c r="AB345" t="s">
        <v>103</v>
      </c>
      <c r="AC345" t="s">
        <v>97</v>
      </c>
      <c r="AD345" t="s">
        <v>98</v>
      </c>
      <c r="AE345" t="s">
        <v>103</v>
      </c>
      <c r="AF345" t="s">
        <v>97</v>
      </c>
      <c r="AG345" t="s">
        <v>99</v>
      </c>
      <c r="AH345" t="s">
        <v>100</v>
      </c>
      <c r="AI345">
        <v>28</v>
      </c>
      <c r="AJ345" t="s">
        <v>101</v>
      </c>
      <c r="AK345">
        <v>0</v>
      </c>
      <c r="AL345">
        <v>1656</v>
      </c>
      <c r="AM345">
        <v>1684</v>
      </c>
      <c r="AN345" t="s">
        <v>102</v>
      </c>
      <c r="AO345" t="s">
        <v>103</v>
      </c>
      <c r="AP345" t="s">
        <v>104</v>
      </c>
      <c r="AQ345" t="s">
        <v>105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103</v>
      </c>
      <c r="BC345">
        <v>6</v>
      </c>
      <c r="BD345" t="s">
        <v>106</v>
      </c>
      <c r="BE345">
        <v>1</v>
      </c>
      <c r="BF345" t="s">
        <v>103</v>
      </c>
      <c r="BG345" t="s">
        <v>107</v>
      </c>
      <c r="BH345">
        <v>2005</v>
      </c>
      <c r="BI345" t="s">
        <v>108</v>
      </c>
      <c r="BJ345">
        <v>2</v>
      </c>
      <c r="BK345">
        <v>564</v>
      </c>
      <c r="BL345" t="s">
        <v>97</v>
      </c>
      <c r="BM345" t="s">
        <v>97</v>
      </c>
      <c r="BN345" t="s">
        <v>104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X345">
        <v>0</v>
      </c>
      <c r="BY345">
        <v>7</v>
      </c>
      <c r="BZ345">
        <v>2008</v>
      </c>
      <c r="CA345" t="s">
        <v>109</v>
      </c>
      <c r="CB345" t="s">
        <v>110</v>
      </c>
      <c r="CC345">
        <v>266000</v>
      </c>
    </row>
    <row r="346" spans="1:81" x14ac:dyDescent="0.3">
      <c r="A346">
        <v>345</v>
      </c>
      <c r="B346">
        <v>160</v>
      </c>
      <c r="C346" t="s">
        <v>141</v>
      </c>
      <c r="D346">
        <v>36</v>
      </c>
      <c r="E346">
        <v>2592</v>
      </c>
      <c r="F346" t="s">
        <v>82</v>
      </c>
      <c r="H346" t="s">
        <v>83</v>
      </c>
      <c r="I346" t="s">
        <v>84</v>
      </c>
      <c r="J346" t="s">
        <v>85</v>
      </c>
      <c r="K346" t="s">
        <v>86</v>
      </c>
      <c r="L346" t="s">
        <v>87</v>
      </c>
      <c r="M346" t="s">
        <v>177</v>
      </c>
      <c r="N346" t="s">
        <v>89</v>
      </c>
      <c r="O346" t="s">
        <v>89</v>
      </c>
      <c r="P346" t="s">
        <v>178</v>
      </c>
      <c r="Q346" t="s">
        <v>91</v>
      </c>
      <c r="R346">
        <v>5</v>
      </c>
      <c r="S346">
        <v>3</v>
      </c>
      <c r="T346">
        <v>1976</v>
      </c>
      <c r="U346">
        <v>1976</v>
      </c>
      <c r="V346" t="s">
        <v>92</v>
      </c>
      <c r="W346" t="s">
        <v>93</v>
      </c>
      <c r="X346" t="s">
        <v>179</v>
      </c>
      <c r="Y346" t="s">
        <v>180</v>
      </c>
      <c r="Z346" t="s">
        <v>116</v>
      </c>
      <c r="AA346">
        <v>0</v>
      </c>
      <c r="AB346" t="s">
        <v>97</v>
      </c>
      <c r="AC346" t="s">
        <v>97</v>
      </c>
      <c r="AD346" t="s">
        <v>117</v>
      </c>
      <c r="AE346" t="s">
        <v>96</v>
      </c>
      <c r="AF346" t="s">
        <v>97</v>
      </c>
      <c r="AG346" t="s">
        <v>99</v>
      </c>
      <c r="AH346" t="s">
        <v>152</v>
      </c>
      <c r="AI346">
        <v>129</v>
      </c>
      <c r="AJ346" t="s">
        <v>140</v>
      </c>
      <c r="AK346">
        <v>232</v>
      </c>
      <c r="AL346">
        <v>175</v>
      </c>
      <c r="AM346">
        <v>536</v>
      </c>
      <c r="AN346" t="s">
        <v>102</v>
      </c>
      <c r="AO346" t="s">
        <v>97</v>
      </c>
      <c r="AP346" t="s">
        <v>104</v>
      </c>
      <c r="AQ346" t="s">
        <v>105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97</v>
      </c>
      <c r="BC346">
        <v>4</v>
      </c>
      <c r="BD346" t="s">
        <v>106</v>
      </c>
      <c r="BE346">
        <v>0</v>
      </c>
      <c r="BG346" t="s">
        <v>107</v>
      </c>
      <c r="BH346">
        <v>1976</v>
      </c>
      <c r="BI346" t="s">
        <v>101</v>
      </c>
      <c r="BJ346">
        <v>1</v>
      </c>
      <c r="BK346">
        <v>336</v>
      </c>
      <c r="BL346" t="s">
        <v>97</v>
      </c>
      <c r="BM346" t="s">
        <v>97</v>
      </c>
      <c r="BN346" t="s">
        <v>104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X346">
        <v>0</v>
      </c>
      <c r="BY346">
        <v>4</v>
      </c>
      <c r="BZ346">
        <v>2010</v>
      </c>
      <c r="CA346" t="s">
        <v>109</v>
      </c>
      <c r="CB346" t="s">
        <v>110</v>
      </c>
      <c r="CC346">
        <v>85000</v>
      </c>
    </row>
    <row r="347" spans="1:81" x14ac:dyDescent="0.3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H347" t="s">
        <v>83</v>
      </c>
      <c r="I347" t="s">
        <v>84</v>
      </c>
      <c r="J347" t="s">
        <v>85</v>
      </c>
      <c r="K347" t="s">
        <v>86</v>
      </c>
      <c r="L347" t="s">
        <v>87</v>
      </c>
      <c r="M347" t="s">
        <v>147</v>
      </c>
      <c r="N347" t="s">
        <v>201</v>
      </c>
      <c r="O347" t="s">
        <v>89</v>
      </c>
      <c r="P347" t="s">
        <v>90</v>
      </c>
      <c r="Q347" t="s">
        <v>131</v>
      </c>
      <c r="R347">
        <v>6</v>
      </c>
      <c r="S347">
        <v>5</v>
      </c>
      <c r="T347">
        <v>1939</v>
      </c>
      <c r="U347">
        <v>1950</v>
      </c>
      <c r="V347" t="s">
        <v>92</v>
      </c>
      <c r="W347" t="s">
        <v>93</v>
      </c>
      <c r="X347" t="s">
        <v>115</v>
      </c>
      <c r="Y347" t="s">
        <v>115</v>
      </c>
      <c r="Z347" t="s">
        <v>116</v>
      </c>
      <c r="AA347">
        <v>0</v>
      </c>
      <c r="AB347" t="s">
        <v>97</v>
      </c>
      <c r="AC347" t="s">
        <v>97</v>
      </c>
      <c r="AD347" t="s">
        <v>125</v>
      </c>
      <c r="AE347" t="s">
        <v>97</v>
      </c>
      <c r="AF347" t="s">
        <v>97</v>
      </c>
      <c r="AG347" t="s">
        <v>99</v>
      </c>
      <c r="AH347" t="s">
        <v>101</v>
      </c>
      <c r="AI347">
        <v>0</v>
      </c>
      <c r="AJ347" t="s">
        <v>101</v>
      </c>
      <c r="AK347">
        <v>0</v>
      </c>
      <c r="AL347">
        <v>972</v>
      </c>
      <c r="AM347">
        <v>972</v>
      </c>
      <c r="AN347" t="s">
        <v>102</v>
      </c>
      <c r="AO347" t="s">
        <v>96</v>
      </c>
      <c r="AP347" t="s">
        <v>104</v>
      </c>
      <c r="AQ347" t="s">
        <v>105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146</v>
      </c>
      <c r="BC347">
        <v>6</v>
      </c>
      <c r="BD347" t="s">
        <v>106</v>
      </c>
      <c r="BE347">
        <v>1</v>
      </c>
      <c r="BF347" t="s">
        <v>96</v>
      </c>
      <c r="BG347" t="s">
        <v>126</v>
      </c>
      <c r="BH347">
        <v>1939</v>
      </c>
      <c r="BI347" t="s">
        <v>101</v>
      </c>
      <c r="BJ347">
        <v>1</v>
      </c>
      <c r="BK347">
        <v>312</v>
      </c>
      <c r="BL347" t="s">
        <v>97</v>
      </c>
      <c r="BM347" t="s">
        <v>97</v>
      </c>
      <c r="BN347" t="s">
        <v>104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X347">
        <v>0</v>
      </c>
      <c r="BY347">
        <v>10</v>
      </c>
      <c r="BZ347">
        <v>2006</v>
      </c>
      <c r="CA347" t="s">
        <v>109</v>
      </c>
      <c r="CB347" t="s">
        <v>110</v>
      </c>
      <c r="CC347">
        <v>140200</v>
      </c>
    </row>
    <row r="348" spans="1:81" x14ac:dyDescent="0.3">
      <c r="A348">
        <v>347</v>
      </c>
      <c r="B348">
        <v>20</v>
      </c>
      <c r="C348" t="s">
        <v>81</v>
      </c>
      <c r="E348">
        <v>12772</v>
      </c>
      <c r="F348" t="s">
        <v>82</v>
      </c>
      <c r="H348" t="s">
        <v>119</v>
      </c>
      <c r="I348" t="s">
        <v>84</v>
      </c>
      <c r="J348" t="s">
        <v>85</v>
      </c>
      <c r="K348" t="s">
        <v>165</v>
      </c>
      <c r="L348" t="s">
        <v>87</v>
      </c>
      <c r="M348" t="s">
        <v>270</v>
      </c>
      <c r="N348" t="s">
        <v>89</v>
      </c>
      <c r="O348" t="s">
        <v>89</v>
      </c>
      <c r="P348" t="s">
        <v>90</v>
      </c>
      <c r="Q348" t="s">
        <v>114</v>
      </c>
      <c r="R348">
        <v>6</v>
      </c>
      <c r="S348">
        <v>8</v>
      </c>
      <c r="T348">
        <v>1960</v>
      </c>
      <c r="U348">
        <v>1998</v>
      </c>
      <c r="V348" t="s">
        <v>151</v>
      </c>
      <c r="W348" t="s">
        <v>93</v>
      </c>
      <c r="X348" t="s">
        <v>115</v>
      </c>
      <c r="Y348" t="s">
        <v>115</v>
      </c>
      <c r="Z348" t="s">
        <v>116</v>
      </c>
      <c r="AA348">
        <v>0</v>
      </c>
      <c r="AB348" t="s">
        <v>97</v>
      </c>
      <c r="AC348" t="s">
        <v>96</v>
      </c>
      <c r="AD348" t="s">
        <v>117</v>
      </c>
      <c r="AE348" t="s">
        <v>97</v>
      </c>
      <c r="AF348" t="s">
        <v>97</v>
      </c>
      <c r="AG348" t="s">
        <v>120</v>
      </c>
      <c r="AH348" t="s">
        <v>140</v>
      </c>
      <c r="AI348">
        <v>498</v>
      </c>
      <c r="AJ348" t="s">
        <v>101</v>
      </c>
      <c r="AK348">
        <v>0</v>
      </c>
      <c r="AL348">
        <v>460</v>
      </c>
      <c r="AM348">
        <v>958</v>
      </c>
      <c r="AN348" t="s">
        <v>102</v>
      </c>
      <c r="AO348" t="s">
        <v>97</v>
      </c>
      <c r="AP348" t="s">
        <v>104</v>
      </c>
      <c r="AQ348" t="s">
        <v>105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97</v>
      </c>
      <c r="BC348">
        <v>5</v>
      </c>
      <c r="BD348" t="s">
        <v>106</v>
      </c>
      <c r="BE348">
        <v>0</v>
      </c>
      <c r="BG348" t="s">
        <v>107</v>
      </c>
      <c r="BH348">
        <v>1960</v>
      </c>
      <c r="BI348" t="s">
        <v>108</v>
      </c>
      <c r="BJ348">
        <v>1</v>
      </c>
      <c r="BK348">
        <v>301</v>
      </c>
      <c r="BL348" t="s">
        <v>97</v>
      </c>
      <c r="BM348" t="s">
        <v>97</v>
      </c>
      <c r="BN348" t="s">
        <v>104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W348" t="s">
        <v>240</v>
      </c>
      <c r="BX348">
        <v>15500</v>
      </c>
      <c r="BY348">
        <v>4</v>
      </c>
      <c r="BZ348">
        <v>2007</v>
      </c>
      <c r="CA348" t="s">
        <v>109</v>
      </c>
      <c r="CB348" t="s">
        <v>110</v>
      </c>
      <c r="CC348">
        <v>151500</v>
      </c>
    </row>
    <row r="349" spans="1:81" x14ac:dyDescent="0.3">
      <c r="A349">
        <v>348</v>
      </c>
      <c r="B349">
        <v>20</v>
      </c>
      <c r="C349" t="s">
        <v>81</v>
      </c>
      <c r="E349">
        <v>17600</v>
      </c>
      <c r="F349" t="s">
        <v>82</v>
      </c>
      <c r="H349" t="s">
        <v>119</v>
      </c>
      <c r="I349" t="s">
        <v>84</v>
      </c>
      <c r="J349" t="s">
        <v>85</v>
      </c>
      <c r="K349" t="s">
        <v>86</v>
      </c>
      <c r="L349" t="s">
        <v>87</v>
      </c>
      <c r="M349" t="s">
        <v>270</v>
      </c>
      <c r="N349" t="s">
        <v>89</v>
      </c>
      <c r="O349" t="s">
        <v>89</v>
      </c>
      <c r="P349" t="s">
        <v>90</v>
      </c>
      <c r="Q349" t="s">
        <v>114</v>
      </c>
      <c r="R349">
        <v>6</v>
      </c>
      <c r="S349">
        <v>5</v>
      </c>
      <c r="T349">
        <v>1960</v>
      </c>
      <c r="U349">
        <v>1960</v>
      </c>
      <c r="V349" t="s">
        <v>92</v>
      </c>
      <c r="W349" t="s">
        <v>93</v>
      </c>
      <c r="X349" t="s">
        <v>123</v>
      </c>
      <c r="Y349" t="s">
        <v>123</v>
      </c>
      <c r="Z349" t="s">
        <v>95</v>
      </c>
      <c r="AA349">
        <v>30</v>
      </c>
      <c r="AB349" t="s">
        <v>97</v>
      </c>
      <c r="AC349" t="s">
        <v>97</v>
      </c>
      <c r="AD349" t="s">
        <v>117</v>
      </c>
      <c r="AE349" t="s">
        <v>97</v>
      </c>
      <c r="AF349" t="s">
        <v>97</v>
      </c>
      <c r="AG349" t="s">
        <v>99</v>
      </c>
      <c r="AH349" t="s">
        <v>140</v>
      </c>
      <c r="AI349">
        <v>1270</v>
      </c>
      <c r="AJ349" t="s">
        <v>101</v>
      </c>
      <c r="AK349">
        <v>0</v>
      </c>
      <c r="AL349">
        <v>208</v>
      </c>
      <c r="AM349">
        <v>1478</v>
      </c>
      <c r="AN349" t="s">
        <v>102</v>
      </c>
      <c r="AO349" t="s">
        <v>103</v>
      </c>
      <c r="AP349" t="s">
        <v>104</v>
      </c>
      <c r="AQ349" t="s">
        <v>163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97</v>
      </c>
      <c r="BC349">
        <v>6</v>
      </c>
      <c r="BD349" t="s">
        <v>106</v>
      </c>
      <c r="BE349">
        <v>2</v>
      </c>
      <c r="BF349" t="s">
        <v>96</v>
      </c>
      <c r="BG349" t="s">
        <v>107</v>
      </c>
      <c r="BH349">
        <v>1960</v>
      </c>
      <c r="BI349" t="s">
        <v>101</v>
      </c>
      <c r="BJ349">
        <v>2</v>
      </c>
      <c r="BK349">
        <v>498</v>
      </c>
      <c r="BL349" t="s">
        <v>97</v>
      </c>
      <c r="BM349" t="s">
        <v>97</v>
      </c>
      <c r="BN349" t="s">
        <v>104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X349">
        <v>0</v>
      </c>
      <c r="BY349">
        <v>12</v>
      </c>
      <c r="BZ349">
        <v>2009</v>
      </c>
      <c r="CA349" t="s">
        <v>109</v>
      </c>
      <c r="CB349" t="s">
        <v>110</v>
      </c>
      <c r="CC349">
        <v>157500</v>
      </c>
    </row>
    <row r="350" spans="1:81" x14ac:dyDescent="0.3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H350" t="s">
        <v>83</v>
      </c>
      <c r="I350" t="s">
        <v>84</v>
      </c>
      <c r="J350" t="s">
        <v>85</v>
      </c>
      <c r="K350" t="s">
        <v>86</v>
      </c>
      <c r="L350" t="s">
        <v>87</v>
      </c>
      <c r="M350" t="s">
        <v>153</v>
      </c>
      <c r="N350" t="s">
        <v>89</v>
      </c>
      <c r="O350" t="s">
        <v>89</v>
      </c>
      <c r="P350" t="s">
        <v>197</v>
      </c>
      <c r="Q350" t="s">
        <v>91</v>
      </c>
      <c r="R350">
        <v>7</v>
      </c>
      <c r="S350">
        <v>5</v>
      </c>
      <c r="T350">
        <v>2003</v>
      </c>
      <c r="U350">
        <v>2004</v>
      </c>
      <c r="V350" t="s">
        <v>92</v>
      </c>
      <c r="W350" t="s">
        <v>93</v>
      </c>
      <c r="X350" t="s">
        <v>94</v>
      </c>
      <c r="Y350" t="s">
        <v>124</v>
      </c>
      <c r="Z350" t="s">
        <v>136</v>
      </c>
      <c r="AA350">
        <v>106</v>
      </c>
      <c r="AB350" t="s">
        <v>96</v>
      </c>
      <c r="AC350" t="s">
        <v>97</v>
      </c>
      <c r="AD350" t="s">
        <v>98</v>
      </c>
      <c r="AE350" t="s">
        <v>96</v>
      </c>
      <c r="AF350" t="s">
        <v>97</v>
      </c>
      <c r="AG350" t="s">
        <v>99</v>
      </c>
      <c r="AH350" t="s">
        <v>100</v>
      </c>
      <c r="AI350">
        <v>573</v>
      </c>
      <c r="AJ350" t="s">
        <v>101</v>
      </c>
      <c r="AK350">
        <v>0</v>
      </c>
      <c r="AL350">
        <v>191</v>
      </c>
      <c r="AM350">
        <v>764</v>
      </c>
      <c r="AN350" t="s">
        <v>102</v>
      </c>
      <c r="AO350" t="s">
        <v>103</v>
      </c>
      <c r="AP350" t="s">
        <v>104</v>
      </c>
      <c r="AQ350" t="s">
        <v>105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96</v>
      </c>
      <c r="BC350">
        <v>6</v>
      </c>
      <c r="BD350" t="s">
        <v>106</v>
      </c>
      <c r="BE350">
        <v>0</v>
      </c>
      <c r="BG350" t="s">
        <v>155</v>
      </c>
      <c r="BH350">
        <v>2003</v>
      </c>
      <c r="BI350" t="s">
        <v>108</v>
      </c>
      <c r="BJ350">
        <v>2</v>
      </c>
      <c r="BK350">
        <v>474</v>
      </c>
      <c r="BL350" t="s">
        <v>97</v>
      </c>
      <c r="BM350" t="s">
        <v>97</v>
      </c>
      <c r="BN350" t="s">
        <v>104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X350">
        <v>0</v>
      </c>
      <c r="BY350">
        <v>10</v>
      </c>
      <c r="BZ350">
        <v>2008</v>
      </c>
      <c r="CA350" t="s">
        <v>109</v>
      </c>
      <c r="CB350" t="s">
        <v>110</v>
      </c>
      <c r="CC350">
        <v>154000</v>
      </c>
    </row>
    <row r="351" spans="1:81" x14ac:dyDescent="0.3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H351" t="s">
        <v>159</v>
      </c>
      <c r="I351" t="s">
        <v>84</v>
      </c>
      <c r="J351" t="s">
        <v>85</v>
      </c>
      <c r="K351" t="s">
        <v>86</v>
      </c>
      <c r="L351" t="s">
        <v>87</v>
      </c>
      <c r="M351" t="s">
        <v>153</v>
      </c>
      <c r="N351" t="s">
        <v>89</v>
      </c>
      <c r="O351" t="s">
        <v>89</v>
      </c>
      <c r="P351" t="s">
        <v>90</v>
      </c>
      <c r="Q351" t="s">
        <v>91</v>
      </c>
      <c r="R351">
        <v>9</v>
      </c>
      <c r="S351">
        <v>5</v>
      </c>
      <c r="T351">
        <v>2005</v>
      </c>
      <c r="U351">
        <v>2006</v>
      </c>
      <c r="V351" t="s">
        <v>151</v>
      </c>
      <c r="W351" t="s">
        <v>93</v>
      </c>
      <c r="X351" t="s">
        <v>179</v>
      </c>
      <c r="Y351" t="s">
        <v>180</v>
      </c>
      <c r="Z351" t="s">
        <v>95</v>
      </c>
      <c r="AA351">
        <v>870</v>
      </c>
      <c r="AB351" t="s">
        <v>103</v>
      </c>
      <c r="AC351" t="s">
        <v>97</v>
      </c>
      <c r="AD351" t="s">
        <v>98</v>
      </c>
      <c r="AE351" t="s">
        <v>103</v>
      </c>
      <c r="AF351" t="s">
        <v>97</v>
      </c>
      <c r="AG351" t="s">
        <v>99</v>
      </c>
      <c r="AH351" t="s">
        <v>100</v>
      </c>
      <c r="AI351">
        <v>1410</v>
      </c>
      <c r="AJ351" t="s">
        <v>101</v>
      </c>
      <c r="AK351">
        <v>0</v>
      </c>
      <c r="AL351">
        <v>438</v>
      </c>
      <c r="AM351">
        <v>1848</v>
      </c>
      <c r="AN351" t="s">
        <v>102</v>
      </c>
      <c r="AO351" t="s">
        <v>103</v>
      </c>
      <c r="AP351" t="s">
        <v>104</v>
      </c>
      <c r="AQ351" t="s">
        <v>105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103</v>
      </c>
      <c r="BC351">
        <v>10</v>
      </c>
      <c r="BD351" t="s">
        <v>106</v>
      </c>
      <c r="BE351">
        <v>2</v>
      </c>
      <c r="BF351" t="s">
        <v>103</v>
      </c>
      <c r="BG351" t="s">
        <v>107</v>
      </c>
      <c r="BH351">
        <v>2006</v>
      </c>
      <c r="BI351" t="s">
        <v>156</v>
      </c>
      <c r="BJ351">
        <v>3</v>
      </c>
      <c r="BK351">
        <v>706</v>
      </c>
      <c r="BL351" t="s">
        <v>97</v>
      </c>
      <c r="BM351" t="s">
        <v>97</v>
      </c>
      <c r="BN351" t="s">
        <v>104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X351">
        <v>0</v>
      </c>
      <c r="BY351">
        <v>4</v>
      </c>
      <c r="BZ351">
        <v>2006</v>
      </c>
      <c r="CA351" t="s">
        <v>157</v>
      </c>
      <c r="CB351" t="s">
        <v>158</v>
      </c>
      <c r="CC351">
        <v>437154</v>
      </c>
    </row>
    <row r="352" spans="1:81" x14ac:dyDescent="0.3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H352" t="s">
        <v>119</v>
      </c>
      <c r="I352" t="s">
        <v>84</v>
      </c>
      <c r="J352" t="s">
        <v>85</v>
      </c>
      <c r="K352" t="s">
        <v>86</v>
      </c>
      <c r="L352" t="s">
        <v>87</v>
      </c>
      <c r="M352" t="s">
        <v>153</v>
      </c>
      <c r="N352" t="s">
        <v>89</v>
      </c>
      <c r="O352" t="s">
        <v>89</v>
      </c>
      <c r="P352" t="s">
        <v>178</v>
      </c>
      <c r="Q352" t="s">
        <v>114</v>
      </c>
      <c r="R352">
        <v>9</v>
      </c>
      <c r="S352">
        <v>5</v>
      </c>
      <c r="T352">
        <v>2007</v>
      </c>
      <c r="U352">
        <v>2007</v>
      </c>
      <c r="V352" t="s">
        <v>151</v>
      </c>
      <c r="W352" t="s">
        <v>93</v>
      </c>
      <c r="X352" t="s">
        <v>115</v>
      </c>
      <c r="Y352" t="s">
        <v>115</v>
      </c>
      <c r="Z352" t="s">
        <v>95</v>
      </c>
      <c r="AA352">
        <v>362</v>
      </c>
      <c r="AB352" t="s">
        <v>103</v>
      </c>
      <c r="AC352" t="s">
        <v>97</v>
      </c>
      <c r="AD352" t="s">
        <v>98</v>
      </c>
      <c r="AE352" t="s">
        <v>103</v>
      </c>
      <c r="AF352" t="s">
        <v>97</v>
      </c>
      <c r="AG352" t="s">
        <v>99</v>
      </c>
      <c r="AH352" t="s">
        <v>101</v>
      </c>
      <c r="AI352">
        <v>0</v>
      </c>
      <c r="AJ352" t="s">
        <v>101</v>
      </c>
      <c r="AK352">
        <v>0</v>
      </c>
      <c r="AL352">
        <v>1869</v>
      </c>
      <c r="AM352">
        <v>1869</v>
      </c>
      <c r="AN352" t="s">
        <v>102</v>
      </c>
      <c r="AO352" t="s">
        <v>103</v>
      </c>
      <c r="AP352" t="s">
        <v>104</v>
      </c>
      <c r="AQ352" t="s">
        <v>105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103</v>
      </c>
      <c r="BC352">
        <v>6</v>
      </c>
      <c r="BD352" t="s">
        <v>106</v>
      </c>
      <c r="BE352">
        <v>1</v>
      </c>
      <c r="BF352" t="s">
        <v>96</v>
      </c>
      <c r="BG352" t="s">
        <v>107</v>
      </c>
      <c r="BH352">
        <v>2007</v>
      </c>
      <c r="BI352" t="s">
        <v>108</v>
      </c>
      <c r="BJ352">
        <v>2</v>
      </c>
      <c r="BK352">
        <v>617</v>
      </c>
      <c r="BL352" t="s">
        <v>97</v>
      </c>
      <c r="BM352" t="s">
        <v>97</v>
      </c>
      <c r="BN352" t="s">
        <v>104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X352">
        <v>0</v>
      </c>
      <c r="BY352">
        <v>12</v>
      </c>
      <c r="BZ352">
        <v>2007</v>
      </c>
      <c r="CA352" t="s">
        <v>157</v>
      </c>
      <c r="CB352" t="s">
        <v>158</v>
      </c>
      <c r="CC352">
        <v>318061</v>
      </c>
    </row>
    <row r="353" spans="1:81" x14ac:dyDescent="0.3">
      <c r="A353">
        <v>352</v>
      </c>
      <c r="B353">
        <v>120</v>
      </c>
      <c r="C353" t="s">
        <v>81</v>
      </c>
      <c r="E353">
        <v>5271</v>
      </c>
      <c r="F353" t="s">
        <v>82</v>
      </c>
      <c r="H353" t="s">
        <v>119</v>
      </c>
      <c r="I353" t="s">
        <v>194</v>
      </c>
      <c r="J353" t="s">
        <v>85</v>
      </c>
      <c r="K353" t="s">
        <v>86</v>
      </c>
      <c r="L353" t="s">
        <v>193</v>
      </c>
      <c r="M353" t="s">
        <v>204</v>
      </c>
      <c r="N353" t="s">
        <v>89</v>
      </c>
      <c r="O353" t="s">
        <v>89</v>
      </c>
      <c r="P353" t="s">
        <v>90</v>
      </c>
      <c r="Q353" t="s">
        <v>114</v>
      </c>
      <c r="R353">
        <v>7</v>
      </c>
      <c r="S353">
        <v>5</v>
      </c>
      <c r="T353">
        <v>1986</v>
      </c>
      <c r="U353">
        <v>1986</v>
      </c>
      <c r="V353" t="s">
        <v>92</v>
      </c>
      <c r="W353" t="s">
        <v>93</v>
      </c>
      <c r="X353" t="s">
        <v>123</v>
      </c>
      <c r="Y353" t="s">
        <v>123</v>
      </c>
      <c r="Z353" t="s">
        <v>116</v>
      </c>
      <c r="AA353">
        <v>0</v>
      </c>
      <c r="AB353" t="s">
        <v>97</v>
      </c>
      <c r="AC353" t="s">
        <v>97</v>
      </c>
      <c r="AD353" t="s">
        <v>98</v>
      </c>
      <c r="AE353" t="s">
        <v>96</v>
      </c>
      <c r="AF353" t="s">
        <v>97</v>
      </c>
      <c r="AG353" t="s">
        <v>96</v>
      </c>
      <c r="AH353" t="s">
        <v>100</v>
      </c>
      <c r="AI353">
        <v>1082</v>
      </c>
      <c r="AJ353" t="s">
        <v>101</v>
      </c>
      <c r="AK353">
        <v>0</v>
      </c>
      <c r="AL353">
        <v>371</v>
      </c>
      <c r="AM353">
        <v>1453</v>
      </c>
      <c r="AN353" t="s">
        <v>102</v>
      </c>
      <c r="AO353" t="s">
        <v>96</v>
      </c>
      <c r="AP353" t="s">
        <v>104</v>
      </c>
      <c r="AQ353" t="s">
        <v>105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96</v>
      </c>
      <c r="BC353">
        <v>6</v>
      </c>
      <c r="BD353" t="s">
        <v>106</v>
      </c>
      <c r="BE353">
        <v>1</v>
      </c>
      <c r="BF353" t="s">
        <v>97</v>
      </c>
      <c r="BG353" t="s">
        <v>107</v>
      </c>
      <c r="BH353">
        <v>1986</v>
      </c>
      <c r="BI353" t="s">
        <v>108</v>
      </c>
      <c r="BJ353">
        <v>2</v>
      </c>
      <c r="BK353">
        <v>445</v>
      </c>
      <c r="BL353" t="s">
        <v>97</v>
      </c>
      <c r="BM353" t="s">
        <v>97</v>
      </c>
      <c r="BN353" t="s">
        <v>104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X353">
        <v>0</v>
      </c>
      <c r="BY353">
        <v>12</v>
      </c>
      <c r="BZ353">
        <v>2006</v>
      </c>
      <c r="CA353" t="s">
        <v>109</v>
      </c>
      <c r="CB353" t="s">
        <v>127</v>
      </c>
      <c r="CC353">
        <v>190000</v>
      </c>
    </row>
    <row r="354" spans="1:81" x14ac:dyDescent="0.3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H354" t="s">
        <v>83</v>
      </c>
      <c r="I354" t="s">
        <v>84</v>
      </c>
      <c r="J354" t="s">
        <v>85</v>
      </c>
      <c r="K354" t="s">
        <v>86</v>
      </c>
      <c r="L354" t="s">
        <v>87</v>
      </c>
      <c r="M354" t="s">
        <v>184</v>
      </c>
      <c r="N354" t="s">
        <v>143</v>
      </c>
      <c r="O354" t="s">
        <v>89</v>
      </c>
      <c r="P354" t="s">
        <v>90</v>
      </c>
      <c r="Q354" t="s">
        <v>131</v>
      </c>
      <c r="R354">
        <v>5</v>
      </c>
      <c r="S354">
        <v>6</v>
      </c>
      <c r="T354">
        <v>1941</v>
      </c>
      <c r="U354">
        <v>1950</v>
      </c>
      <c r="V354" t="s">
        <v>92</v>
      </c>
      <c r="W354" t="s">
        <v>93</v>
      </c>
      <c r="X354" t="s">
        <v>94</v>
      </c>
      <c r="Y354" t="s">
        <v>94</v>
      </c>
      <c r="Z354" t="s">
        <v>116</v>
      </c>
      <c r="AA354">
        <v>0</v>
      </c>
      <c r="AB354" t="s">
        <v>97</v>
      </c>
      <c r="AC354" t="s">
        <v>97</v>
      </c>
      <c r="AD354" t="s">
        <v>117</v>
      </c>
      <c r="AE354" t="s">
        <v>97</v>
      </c>
      <c r="AF354" t="s">
        <v>146</v>
      </c>
      <c r="AG354" t="s">
        <v>120</v>
      </c>
      <c r="AH354" t="s">
        <v>171</v>
      </c>
      <c r="AI354">
        <v>236</v>
      </c>
      <c r="AJ354" t="s">
        <v>152</v>
      </c>
      <c r="AK354">
        <v>380</v>
      </c>
      <c r="AL354">
        <v>0</v>
      </c>
      <c r="AM354">
        <v>616</v>
      </c>
      <c r="AN354" t="s">
        <v>102</v>
      </c>
      <c r="AO354" t="s">
        <v>97</v>
      </c>
      <c r="AP354" t="s">
        <v>176</v>
      </c>
      <c r="AQ354" t="s">
        <v>105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97</v>
      </c>
      <c r="BC354">
        <v>5</v>
      </c>
      <c r="BD354" t="s">
        <v>106</v>
      </c>
      <c r="BE354">
        <v>0</v>
      </c>
      <c r="BG354" t="s">
        <v>126</v>
      </c>
      <c r="BH354">
        <v>1941</v>
      </c>
      <c r="BI354" t="s">
        <v>101</v>
      </c>
      <c r="BJ354">
        <v>1</v>
      </c>
      <c r="BK354">
        <v>200</v>
      </c>
      <c r="BL354" t="s">
        <v>97</v>
      </c>
      <c r="BM354" t="s">
        <v>146</v>
      </c>
      <c r="BN354" t="s">
        <v>104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X354">
        <v>0</v>
      </c>
      <c r="BY354">
        <v>3</v>
      </c>
      <c r="BZ354">
        <v>2008</v>
      </c>
      <c r="CA354" t="s">
        <v>234</v>
      </c>
      <c r="CB354" t="s">
        <v>110</v>
      </c>
      <c r="CC354">
        <v>95000</v>
      </c>
    </row>
    <row r="355" spans="1:81" x14ac:dyDescent="0.3">
      <c r="A355">
        <v>354</v>
      </c>
      <c r="B355">
        <v>30</v>
      </c>
      <c r="C355" t="s">
        <v>141</v>
      </c>
      <c r="D355">
        <v>60</v>
      </c>
      <c r="E355">
        <v>8520</v>
      </c>
      <c r="F355" t="s">
        <v>82</v>
      </c>
      <c r="H355" t="s">
        <v>83</v>
      </c>
      <c r="I355" t="s">
        <v>84</v>
      </c>
      <c r="J355" t="s">
        <v>85</v>
      </c>
      <c r="K355" t="s">
        <v>86</v>
      </c>
      <c r="L355" t="s">
        <v>87</v>
      </c>
      <c r="M355" t="s">
        <v>142</v>
      </c>
      <c r="N355" t="s">
        <v>89</v>
      </c>
      <c r="O355" t="s">
        <v>89</v>
      </c>
      <c r="P355" t="s">
        <v>90</v>
      </c>
      <c r="Q355" t="s">
        <v>114</v>
      </c>
      <c r="R355">
        <v>6</v>
      </c>
      <c r="S355">
        <v>8</v>
      </c>
      <c r="T355">
        <v>1928</v>
      </c>
      <c r="U355">
        <v>2003</v>
      </c>
      <c r="V355" t="s">
        <v>92</v>
      </c>
      <c r="W355" t="s">
        <v>93</v>
      </c>
      <c r="X355" t="s">
        <v>94</v>
      </c>
      <c r="Y355" t="s">
        <v>94</v>
      </c>
      <c r="Z355" t="s">
        <v>116</v>
      </c>
      <c r="AA355">
        <v>0</v>
      </c>
      <c r="AB355" t="s">
        <v>97</v>
      </c>
      <c r="AC355" t="s">
        <v>96</v>
      </c>
      <c r="AD355" t="s">
        <v>125</v>
      </c>
      <c r="AE355" t="s">
        <v>97</v>
      </c>
      <c r="AF355" t="s">
        <v>97</v>
      </c>
      <c r="AG355" t="s">
        <v>99</v>
      </c>
      <c r="AH355" t="s">
        <v>101</v>
      </c>
      <c r="AI355">
        <v>0</v>
      </c>
      <c r="AJ355" t="s">
        <v>101</v>
      </c>
      <c r="AK355">
        <v>0</v>
      </c>
      <c r="AL355">
        <v>624</v>
      </c>
      <c r="AM355">
        <v>624</v>
      </c>
      <c r="AN355" t="s">
        <v>102</v>
      </c>
      <c r="AO355" t="s">
        <v>96</v>
      </c>
      <c r="AP355" t="s">
        <v>104</v>
      </c>
      <c r="AQ355" t="s">
        <v>105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97</v>
      </c>
      <c r="BC355">
        <v>5</v>
      </c>
      <c r="BD355" t="s">
        <v>106</v>
      </c>
      <c r="BE355">
        <v>0</v>
      </c>
      <c r="BG355" t="s">
        <v>126</v>
      </c>
      <c r="BH355">
        <v>2005</v>
      </c>
      <c r="BI355" t="s">
        <v>101</v>
      </c>
      <c r="BJ355">
        <v>2</v>
      </c>
      <c r="BK355">
        <v>484</v>
      </c>
      <c r="BL355" t="s">
        <v>97</v>
      </c>
      <c r="BM355" t="s">
        <v>97</v>
      </c>
      <c r="BN355" t="s">
        <v>104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X355">
        <v>0</v>
      </c>
      <c r="BY355">
        <v>5</v>
      </c>
      <c r="BZ355">
        <v>2010</v>
      </c>
      <c r="CA355" t="s">
        <v>109</v>
      </c>
      <c r="CB355" t="s">
        <v>110</v>
      </c>
      <c r="CC355">
        <v>105900</v>
      </c>
    </row>
    <row r="356" spans="1:81" x14ac:dyDescent="0.3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H356" t="s">
        <v>83</v>
      </c>
      <c r="I356" t="s">
        <v>174</v>
      </c>
      <c r="J356" t="s">
        <v>85</v>
      </c>
      <c r="K356" t="s">
        <v>86</v>
      </c>
      <c r="L356" t="s">
        <v>87</v>
      </c>
      <c r="M356" t="s">
        <v>231</v>
      </c>
      <c r="N356" t="s">
        <v>89</v>
      </c>
      <c r="O356" t="s">
        <v>89</v>
      </c>
      <c r="P356" t="s">
        <v>90</v>
      </c>
      <c r="Q356" t="s">
        <v>131</v>
      </c>
      <c r="R356">
        <v>6</v>
      </c>
      <c r="S356">
        <v>5</v>
      </c>
      <c r="T356">
        <v>1940</v>
      </c>
      <c r="U356">
        <v>2000</v>
      </c>
      <c r="V356" t="s">
        <v>92</v>
      </c>
      <c r="W356" t="s">
        <v>93</v>
      </c>
      <c r="X356" t="s">
        <v>123</v>
      </c>
      <c r="Y356" t="s">
        <v>115</v>
      </c>
      <c r="Z356" t="s">
        <v>116</v>
      </c>
      <c r="AA356">
        <v>0</v>
      </c>
      <c r="AB356" t="s">
        <v>97</v>
      </c>
      <c r="AC356" t="s">
        <v>97</v>
      </c>
      <c r="AD356" t="s">
        <v>117</v>
      </c>
      <c r="AE356" t="s">
        <v>97</v>
      </c>
      <c r="AF356" t="s">
        <v>97</v>
      </c>
      <c r="AG356" t="s">
        <v>99</v>
      </c>
      <c r="AH356" t="s">
        <v>171</v>
      </c>
      <c r="AI356">
        <v>388</v>
      </c>
      <c r="AJ356" t="s">
        <v>101</v>
      </c>
      <c r="AK356">
        <v>0</v>
      </c>
      <c r="AL356">
        <v>552</v>
      </c>
      <c r="AM356">
        <v>940</v>
      </c>
      <c r="AN356" t="s">
        <v>102</v>
      </c>
      <c r="AO356" t="s">
        <v>103</v>
      </c>
      <c r="AP356" t="s">
        <v>104</v>
      </c>
      <c r="AQ356" t="s">
        <v>105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97</v>
      </c>
      <c r="BC356">
        <v>6</v>
      </c>
      <c r="BD356" t="s">
        <v>106</v>
      </c>
      <c r="BE356">
        <v>2</v>
      </c>
      <c r="BF356" t="s">
        <v>96</v>
      </c>
      <c r="BG356" t="s">
        <v>107</v>
      </c>
      <c r="BH356">
        <v>1940</v>
      </c>
      <c r="BI356" t="s">
        <v>101</v>
      </c>
      <c r="BJ356">
        <v>1</v>
      </c>
      <c r="BK356">
        <v>240</v>
      </c>
      <c r="BL356" t="s">
        <v>97</v>
      </c>
      <c r="BM356" t="s">
        <v>97</v>
      </c>
      <c r="BN356" t="s">
        <v>104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X356">
        <v>0</v>
      </c>
      <c r="BY356">
        <v>6</v>
      </c>
      <c r="BZ356">
        <v>2006</v>
      </c>
      <c r="CA356" t="s">
        <v>109</v>
      </c>
      <c r="CB356" t="s">
        <v>110</v>
      </c>
      <c r="CC356">
        <v>140000</v>
      </c>
    </row>
    <row r="357" spans="1:81" x14ac:dyDescent="0.3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H357" t="s">
        <v>159</v>
      </c>
      <c r="I357" t="s">
        <v>84</v>
      </c>
      <c r="J357" t="s">
        <v>85</v>
      </c>
      <c r="K357" t="s">
        <v>86</v>
      </c>
      <c r="L357" t="s">
        <v>87</v>
      </c>
      <c r="M357" t="s">
        <v>88</v>
      </c>
      <c r="N357" t="s">
        <v>89</v>
      </c>
      <c r="O357" t="s">
        <v>89</v>
      </c>
      <c r="P357" t="s">
        <v>90</v>
      </c>
      <c r="Q357" t="s">
        <v>114</v>
      </c>
      <c r="R357">
        <v>6</v>
      </c>
      <c r="S357">
        <v>5</v>
      </c>
      <c r="T357">
        <v>1995</v>
      </c>
      <c r="U357">
        <v>1995</v>
      </c>
      <c r="V357" t="s">
        <v>92</v>
      </c>
      <c r="W357" t="s">
        <v>93</v>
      </c>
      <c r="X357" t="s">
        <v>94</v>
      </c>
      <c r="Y357" t="s">
        <v>94</v>
      </c>
      <c r="Z357" t="s">
        <v>116</v>
      </c>
      <c r="AA357">
        <v>0</v>
      </c>
      <c r="AB357" t="s">
        <v>96</v>
      </c>
      <c r="AC357" t="s">
        <v>96</v>
      </c>
      <c r="AD357" t="s">
        <v>98</v>
      </c>
      <c r="AE357" t="s">
        <v>96</v>
      </c>
      <c r="AF357" t="s">
        <v>96</v>
      </c>
      <c r="AG357" t="s">
        <v>99</v>
      </c>
      <c r="AH357" t="s">
        <v>118</v>
      </c>
      <c r="AI357">
        <v>334</v>
      </c>
      <c r="AJ357" t="s">
        <v>140</v>
      </c>
      <c r="AK357">
        <v>544</v>
      </c>
      <c r="AL357">
        <v>322</v>
      </c>
      <c r="AM357">
        <v>1200</v>
      </c>
      <c r="AN357" t="s">
        <v>102</v>
      </c>
      <c r="AO357" t="s">
        <v>103</v>
      </c>
      <c r="AP357" t="s">
        <v>104</v>
      </c>
      <c r="AQ357" t="s">
        <v>105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96</v>
      </c>
      <c r="BC357">
        <v>6</v>
      </c>
      <c r="BD357" t="s">
        <v>106</v>
      </c>
      <c r="BE357">
        <v>0</v>
      </c>
      <c r="BG357" t="s">
        <v>107</v>
      </c>
      <c r="BH357">
        <v>1995</v>
      </c>
      <c r="BI357" t="s">
        <v>108</v>
      </c>
      <c r="BJ357">
        <v>2</v>
      </c>
      <c r="BK357">
        <v>521</v>
      </c>
      <c r="BL357" t="s">
        <v>97</v>
      </c>
      <c r="BM357" t="s">
        <v>97</v>
      </c>
      <c r="BN357" t="s">
        <v>104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X357">
        <v>0</v>
      </c>
      <c r="BY357">
        <v>8</v>
      </c>
      <c r="BZ357">
        <v>2007</v>
      </c>
      <c r="CA357" t="s">
        <v>109</v>
      </c>
      <c r="CB357" t="s">
        <v>110</v>
      </c>
      <c r="CC357">
        <v>177500</v>
      </c>
    </row>
    <row r="358" spans="1:81" x14ac:dyDescent="0.3">
      <c r="A358">
        <v>357</v>
      </c>
      <c r="B358">
        <v>20</v>
      </c>
      <c r="C358" t="s">
        <v>81</v>
      </c>
      <c r="E358">
        <v>9248</v>
      </c>
      <c r="F358" t="s">
        <v>82</v>
      </c>
      <c r="H358" t="s">
        <v>119</v>
      </c>
      <c r="I358" t="s">
        <v>84</v>
      </c>
      <c r="J358" t="s">
        <v>85</v>
      </c>
      <c r="K358" t="s">
        <v>86</v>
      </c>
      <c r="L358" t="s">
        <v>87</v>
      </c>
      <c r="M358" t="s">
        <v>192</v>
      </c>
      <c r="N358" t="s">
        <v>89</v>
      </c>
      <c r="O358" t="s">
        <v>89</v>
      </c>
      <c r="P358" t="s">
        <v>90</v>
      </c>
      <c r="Q358" t="s">
        <v>114</v>
      </c>
      <c r="R358">
        <v>6</v>
      </c>
      <c r="S358">
        <v>6</v>
      </c>
      <c r="T358">
        <v>1992</v>
      </c>
      <c r="U358">
        <v>1992</v>
      </c>
      <c r="V358" t="s">
        <v>92</v>
      </c>
      <c r="W358" t="s">
        <v>93</v>
      </c>
      <c r="X358" t="s">
        <v>139</v>
      </c>
      <c r="Y358" t="s">
        <v>139</v>
      </c>
      <c r="Z358" t="s">
        <v>95</v>
      </c>
      <c r="AA358">
        <v>106</v>
      </c>
      <c r="AB358" t="s">
        <v>97</v>
      </c>
      <c r="AC358" t="s">
        <v>97</v>
      </c>
      <c r="AD358" t="s">
        <v>98</v>
      </c>
      <c r="AE358" t="s">
        <v>96</v>
      </c>
      <c r="AF358" t="s">
        <v>97</v>
      </c>
      <c r="AG358" t="s">
        <v>99</v>
      </c>
      <c r="AH358" t="s">
        <v>100</v>
      </c>
      <c r="AI358">
        <v>560</v>
      </c>
      <c r="AJ358" t="s">
        <v>101</v>
      </c>
      <c r="AK358">
        <v>0</v>
      </c>
      <c r="AL358">
        <v>598</v>
      </c>
      <c r="AM358">
        <v>1158</v>
      </c>
      <c r="AN358" t="s">
        <v>102</v>
      </c>
      <c r="AO358" t="s">
        <v>96</v>
      </c>
      <c r="AP358" t="s">
        <v>104</v>
      </c>
      <c r="AQ358" t="s">
        <v>105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96</v>
      </c>
      <c r="BC358">
        <v>6</v>
      </c>
      <c r="BD358" t="s">
        <v>106</v>
      </c>
      <c r="BE358">
        <v>0</v>
      </c>
      <c r="BG358" t="s">
        <v>107</v>
      </c>
      <c r="BH358">
        <v>1992</v>
      </c>
      <c r="BI358" t="s">
        <v>108</v>
      </c>
      <c r="BJ358">
        <v>2</v>
      </c>
      <c r="BK358">
        <v>400</v>
      </c>
      <c r="BL358" t="s">
        <v>97</v>
      </c>
      <c r="BM358" t="s">
        <v>97</v>
      </c>
      <c r="BN358" t="s">
        <v>104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X358">
        <v>0</v>
      </c>
      <c r="BY358">
        <v>7</v>
      </c>
      <c r="BZ358">
        <v>2009</v>
      </c>
      <c r="CA358" t="s">
        <v>109</v>
      </c>
      <c r="CB358" t="s">
        <v>110</v>
      </c>
      <c r="CC358">
        <v>173000</v>
      </c>
    </row>
    <row r="359" spans="1:81" x14ac:dyDescent="0.3">
      <c r="A359">
        <v>358</v>
      </c>
      <c r="B359">
        <v>120</v>
      </c>
      <c r="C359" t="s">
        <v>141</v>
      </c>
      <c r="D359">
        <v>44</v>
      </c>
      <c r="E359">
        <v>4224</v>
      </c>
      <c r="F359" t="s">
        <v>82</v>
      </c>
      <c r="H359" t="s">
        <v>83</v>
      </c>
      <c r="I359" t="s">
        <v>84</v>
      </c>
      <c r="J359" t="s">
        <v>85</v>
      </c>
      <c r="K359" t="s">
        <v>86</v>
      </c>
      <c r="L359" t="s">
        <v>87</v>
      </c>
      <c r="M359" t="s">
        <v>177</v>
      </c>
      <c r="N359" t="s">
        <v>89</v>
      </c>
      <c r="O359" t="s">
        <v>89</v>
      </c>
      <c r="P359" t="s">
        <v>178</v>
      </c>
      <c r="Q359" t="s">
        <v>114</v>
      </c>
      <c r="R359">
        <v>5</v>
      </c>
      <c r="S359">
        <v>5</v>
      </c>
      <c r="T359">
        <v>1976</v>
      </c>
      <c r="U359">
        <v>1976</v>
      </c>
      <c r="V359" t="s">
        <v>92</v>
      </c>
      <c r="W359" t="s">
        <v>93</v>
      </c>
      <c r="X359" t="s">
        <v>179</v>
      </c>
      <c r="Y359" t="s">
        <v>180</v>
      </c>
      <c r="Z359" t="s">
        <v>116</v>
      </c>
      <c r="AA359">
        <v>0</v>
      </c>
      <c r="AB359" t="s">
        <v>97</v>
      </c>
      <c r="AC359" t="s">
        <v>97</v>
      </c>
      <c r="AD359" t="s">
        <v>98</v>
      </c>
      <c r="AE359" t="s">
        <v>96</v>
      </c>
      <c r="AF359" t="s">
        <v>97</v>
      </c>
      <c r="AG359" t="s">
        <v>99</v>
      </c>
      <c r="AH359" t="s">
        <v>118</v>
      </c>
      <c r="AI359">
        <v>874</v>
      </c>
      <c r="AJ359" t="s">
        <v>101</v>
      </c>
      <c r="AK359">
        <v>0</v>
      </c>
      <c r="AL359">
        <v>268</v>
      </c>
      <c r="AM359">
        <v>1142</v>
      </c>
      <c r="AN359" t="s">
        <v>102</v>
      </c>
      <c r="AO359" t="s">
        <v>97</v>
      </c>
      <c r="AP359" t="s">
        <v>104</v>
      </c>
      <c r="AQ359" t="s">
        <v>105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97</v>
      </c>
      <c r="BC359">
        <v>6</v>
      </c>
      <c r="BD359" t="s">
        <v>106</v>
      </c>
      <c r="BE359">
        <v>1</v>
      </c>
      <c r="BF359" t="s">
        <v>211</v>
      </c>
      <c r="BG359" t="s">
        <v>107</v>
      </c>
      <c r="BH359">
        <v>1976</v>
      </c>
      <c r="BI359" t="s">
        <v>156</v>
      </c>
      <c r="BJ359">
        <v>2</v>
      </c>
      <c r="BK359">
        <v>528</v>
      </c>
      <c r="BL359" t="s">
        <v>97</v>
      </c>
      <c r="BM359" t="s">
        <v>97</v>
      </c>
      <c r="BN359" t="s">
        <v>104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V359" t="s">
        <v>133</v>
      </c>
      <c r="BX359">
        <v>0</v>
      </c>
      <c r="BY359">
        <v>8</v>
      </c>
      <c r="BZ359">
        <v>2007</v>
      </c>
      <c r="CA359" t="s">
        <v>109</v>
      </c>
      <c r="CB359" t="s">
        <v>110</v>
      </c>
      <c r="CC359">
        <v>134000</v>
      </c>
    </row>
    <row r="360" spans="1:81" x14ac:dyDescent="0.3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H360" t="s">
        <v>119</v>
      </c>
      <c r="I360" t="s">
        <v>84</v>
      </c>
      <c r="J360" t="s">
        <v>85</v>
      </c>
      <c r="K360" t="s">
        <v>86</v>
      </c>
      <c r="L360" t="s">
        <v>87</v>
      </c>
      <c r="M360" t="s">
        <v>204</v>
      </c>
      <c r="N360" t="s">
        <v>89</v>
      </c>
      <c r="O360" t="s">
        <v>89</v>
      </c>
      <c r="P360" t="s">
        <v>90</v>
      </c>
      <c r="Q360" t="s">
        <v>196</v>
      </c>
      <c r="R360">
        <v>5</v>
      </c>
      <c r="S360">
        <v>4</v>
      </c>
      <c r="T360">
        <v>1958</v>
      </c>
      <c r="U360">
        <v>1958</v>
      </c>
      <c r="V360" t="s">
        <v>151</v>
      </c>
      <c r="W360" t="s">
        <v>93</v>
      </c>
      <c r="X360" t="s">
        <v>123</v>
      </c>
      <c r="Y360" t="s">
        <v>233</v>
      </c>
      <c r="Z360" t="s">
        <v>95</v>
      </c>
      <c r="AA360">
        <v>120</v>
      </c>
      <c r="AB360" t="s">
        <v>97</v>
      </c>
      <c r="AC360" t="s">
        <v>97</v>
      </c>
      <c r="AD360" t="s">
        <v>117</v>
      </c>
      <c r="AE360" t="s">
        <v>97</v>
      </c>
      <c r="AF360" t="s">
        <v>97</v>
      </c>
      <c r="AG360" t="s">
        <v>129</v>
      </c>
      <c r="AH360" t="s">
        <v>140</v>
      </c>
      <c r="AI360">
        <v>300</v>
      </c>
      <c r="AJ360" t="s">
        <v>152</v>
      </c>
      <c r="AK360">
        <v>294</v>
      </c>
      <c r="AL360">
        <v>468</v>
      </c>
      <c r="AM360">
        <v>1062</v>
      </c>
      <c r="AN360" t="s">
        <v>102</v>
      </c>
      <c r="AO360" t="s">
        <v>103</v>
      </c>
      <c r="AP360" t="s">
        <v>104</v>
      </c>
      <c r="AQ360" t="s">
        <v>144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96</v>
      </c>
      <c r="BC360">
        <v>6</v>
      </c>
      <c r="BD360" t="s">
        <v>223</v>
      </c>
      <c r="BE360">
        <v>0</v>
      </c>
      <c r="BG360" t="s">
        <v>155</v>
      </c>
      <c r="BH360">
        <v>1958</v>
      </c>
      <c r="BI360" t="s">
        <v>101</v>
      </c>
      <c r="BJ360">
        <v>1</v>
      </c>
      <c r="BK360">
        <v>288</v>
      </c>
      <c r="BL360" t="s">
        <v>97</v>
      </c>
      <c r="BM360" t="s">
        <v>97</v>
      </c>
      <c r="BN360" t="s">
        <v>104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X360">
        <v>0</v>
      </c>
      <c r="BY360">
        <v>7</v>
      </c>
      <c r="BZ360">
        <v>2006</v>
      </c>
      <c r="CA360" t="s">
        <v>109</v>
      </c>
      <c r="CB360" t="s">
        <v>127</v>
      </c>
      <c r="CC360">
        <v>130000</v>
      </c>
    </row>
    <row r="361" spans="1:81" x14ac:dyDescent="0.3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H361" t="s">
        <v>119</v>
      </c>
      <c r="I361" t="s">
        <v>84</v>
      </c>
      <c r="J361" t="s">
        <v>85</v>
      </c>
      <c r="K361" t="s">
        <v>165</v>
      </c>
      <c r="L361" t="s">
        <v>87</v>
      </c>
      <c r="M361" t="s">
        <v>128</v>
      </c>
      <c r="N361" t="s">
        <v>89</v>
      </c>
      <c r="O361" t="s">
        <v>89</v>
      </c>
      <c r="P361" t="s">
        <v>90</v>
      </c>
      <c r="Q361" t="s">
        <v>91</v>
      </c>
      <c r="R361">
        <v>8</v>
      </c>
      <c r="S361">
        <v>5</v>
      </c>
      <c r="T361">
        <v>1998</v>
      </c>
      <c r="U361">
        <v>1998</v>
      </c>
      <c r="V361" t="s">
        <v>92</v>
      </c>
      <c r="W361" t="s">
        <v>93</v>
      </c>
      <c r="X361" t="s">
        <v>94</v>
      </c>
      <c r="Y361" t="s">
        <v>94</v>
      </c>
      <c r="Z361" t="s">
        <v>95</v>
      </c>
      <c r="AA361">
        <v>530</v>
      </c>
      <c r="AB361" t="s">
        <v>96</v>
      </c>
      <c r="AC361" t="s">
        <v>97</v>
      </c>
      <c r="AD361" t="s">
        <v>98</v>
      </c>
      <c r="AE361" t="s">
        <v>96</v>
      </c>
      <c r="AF361" t="s">
        <v>97</v>
      </c>
      <c r="AG361" t="s">
        <v>129</v>
      </c>
      <c r="AH361" t="s">
        <v>100</v>
      </c>
      <c r="AI361">
        <v>956</v>
      </c>
      <c r="AJ361" t="s">
        <v>101</v>
      </c>
      <c r="AK361">
        <v>0</v>
      </c>
      <c r="AL361">
        <v>130</v>
      </c>
      <c r="AM361">
        <v>1086</v>
      </c>
      <c r="AN361" t="s">
        <v>102</v>
      </c>
      <c r="AO361" t="s">
        <v>103</v>
      </c>
      <c r="AP361" t="s">
        <v>104</v>
      </c>
      <c r="AQ361" t="s">
        <v>105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96</v>
      </c>
      <c r="BC361">
        <v>7</v>
      </c>
      <c r="BD361" t="s">
        <v>106</v>
      </c>
      <c r="BE361">
        <v>1</v>
      </c>
      <c r="BF361" t="s">
        <v>97</v>
      </c>
      <c r="BG361" t="s">
        <v>107</v>
      </c>
      <c r="BH361">
        <v>1998</v>
      </c>
      <c r="BI361" t="s">
        <v>108</v>
      </c>
      <c r="BJ361">
        <v>2</v>
      </c>
      <c r="BK361">
        <v>592</v>
      </c>
      <c r="BL361" t="s">
        <v>97</v>
      </c>
      <c r="BM361" t="s">
        <v>97</v>
      </c>
      <c r="BN361" t="s">
        <v>104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X361">
        <v>0</v>
      </c>
      <c r="BY361">
        <v>6</v>
      </c>
      <c r="BZ361">
        <v>2006</v>
      </c>
      <c r="CA361" t="s">
        <v>109</v>
      </c>
      <c r="CB361" t="s">
        <v>110</v>
      </c>
      <c r="CC361">
        <v>280000</v>
      </c>
    </row>
    <row r="362" spans="1:81" x14ac:dyDescent="0.3">
      <c r="A362">
        <v>361</v>
      </c>
      <c r="B362">
        <v>85</v>
      </c>
      <c r="C362" t="s">
        <v>81</v>
      </c>
      <c r="E362">
        <v>7540</v>
      </c>
      <c r="F362" t="s">
        <v>82</v>
      </c>
      <c r="H362" t="s">
        <v>119</v>
      </c>
      <c r="I362" t="s">
        <v>84</v>
      </c>
      <c r="J362" t="s">
        <v>85</v>
      </c>
      <c r="K362" t="s">
        <v>165</v>
      </c>
      <c r="L362" t="s">
        <v>87</v>
      </c>
      <c r="M362" t="s">
        <v>130</v>
      </c>
      <c r="N362" t="s">
        <v>89</v>
      </c>
      <c r="O362" t="s">
        <v>89</v>
      </c>
      <c r="P362" t="s">
        <v>90</v>
      </c>
      <c r="Q362" t="s">
        <v>190</v>
      </c>
      <c r="R362">
        <v>6</v>
      </c>
      <c r="S362">
        <v>6</v>
      </c>
      <c r="T362">
        <v>1978</v>
      </c>
      <c r="U362">
        <v>1978</v>
      </c>
      <c r="V362" t="s">
        <v>92</v>
      </c>
      <c r="W362" t="s">
        <v>93</v>
      </c>
      <c r="X362" t="s">
        <v>94</v>
      </c>
      <c r="Y362" t="s">
        <v>94</v>
      </c>
      <c r="Z362" t="s">
        <v>116</v>
      </c>
      <c r="AA362">
        <v>0</v>
      </c>
      <c r="AB362" t="s">
        <v>97</v>
      </c>
      <c r="AC362" t="s">
        <v>97</v>
      </c>
      <c r="AD362" t="s">
        <v>117</v>
      </c>
      <c r="AE362" t="s">
        <v>96</v>
      </c>
      <c r="AF362" t="s">
        <v>97</v>
      </c>
      <c r="AG362" t="s">
        <v>129</v>
      </c>
      <c r="AH362" t="s">
        <v>100</v>
      </c>
      <c r="AI362">
        <v>773</v>
      </c>
      <c r="AJ362" t="s">
        <v>101</v>
      </c>
      <c r="AK362">
        <v>0</v>
      </c>
      <c r="AL362">
        <v>115</v>
      </c>
      <c r="AM362">
        <v>888</v>
      </c>
      <c r="AN362" t="s">
        <v>102</v>
      </c>
      <c r="AO362" t="s">
        <v>103</v>
      </c>
      <c r="AP362" t="s">
        <v>104</v>
      </c>
      <c r="AQ362" t="s">
        <v>105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97</v>
      </c>
      <c r="BC362">
        <v>5</v>
      </c>
      <c r="BD362" t="s">
        <v>106</v>
      </c>
      <c r="BE362">
        <v>1</v>
      </c>
      <c r="BF362" t="s">
        <v>97</v>
      </c>
      <c r="BG362" t="s">
        <v>107</v>
      </c>
      <c r="BH362">
        <v>1978</v>
      </c>
      <c r="BI362" t="s">
        <v>108</v>
      </c>
      <c r="BJ362">
        <v>2</v>
      </c>
      <c r="BK362">
        <v>470</v>
      </c>
      <c r="BL362" t="s">
        <v>97</v>
      </c>
      <c r="BM362" t="s">
        <v>97</v>
      </c>
      <c r="BN362" t="s">
        <v>104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V362" t="s">
        <v>133</v>
      </c>
      <c r="BX362">
        <v>0</v>
      </c>
      <c r="BY362">
        <v>6</v>
      </c>
      <c r="BZ362">
        <v>2007</v>
      </c>
      <c r="CA362" t="s">
        <v>109</v>
      </c>
      <c r="CB362" t="s">
        <v>110</v>
      </c>
      <c r="CC362">
        <v>156000</v>
      </c>
    </row>
    <row r="363" spans="1:81" x14ac:dyDescent="0.3">
      <c r="A363">
        <v>362</v>
      </c>
      <c r="B363">
        <v>50</v>
      </c>
      <c r="C363" t="s">
        <v>81</v>
      </c>
      <c r="E363">
        <v>9144</v>
      </c>
      <c r="F363" t="s">
        <v>82</v>
      </c>
      <c r="G363" t="s">
        <v>82</v>
      </c>
      <c r="H363" t="s">
        <v>83</v>
      </c>
      <c r="I363" t="s">
        <v>84</v>
      </c>
      <c r="J363" t="s">
        <v>85</v>
      </c>
      <c r="K363" t="s">
        <v>86</v>
      </c>
      <c r="L363" t="s">
        <v>87</v>
      </c>
      <c r="M363" t="s">
        <v>147</v>
      </c>
      <c r="N363" t="s">
        <v>89</v>
      </c>
      <c r="O363" t="s">
        <v>89</v>
      </c>
      <c r="P363" t="s">
        <v>90</v>
      </c>
      <c r="Q363" t="s">
        <v>131</v>
      </c>
      <c r="R363">
        <v>5</v>
      </c>
      <c r="S363">
        <v>5</v>
      </c>
      <c r="T363">
        <v>1940</v>
      </c>
      <c r="U363">
        <v>1982</v>
      </c>
      <c r="V363" t="s">
        <v>92</v>
      </c>
      <c r="W363" t="s">
        <v>93</v>
      </c>
      <c r="X363" t="s">
        <v>115</v>
      </c>
      <c r="Y363" t="s">
        <v>115</v>
      </c>
      <c r="Z363" t="s">
        <v>116</v>
      </c>
      <c r="AA363">
        <v>0</v>
      </c>
      <c r="AB363" t="s">
        <v>97</v>
      </c>
      <c r="AC363" t="s">
        <v>97</v>
      </c>
      <c r="AD363" t="s">
        <v>117</v>
      </c>
      <c r="AE363" t="s">
        <v>97</v>
      </c>
      <c r="AF363" t="s">
        <v>97</v>
      </c>
      <c r="AG363" t="s">
        <v>99</v>
      </c>
      <c r="AH363" t="s">
        <v>152</v>
      </c>
      <c r="AI363">
        <v>399</v>
      </c>
      <c r="AJ363" t="s">
        <v>101</v>
      </c>
      <c r="AK363">
        <v>0</v>
      </c>
      <c r="AL363">
        <v>484</v>
      </c>
      <c r="AM363">
        <v>883</v>
      </c>
      <c r="AN363" t="s">
        <v>102</v>
      </c>
      <c r="AO363" t="s">
        <v>96</v>
      </c>
      <c r="AP363" t="s">
        <v>104</v>
      </c>
      <c r="AQ363" t="s">
        <v>105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97</v>
      </c>
      <c r="BC363">
        <v>8</v>
      </c>
      <c r="BD363" t="s">
        <v>106</v>
      </c>
      <c r="BE363">
        <v>0</v>
      </c>
      <c r="BG363" t="s">
        <v>126</v>
      </c>
      <c r="BH363">
        <v>1940</v>
      </c>
      <c r="BI363" t="s">
        <v>101</v>
      </c>
      <c r="BJ363">
        <v>1</v>
      </c>
      <c r="BK363">
        <v>240</v>
      </c>
      <c r="BL363" t="s">
        <v>97</v>
      </c>
      <c r="BM363" t="s">
        <v>97</v>
      </c>
      <c r="BN363" t="s">
        <v>176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X363">
        <v>0</v>
      </c>
      <c r="BY363">
        <v>7</v>
      </c>
      <c r="BZ363">
        <v>2008</v>
      </c>
      <c r="CA363" t="s">
        <v>109</v>
      </c>
      <c r="CB363" t="s">
        <v>110</v>
      </c>
      <c r="CC363">
        <v>145000</v>
      </c>
    </row>
    <row r="364" spans="1:81" x14ac:dyDescent="0.3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H364" t="s">
        <v>83</v>
      </c>
      <c r="I364" t="s">
        <v>84</v>
      </c>
      <c r="J364" t="s">
        <v>85</v>
      </c>
      <c r="K364" t="s">
        <v>121</v>
      </c>
      <c r="L364" t="s">
        <v>87</v>
      </c>
      <c r="M364" t="s">
        <v>184</v>
      </c>
      <c r="N364" t="s">
        <v>89</v>
      </c>
      <c r="O364" t="s">
        <v>89</v>
      </c>
      <c r="P364" t="s">
        <v>90</v>
      </c>
      <c r="Q364" t="s">
        <v>190</v>
      </c>
      <c r="R364">
        <v>7</v>
      </c>
      <c r="S364">
        <v>5</v>
      </c>
      <c r="T364">
        <v>2003</v>
      </c>
      <c r="U364">
        <v>2003</v>
      </c>
      <c r="V364" t="s">
        <v>92</v>
      </c>
      <c r="W364" t="s">
        <v>93</v>
      </c>
      <c r="X364" t="s">
        <v>139</v>
      </c>
      <c r="Y364" t="s">
        <v>139</v>
      </c>
      <c r="Z364" t="s">
        <v>95</v>
      </c>
      <c r="AA364">
        <v>500</v>
      </c>
      <c r="AB364" t="s">
        <v>96</v>
      </c>
      <c r="AC364" t="s">
        <v>97</v>
      </c>
      <c r="AD364" t="s">
        <v>167</v>
      </c>
      <c r="AI364">
        <v>0</v>
      </c>
      <c r="AK364">
        <v>0</v>
      </c>
      <c r="AL364">
        <v>0</v>
      </c>
      <c r="AM364">
        <v>0</v>
      </c>
      <c r="AN364" t="s">
        <v>102</v>
      </c>
      <c r="AO364" t="s">
        <v>103</v>
      </c>
      <c r="AP364" t="s">
        <v>104</v>
      </c>
      <c r="AQ364" t="s">
        <v>105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96</v>
      </c>
      <c r="BC364">
        <v>7</v>
      </c>
      <c r="BD364" t="s">
        <v>106</v>
      </c>
      <c r="BE364">
        <v>1</v>
      </c>
      <c r="BF364" t="s">
        <v>103</v>
      </c>
      <c r="BG364" t="s">
        <v>155</v>
      </c>
      <c r="BH364">
        <v>2003</v>
      </c>
      <c r="BI364" t="s">
        <v>108</v>
      </c>
      <c r="BJ364">
        <v>2</v>
      </c>
      <c r="BK364">
        <v>672</v>
      </c>
      <c r="BL364" t="s">
        <v>97</v>
      </c>
      <c r="BM364" t="s">
        <v>97</v>
      </c>
      <c r="BN364" t="s">
        <v>104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X364">
        <v>0</v>
      </c>
      <c r="BY364">
        <v>7</v>
      </c>
      <c r="BZ364">
        <v>2009</v>
      </c>
      <c r="CA364" t="s">
        <v>207</v>
      </c>
      <c r="CB364" t="s">
        <v>110</v>
      </c>
      <c r="CC364">
        <v>198500</v>
      </c>
    </row>
    <row r="365" spans="1:81" x14ac:dyDescent="0.3">
      <c r="A365">
        <v>364</v>
      </c>
      <c r="B365">
        <v>160</v>
      </c>
      <c r="C365" t="s">
        <v>141</v>
      </c>
      <c r="D365">
        <v>21</v>
      </c>
      <c r="E365">
        <v>1680</v>
      </c>
      <c r="F365" t="s">
        <v>82</v>
      </c>
      <c r="H365" t="s">
        <v>83</v>
      </c>
      <c r="I365" t="s">
        <v>84</v>
      </c>
      <c r="J365" t="s">
        <v>85</v>
      </c>
      <c r="K365" t="s">
        <v>86</v>
      </c>
      <c r="L365" t="s">
        <v>87</v>
      </c>
      <c r="M365" t="s">
        <v>227</v>
      </c>
      <c r="N365" t="s">
        <v>89</v>
      </c>
      <c r="O365" t="s">
        <v>89</v>
      </c>
      <c r="P365" t="s">
        <v>197</v>
      </c>
      <c r="Q365" t="s">
        <v>91</v>
      </c>
      <c r="R365">
        <v>6</v>
      </c>
      <c r="S365">
        <v>8</v>
      </c>
      <c r="T365">
        <v>1972</v>
      </c>
      <c r="U365">
        <v>2007</v>
      </c>
      <c r="V365" t="s">
        <v>92</v>
      </c>
      <c r="W365" t="s">
        <v>93</v>
      </c>
      <c r="X365" t="s">
        <v>139</v>
      </c>
      <c r="Y365" t="s">
        <v>139</v>
      </c>
      <c r="Z365" t="s">
        <v>95</v>
      </c>
      <c r="AA365">
        <v>510</v>
      </c>
      <c r="AB365" t="s">
        <v>97</v>
      </c>
      <c r="AC365" t="s">
        <v>97</v>
      </c>
      <c r="AD365" t="s">
        <v>117</v>
      </c>
      <c r="AE365" t="s">
        <v>97</v>
      </c>
      <c r="AF365" t="s">
        <v>97</v>
      </c>
      <c r="AG365" t="s">
        <v>99</v>
      </c>
      <c r="AH365" t="s">
        <v>118</v>
      </c>
      <c r="AI365">
        <v>162</v>
      </c>
      <c r="AJ365" t="s">
        <v>101</v>
      </c>
      <c r="AK365">
        <v>0</v>
      </c>
      <c r="AL365">
        <v>321</v>
      </c>
      <c r="AM365">
        <v>483</v>
      </c>
      <c r="AN365" t="s">
        <v>102</v>
      </c>
      <c r="AO365" t="s">
        <v>96</v>
      </c>
      <c r="AP365" t="s">
        <v>104</v>
      </c>
      <c r="AQ365" t="s">
        <v>105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96</v>
      </c>
      <c r="BC365">
        <v>5</v>
      </c>
      <c r="BD365" t="s">
        <v>106</v>
      </c>
      <c r="BE365">
        <v>0</v>
      </c>
      <c r="BG365" t="s">
        <v>126</v>
      </c>
      <c r="BH365">
        <v>1972</v>
      </c>
      <c r="BI365" t="s">
        <v>101</v>
      </c>
      <c r="BJ365">
        <v>1</v>
      </c>
      <c r="BK365">
        <v>264</v>
      </c>
      <c r="BL365" t="s">
        <v>97</v>
      </c>
      <c r="BM365" t="s">
        <v>97</v>
      </c>
      <c r="BN365" t="s">
        <v>104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X365">
        <v>0</v>
      </c>
      <c r="BY365">
        <v>5</v>
      </c>
      <c r="BZ365">
        <v>2009</v>
      </c>
      <c r="CA365" t="s">
        <v>109</v>
      </c>
      <c r="CB365" t="s">
        <v>110</v>
      </c>
      <c r="CC365">
        <v>118000</v>
      </c>
    </row>
    <row r="366" spans="1:81" x14ac:dyDescent="0.3">
      <c r="A366">
        <v>365</v>
      </c>
      <c r="B366">
        <v>60</v>
      </c>
      <c r="C366" t="s">
        <v>81</v>
      </c>
      <c r="E366">
        <v>18800</v>
      </c>
      <c r="F366" t="s">
        <v>82</v>
      </c>
      <c r="H366" t="s">
        <v>119</v>
      </c>
      <c r="I366" t="s">
        <v>84</v>
      </c>
      <c r="J366" t="s">
        <v>85</v>
      </c>
      <c r="K366" t="s">
        <v>111</v>
      </c>
      <c r="L366" t="s">
        <v>87</v>
      </c>
      <c r="M366" t="s">
        <v>137</v>
      </c>
      <c r="N366" t="s">
        <v>89</v>
      </c>
      <c r="O366" t="s">
        <v>89</v>
      </c>
      <c r="P366" t="s">
        <v>90</v>
      </c>
      <c r="Q366" t="s">
        <v>91</v>
      </c>
      <c r="R366">
        <v>6</v>
      </c>
      <c r="S366">
        <v>5</v>
      </c>
      <c r="T366">
        <v>1976</v>
      </c>
      <c r="U366">
        <v>1976</v>
      </c>
      <c r="V366" t="s">
        <v>92</v>
      </c>
      <c r="W366" t="s">
        <v>93</v>
      </c>
      <c r="X366" t="s">
        <v>139</v>
      </c>
      <c r="Y366" t="s">
        <v>139</v>
      </c>
      <c r="Z366" t="s">
        <v>95</v>
      </c>
      <c r="AA366">
        <v>120</v>
      </c>
      <c r="AB366" t="s">
        <v>97</v>
      </c>
      <c r="AC366" t="s">
        <v>97</v>
      </c>
      <c r="AD366" t="s">
        <v>98</v>
      </c>
      <c r="AE366" t="s">
        <v>96</v>
      </c>
      <c r="AF366" t="s">
        <v>97</v>
      </c>
      <c r="AG366" t="s">
        <v>120</v>
      </c>
      <c r="AH366" t="s">
        <v>100</v>
      </c>
      <c r="AI366">
        <v>712</v>
      </c>
      <c r="AJ366" t="s">
        <v>101</v>
      </c>
      <c r="AK366">
        <v>0</v>
      </c>
      <c r="AL366">
        <v>84</v>
      </c>
      <c r="AM366">
        <v>796</v>
      </c>
      <c r="AN366" t="s">
        <v>102</v>
      </c>
      <c r="AO366" t="s">
        <v>97</v>
      </c>
      <c r="AP366" t="s">
        <v>104</v>
      </c>
      <c r="AQ366" t="s">
        <v>105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97</v>
      </c>
      <c r="BC366">
        <v>6</v>
      </c>
      <c r="BD366" t="s">
        <v>106</v>
      </c>
      <c r="BE366">
        <v>1</v>
      </c>
      <c r="BF366" t="s">
        <v>97</v>
      </c>
      <c r="BG366" t="s">
        <v>107</v>
      </c>
      <c r="BH366">
        <v>1976</v>
      </c>
      <c r="BI366" t="s">
        <v>156</v>
      </c>
      <c r="BJ366">
        <v>2</v>
      </c>
      <c r="BK366">
        <v>566</v>
      </c>
      <c r="BL366" t="s">
        <v>97</v>
      </c>
      <c r="BM366" t="s">
        <v>97</v>
      </c>
      <c r="BN366" t="s">
        <v>104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X366">
        <v>0</v>
      </c>
      <c r="BY366">
        <v>7</v>
      </c>
      <c r="BZ366">
        <v>2006</v>
      </c>
      <c r="CA366" t="s">
        <v>109</v>
      </c>
      <c r="CB366" t="s">
        <v>110</v>
      </c>
      <c r="CC366">
        <v>190000</v>
      </c>
    </row>
    <row r="367" spans="1:81" x14ac:dyDescent="0.3">
      <c r="A367">
        <v>366</v>
      </c>
      <c r="B367">
        <v>70</v>
      </c>
      <c r="C367" t="s">
        <v>141</v>
      </c>
      <c r="D367">
        <v>59</v>
      </c>
      <c r="E367">
        <v>10690</v>
      </c>
      <c r="F367" t="s">
        <v>82</v>
      </c>
      <c r="H367" t="s">
        <v>83</v>
      </c>
      <c r="I367" t="s">
        <v>84</v>
      </c>
      <c r="J367" t="s">
        <v>85</v>
      </c>
      <c r="K367" t="s">
        <v>86</v>
      </c>
      <c r="L367" t="s">
        <v>87</v>
      </c>
      <c r="M367" t="s">
        <v>175</v>
      </c>
      <c r="N367" t="s">
        <v>89</v>
      </c>
      <c r="O367" t="s">
        <v>89</v>
      </c>
      <c r="P367" t="s">
        <v>90</v>
      </c>
      <c r="Q367" t="s">
        <v>91</v>
      </c>
      <c r="R367">
        <v>5</v>
      </c>
      <c r="S367">
        <v>7</v>
      </c>
      <c r="T367">
        <v>1920</v>
      </c>
      <c r="U367">
        <v>1997</v>
      </c>
      <c r="V367" t="s">
        <v>151</v>
      </c>
      <c r="W367" t="s">
        <v>93</v>
      </c>
      <c r="X367" t="s">
        <v>94</v>
      </c>
      <c r="Y367" t="s">
        <v>94</v>
      </c>
      <c r="Z367" t="s">
        <v>116</v>
      </c>
      <c r="AA367">
        <v>0</v>
      </c>
      <c r="AB367" t="s">
        <v>97</v>
      </c>
      <c r="AC367" t="s">
        <v>96</v>
      </c>
      <c r="AD367" t="s">
        <v>117</v>
      </c>
      <c r="AE367" t="s">
        <v>97</v>
      </c>
      <c r="AF367" t="s">
        <v>146</v>
      </c>
      <c r="AG367" t="s">
        <v>99</v>
      </c>
      <c r="AH367" t="s">
        <v>152</v>
      </c>
      <c r="AI367">
        <v>456</v>
      </c>
      <c r="AJ367" t="s">
        <v>101</v>
      </c>
      <c r="AK367">
        <v>0</v>
      </c>
      <c r="AL367">
        <v>216</v>
      </c>
      <c r="AM367">
        <v>672</v>
      </c>
      <c r="AN367" t="s">
        <v>102</v>
      </c>
      <c r="AO367" t="s">
        <v>96</v>
      </c>
      <c r="AP367" t="s">
        <v>104</v>
      </c>
      <c r="AQ367" t="s">
        <v>163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97</v>
      </c>
      <c r="BC367">
        <v>6</v>
      </c>
      <c r="BD367" t="s">
        <v>106</v>
      </c>
      <c r="BE367">
        <v>0</v>
      </c>
      <c r="BG367" t="s">
        <v>126</v>
      </c>
      <c r="BH367">
        <v>1964</v>
      </c>
      <c r="BI367" t="s">
        <v>101</v>
      </c>
      <c r="BJ367">
        <v>1</v>
      </c>
      <c r="BK367">
        <v>468</v>
      </c>
      <c r="BL367" t="s">
        <v>97</v>
      </c>
      <c r="BM367" t="s">
        <v>146</v>
      </c>
      <c r="BN367" t="s">
        <v>104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X367">
        <v>0</v>
      </c>
      <c r="BY367">
        <v>7</v>
      </c>
      <c r="BZ367">
        <v>2009</v>
      </c>
      <c r="CA367" t="s">
        <v>109</v>
      </c>
      <c r="CB367" t="s">
        <v>110</v>
      </c>
      <c r="CC367">
        <v>147000</v>
      </c>
    </row>
    <row r="368" spans="1:81" x14ac:dyDescent="0.3">
      <c r="A368">
        <v>367</v>
      </c>
      <c r="B368">
        <v>20</v>
      </c>
      <c r="C368" t="s">
        <v>81</v>
      </c>
      <c r="E368">
        <v>9500</v>
      </c>
      <c r="F368" t="s">
        <v>82</v>
      </c>
      <c r="H368" t="s">
        <v>119</v>
      </c>
      <c r="I368" t="s">
        <v>84</v>
      </c>
      <c r="J368" t="s">
        <v>85</v>
      </c>
      <c r="K368" t="s">
        <v>86</v>
      </c>
      <c r="L368" t="s">
        <v>87</v>
      </c>
      <c r="M368" t="s">
        <v>270</v>
      </c>
      <c r="N368" t="s">
        <v>89</v>
      </c>
      <c r="O368" t="s">
        <v>89</v>
      </c>
      <c r="P368" t="s">
        <v>90</v>
      </c>
      <c r="Q368" t="s">
        <v>114</v>
      </c>
      <c r="R368">
        <v>6</v>
      </c>
      <c r="S368">
        <v>5</v>
      </c>
      <c r="T368">
        <v>1963</v>
      </c>
      <c r="U368">
        <v>1963</v>
      </c>
      <c r="V368" t="s">
        <v>92</v>
      </c>
      <c r="W368" t="s">
        <v>93</v>
      </c>
      <c r="X368" t="s">
        <v>160</v>
      </c>
      <c r="Y368" t="s">
        <v>160</v>
      </c>
      <c r="Z368" t="s">
        <v>95</v>
      </c>
      <c r="AA368">
        <v>247</v>
      </c>
      <c r="AB368" t="s">
        <v>97</v>
      </c>
      <c r="AC368" t="s">
        <v>97</v>
      </c>
      <c r="AD368" t="s">
        <v>117</v>
      </c>
      <c r="AE368" t="s">
        <v>96</v>
      </c>
      <c r="AF368" t="s">
        <v>97</v>
      </c>
      <c r="AG368" t="s">
        <v>99</v>
      </c>
      <c r="AH368" t="s">
        <v>140</v>
      </c>
      <c r="AI368">
        <v>609</v>
      </c>
      <c r="AJ368" t="s">
        <v>101</v>
      </c>
      <c r="AK368">
        <v>0</v>
      </c>
      <c r="AL368">
        <v>785</v>
      </c>
      <c r="AM368">
        <v>1394</v>
      </c>
      <c r="AN368" t="s">
        <v>102</v>
      </c>
      <c r="AO368" t="s">
        <v>96</v>
      </c>
      <c r="AP368" t="s">
        <v>104</v>
      </c>
      <c r="AQ368" t="s">
        <v>105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97</v>
      </c>
      <c r="BC368">
        <v>6</v>
      </c>
      <c r="BD368" t="s">
        <v>106</v>
      </c>
      <c r="BE368">
        <v>2</v>
      </c>
      <c r="BF368" t="s">
        <v>96</v>
      </c>
      <c r="BG368" t="s">
        <v>107</v>
      </c>
      <c r="BH368">
        <v>1963</v>
      </c>
      <c r="BI368" t="s">
        <v>108</v>
      </c>
      <c r="BJ368">
        <v>2</v>
      </c>
      <c r="BK368">
        <v>514</v>
      </c>
      <c r="BL368" t="s">
        <v>97</v>
      </c>
      <c r="BM368" t="s">
        <v>97</v>
      </c>
      <c r="BN368" t="s">
        <v>104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X368">
        <v>0</v>
      </c>
      <c r="BY368">
        <v>7</v>
      </c>
      <c r="BZ368">
        <v>2009</v>
      </c>
      <c r="CA368" t="s">
        <v>109</v>
      </c>
      <c r="CB368" t="s">
        <v>110</v>
      </c>
      <c r="CC368">
        <v>159000</v>
      </c>
    </row>
    <row r="369" spans="1:81" x14ac:dyDescent="0.3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H369" t="s">
        <v>119</v>
      </c>
      <c r="I369" t="s">
        <v>84</v>
      </c>
      <c r="J369" t="s">
        <v>85</v>
      </c>
      <c r="K369" t="s">
        <v>121</v>
      </c>
      <c r="L369" t="s">
        <v>87</v>
      </c>
      <c r="M369" t="s">
        <v>270</v>
      </c>
      <c r="N369" t="s">
        <v>89</v>
      </c>
      <c r="O369" t="s">
        <v>89</v>
      </c>
      <c r="P369" t="s">
        <v>90</v>
      </c>
      <c r="Q369" t="s">
        <v>196</v>
      </c>
      <c r="R369">
        <v>6</v>
      </c>
      <c r="S369">
        <v>5</v>
      </c>
      <c r="T369">
        <v>1962</v>
      </c>
      <c r="U369">
        <v>1962</v>
      </c>
      <c r="V369" t="s">
        <v>92</v>
      </c>
      <c r="W369" t="s">
        <v>241</v>
      </c>
      <c r="X369" t="s">
        <v>160</v>
      </c>
      <c r="Y369" t="s">
        <v>160</v>
      </c>
      <c r="Z369" t="s">
        <v>95</v>
      </c>
      <c r="AA369">
        <v>305</v>
      </c>
      <c r="AB369" t="s">
        <v>97</v>
      </c>
      <c r="AC369" t="s">
        <v>97</v>
      </c>
      <c r="AD369" t="s">
        <v>117</v>
      </c>
      <c r="AE369" t="s">
        <v>96</v>
      </c>
      <c r="AF369" t="s">
        <v>97</v>
      </c>
      <c r="AG369" t="s">
        <v>96</v>
      </c>
      <c r="AH369" t="s">
        <v>100</v>
      </c>
      <c r="AI369">
        <v>371</v>
      </c>
      <c r="AJ369" t="s">
        <v>101</v>
      </c>
      <c r="AK369">
        <v>0</v>
      </c>
      <c r="AL369">
        <v>728</v>
      </c>
      <c r="AM369">
        <v>1099</v>
      </c>
      <c r="AN369" t="s">
        <v>102</v>
      </c>
      <c r="AO369" t="s">
        <v>96</v>
      </c>
      <c r="AP369" t="s">
        <v>104</v>
      </c>
      <c r="AQ369" t="s">
        <v>105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97</v>
      </c>
      <c r="BC369">
        <v>6</v>
      </c>
      <c r="BD369" t="s">
        <v>106</v>
      </c>
      <c r="BE369">
        <v>1</v>
      </c>
      <c r="BF369" t="s">
        <v>96</v>
      </c>
      <c r="BG369" t="s">
        <v>208</v>
      </c>
      <c r="BH369">
        <v>1962</v>
      </c>
      <c r="BI369" t="s">
        <v>108</v>
      </c>
      <c r="BJ369">
        <v>1</v>
      </c>
      <c r="BK369">
        <v>296</v>
      </c>
      <c r="BL369" t="s">
        <v>97</v>
      </c>
      <c r="BM369" t="s">
        <v>97</v>
      </c>
      <c r="BN369" t="s">
        <v>104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X369">
        <v>0</v>
      </c>
      <c r="BY369">
        <v>12</v>
      </c>
      <c r="BZ369">
        <v>2008</v>
      </c>
      <c r="CA369" t="s">
        <v>109</v>
      </c>
      <c r="CB369" t="s">
        <v>110</v>
      </c>
      <c r="CC369">
        <v>165000</v>
      </c>
    </row>
    <row r="370" spans="1:81" x14ac:dyDescent="0.3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H370" t="s">
        <v>83</v>
      </c>
      <c r="I370" t="s">
        <v>84</v>
      </c>
      <c r="J370" t="s">
        <v>85</v>
      </c>
      <c r="K370" t="s">
        <v>86</v>
      </c>
      <c r="L370" t="s">
        <v>87</v>
      </c>
      <c r="M370" t="s">
        <v>270</v>
      </c>
      <c r="N370" t="s">
        <v>89</v>
      </c>
      <c r="O370" t="s">
        <v>89</v>
      </c>
      <c r="P370" t="s">
        <v>90</v>
      </c>
      <c r="Q370" t="s">
        <v>114</v>
      </c>
      <c r="R370">
        <v>5</v>
      </c>
      <c r="S370">
        <v>6</v>
      </c>
      <c r="T370">
        <v>1954</v>
      </c>
      <c r="U370">
        <v>1954</v>
      </c>
      <c r="V370" t="s">
        <v>92</v>
      </c>
      <c r="W370" t="s">
        <v>93</v>
      </c>
      <c r="X370" t="s">
        <v>139</v>
      </c>
      <c r="Y370" t="s">
        <v>139</v>
      </c>
      <c r="Z370" t="s">
        <v>95</v>
      </c>
      <c r="AA370">
        <v>200</v>
      </c>
      <c r="AB370" t="s">
        <v>97</v>
      </c>
      <c r="AC370" t="s">
        <v>97</v>
      </c>
      <c r="AD370" t="s">
        <v>98</v>
      </c>
      <c r="AE370" t="s">
        <v>97</v>
      </c>
      <c r="AF370" t="s">
        <v>97</v>
      </c>
      <c r="AG370" t="s">
        <v>99</v>
      </c>
      <c r="AH370" t="s">
        <v>171</v>
      </c>
      <c r="AI370">
        <v>540</v>
      </c>
      <c r="AJ370" t="s">
        <v>101</v>
      </c>
      <c r="AK370">
        <v>0</v>
      </c>
      <c r="AL370">
        <v>728</v>
      </c>
      <c r="AM370">
        <v>1268</v>
      </c>
      <c r="AN370" t="s">
        <v>102</v>
      </c>
      <c r="AO370" t="s">
        <v>96</v>
      </c>
      <c r="AP370" t="s">
        <v>104</v>
      </c>
      <c r="AQ370" t="s">
        <v>105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97</v>
      </c>
      <c r="BC370">
        <v>7</v>
      </c>
      <c r="BD370" t="s">
        <v>106</v>
      </c>
      <c r="BE370">
        <v>1</v>
      </c>
      <c r="BF370" t="s">
        <v>96</v>
      </c>
      <c r="BG370" t="s">
        <v>107</v>
      </c>
      <c r="BH370">
        <v>1954</v>
      </c>
      <c r="BI370" t="s">
        <v>156</v>
      </c>
      <c r="BJ370">
        <v>1</v>
      </c>
      <c r="BK370">
        <v>244</v>
      </c>
      <c r="BL370" t="s">
        <v>97</v>
      </c>
      <c r="BM370" t="s">
        <v>97</v>
      </c>
      <c r="BN370" t="s">
        <v>104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X370">
        <v>0</v>
      </c>
      <c r="BY370">
        <v>3</v>
      </c>
      <c r="BZ370">
        <v>2010</v>
      </c>
      <c r="CA370" t="s">
        <v>109</v>
      </c>
      <c r="CB370" t="s">
        <v>110</v>
      </c>
      <c r="CC370">
        <v>132000</v>
      </c>
    </row>
    <row r="371" spans="1:81" x14ac:dyDescent="0.3">
      <c r="A371">
        <v>370</v>
      </c>
      <c r="B371">
        <v>20</v>
      </c>
      <c r="C371" t="s">
        <v>81</v>
      </c>
      <c r="E371">
        <v>9830</v>
      </c>
      <c r="F371" t="s">
        <v>82</v>
      </c>
      <c r="H371" t="s">
        <v>119</v>
      </c>
      <c r="I371" t="s">
        <v>84</v>
      </c>
      <c r="J371" t="s">
        <v>85</v>
      </c>
      <c r="K371" t="s">
        <v>121</v>
      </c>
      <c r="L371" t="s">
        <v>87</v>
      </c>
      <c r="M371" t="s">
        <v>270</v>
      </c>
      <c r="N371" t="s">
        <v>89</v>
      </c>
      <c r="O371" t="s">
        <v>89</v>
      </c>
      <c r="P371" t="s">
        <v>90</v>
      </c>
      <c r="Q371" t="s">
        <v>114</v>
      </c>
      <c r="R371">
        <v>5</v>
      </c>
      <c r="S371">
        <v>7</v>
      </c>
      <c r="T371">
        <v>1959</v>
      </c>
      <c r="U371">
        <v>2006</v>
      </c>
      <c r="V371" t="s">
        <v>92</v>
      </c>
      <c r="W371" t="s">
        <v>93</v>
      </c>
      <c r="X371" t="s">
        <v>123</v>
      </c>
      <c r="Y371" t="s">
        <v>123</v>
      </c>
      <c r="Z371" t="s">
        <v>116</v>
      </c>
      <c r="AA371">
        <v>0</v>
      </c>
      <c r="AB371" t="s">
        <v>97</v>
      </c>
      <c r="AC371" t="s">
        <v>96</v>
      </c>
      <c r="AD371" t="s">
        <v>117</v>
      </c>
      <c r="AE371" t="s">
        <v>97</v>
      </c>
      <c r="AF371" t="s">
        <v>97</v>
      </c>
      <c r="AG371" t="s">
        <v>99</v>
      </c>
      <c r="AH371" t="s">
        <v>118</v>
      </c>
      <c r="AI371">
        <v>72</v>
      </c>
      <c r="AJ371" t="s">
        <v>152</v>
      </c>
      <c r="AK371">
        <v>258</v>
      </c>
      <c r="AL371">
        <v>733</v>
      </c>
      <c r="AM371">
        <v>1063</v>
      </c>
      <c r="AN371" t="s">
        <v>102</v>
      </c>
      <c r="AO371" t="s">
        <v>103</v>
      </c>
      <c r="AP371" t="s">
        <v>104</v>
      </c>
      <c r="AQ371" t="s">
        <v>105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96</v>
      </c>
      <c r="BC371">
        <v>7</v>
      </c>
      <c r="BD371" t="s">
        <v>106</v>
      </c>
      <c r="BE371">
        <v>1</v>
      </c>
      <c r="BF371" t="s">
        <v>96</v>
      </c>
      <c r="BG371" t="s">
        <v>126</v>
      </c>
      <c r="BH371">
        <v>1997</v>
      </c>
      <c r="BI371" t="s">
        <v>156</v>
      </c>
      <c r="BJ371">
        <v>2</v>
      </c>
      <c r="BK371">
        <v>576</v>
      </c>
      <c r="BL371" t="s">
        <v>97</v>
      </c>
      <c r="BM371" t="s">
        <v>97</v>
      </c>
      <c r="BN371" t="s">
        <v>104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X371">
        <v>0</v>
      </c>
      <c r="BY371">
        <v>3</v>
      </c>
      <c r="BZ371">
        <v>2010</v>
      </c>
      <c r="CA371" t="s">
        <v>109</v>
      </c>
      <c r="CB371" t="s">
        <v>110</v>
      </c>
      <c r="CC371">
        <v>162000</v>
      </c>
    </row>
    <row r="372" spans="1:81" x14ac:dyDescent="0.3">
      <c r="A372">
        <v>371</v>
      </c>
      <c r="B372">
        <v>60</v>
      </c>
      <c r="C372" t="s">
        <v>81</v>
      </c>
      <c r="E372">
        <v>8121</v>
      </c>
      <c r="F372" t="s">
        <v>82</v>
      </c>
      <c r="H372" t="s">
        <v>119</v>
      </c>
      <c r="I372" t="s">
        <v>84</v>
      </c>
      <c r="J372" t="s">
        <v>85</v>
      </c>
      <c r="K372" t="s">
        <v>86</v>
      </c>
      <c r="L372" t="s">
        <v>87</v>
      </c>
      <c r="M372" t="s">
        <v>192</v>
      </c>
      <c r="N372" t="s">
        <v>89</v>
      </c>
      <c r="O372" t="s">
        <v>89</v>
      </c>
      <c r="P372" t="s">
        <v>90</v>
      </c>
      <c r="Q372" t="s">
        <v>91</v>
      </c>
      <c r="R372">
        <v>6</v>
      </c>
      <c r="S372">
        <v>5</v>
      </c>
      <c r="T372">
        <v>2000</v>
      </c>
      <c r="U372">
        <v>2000</v>
      </c>
      <c r="V372" t="s">
        <v>92</v>
      </c>
      <c r="W372" t="s">
        <v>93</v>
      </c>
      <c r="X372" t="s">
        <v>94</v>
      </c>
      <c r="Y372" t="s">
        <v>94</v>
      </c>
      <c r="Z372" t="s">
        <v>116</v>
      </c>
      <c r="AA372">
        <v>0</v>
      </c>
      <c r="AB372" t="s">
        <v>97</v>
      </c>
      <c r="AC372" t="s">
        <v>97</v>
      </c>
      <c r="AD372" t="s">
        <v>98</v>
      </c>
      <c r="AE372" t="s">
        <v>96</v>
      </c>
      <c r="AF372" t="s">
        <v>97</v>
      </c>
      <c r="AG372" t="s">
        <v>99</v>
      </c>
      <c r="AH372" t="s">
        <v>101</v>
      </c>
      <c r="AI372">
        <v>0</v>
      </c>
      <c r="AJ372" t="s">
        <v>101</v>
      </c>
      <c r="AK372">
        <v>0</v>
      </c>
      <c r="AL372">
        <v>953</v>
      </c>
      <c r="AM372">
        <v>953</v>
      </c>
      <c r="AN372" t="s">
        <v>102</v>
      </c>
      <c r="AO372" t="s">
        <v>103</v>
      </c>
      <c r="AP372" t="s">
        <v>104</v>
      </c>
      <c r="AQ372" t="s">
        <v>105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97</v>
      </c>
      <c r="BC372">
        <v>7</v>
      </c>
      <c r="BD372" t="s">
        <v>106</v>
      </c>
      <c r="BE372">
        <v>1</v>
      </c>
      <c r="BF372" t="s">
        <v>97</v>
      </c>
      <c r="BG372" t="s">
        <v>107</v>
      </c>
      <c r="BH372">
        <v>2000</v>
      </c>
      <c r="BI372" t="s">
        <v>108</v>
      </c>
      <c r="BJ372">
        <v>2</v>
      </c>
      <c r="BK372">
        <v>460</v>
      </c>
      <c r="BL372" t="s">
        <v>97</v>
      </c>
      <c r="BM372" t="s">
        <v>97</v>
      </c>
      <c r="BN372" t="s">
        <v>104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X372">
        <v>0</v>
      </c>
      <c r="BY372">
        <v>1</v>
      </c>
      <c r="BZ372">
        <v>2006</v>
      </c>
      <c r="CA372" t="s">
        <v>109</v>
      </c>
      <c r="CB372" t="s">
        <v>110</v>
      </c>
      <c r="CC372">
        <v>172400</v>
      </c>
    </row>
    <row r="373" spans="1:81" x14ac:dyDescent="0.3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H373" t="s">
        <v>83</v>
      </c>
      <c r="I373" t="s">
        <v>84</v>
      </c>
      <c r="J373" t="s">
        <v>85</v>
      </c>
      <c r="K373" t="s">
        <v>86</v>
      </c>
      <c r="L373" t="s">
        <v>87</v>
      </c>
      <c r="M373" t="s">
        <v>204</v>
      </c>
      <c r="N373" t="s">
        <v>113</v>
      </c>
      <c r="O373" t="s">
        <v>89</v>
      </c>
      <c r="P373" t="s">
        <v>90</v>
      </c>
      <c r="Q373" t="s">
        <v>131</v>
      </c>
      <c r="R373">
        <v>4</v>
      </c>
      <c r="S373">
        <v>4</v>
      </c>
      <c r="T373">
        <v>1959</v>
      </c>
      <c r="U373">
        <v>1959</v>
      </c>
      <c r="V373" t="s">
        <v>92</v>
      </c>
      <c r="W373" t="s">
        <v>93</v>
      </c>
      <c r="X373" t="s">
        <v>154</v>
      </c>
      <c r="Y373" t="s">
        <v>160</v>
      </c>
      <c r="Z373" t="s">
        <v>116</v>
      </c>
      <c r="AA373">
        <v>0</v>
      </c>
      <c r="AB373" t="s">
        <v>97</v>
      </c>
      <c r="AC373" t="s">
        <v>97</v>
      </c>
      <c r="AD373" t="s">
        <v>117</v>
      </c>
      <c r="AI373">
        <v>0</v>
      </c>
      <c r="AK373">
        <v>0</v>
      </c>
      <c r="AL373">
        <v>0</v>
      </c>
      <c r="AM373">
        <v>0</v>
      </c>
      <c r="AN373" t="s">
        <v>102</v>
      </c>
      <c r="AO373" t="s">
        <v>97</v>
      </c>
      <c r="AP373" t="s">
        <v>104</v>
      </c>
      <c r="AQ373" t="s">
        <v>105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97</v>
      </c>
      <c r="BC373">
        <v>7</v>
      </c>
      <c r="BD373" t="s">
        <v>223</v>
      </c>
      <c r="BE373">
        <v>1</v>
      </c>
      <c r="BF373" t="s">
        <v>96</v>
      </c>
      <c r="BG373" t="s">
        <v>126</v>
      </c>
      <c r="BH373">
        <v>1991</v>
      </c>
      <c r="BI373" t="s">
        <v>156</v>
      </c>
      <c r="BJ373">
        <v>2</v>
      </c>
      <c r="BK373">
        <v>680</v>
      </c>
      <c r="BL373" t="s">
        <v>97</v>
      </c>
      <c r="BM373" t="s">
        <v>97</v>
      </c>
      <c r="BN373" t="s">
        <v>176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X373">
        <v>0</v>
      </c>
      <c r="BY373">
        <v>7</v>
      </c>
      <c r="BZ373">
        <v>2008</v>
      </c>
      <c r="CA373" t="s">
        <v>109</v>
      </c>
      <c r="CB373" t="s">
        <v>110</v>
      </c>
      <c r="CC373">
        <v>134432</v>
      </c>
    </row>
    <row r="374" spans="1:81" x14ac:dyDescent="0.3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H374" t="s">
        <v>83</v>
      </c>
      <c r="I374" t="s">
        <v>84</v>
      </c>
      <c r="J374" t="s">
        <v>85</v>
      </c>
      <c r="K374" t="s">
        <v>86</v>
      </c>
      <c r="L374" t="s">
        <v>87</v>
      </c>
      <c r="M374" t="s">
        <v>169</v>
      </c>
      <c r="N374" t="s">
        <v>89</v>
      </c>
      <c r="O374" t="s">
        <v>89</v>
      </c>
      <c r="P374" t="s">
        <v>178</v>
      </c>
      <c r="Q374" t="s">
        <v>114</v>
      </c>
      <c r="R374">
        <v>6</v>
      </c>
      <c r="S374">
        <v>5</v>
      </c>
      <c r="T374">
        <v>1984</v>
      </c>
      <c r="U374">
        <v>1984</v>
      </c>
      <c r="V374" t="s">
        <v>92</v>
      </c>
      <c r="W374" t="s">
        <v>93</v>
      </c>
      <c r="X374" t="s">
        <v>160</v>
      </c>
      <c r="Y374" t="s">
        <v>160</v>
      </c>
      <c r="Z374" t="s">
        <v>116</v>
      </c>
      <c r="AA374">
        <v>0</v>
      </c>
      <c r="AB374" t="s">
        <v>97</v>
      </c>
      <c r="AC374" t="s">
        <v>97</v>
      </c>
      <c r="AD374" t="s">
        <v>117</v>
      </c>
      <c r="AE374" t="s">
        <v>96</v>
      </c>
      <c r="AF374" t="s">
        <v>97</v>
      </c>
      <c r="AG374" t="s">
        <v>99</v>
      </c>
      <c r="AH374" t="s">
        <v>118</v>
      </c>
      <c r="AI374">
        <v>623</v>
      </c>
      <c r="AJ374" t="s">
        <v>171</v>
      </c>
      <c r="AK374">
        <v>121</v>
      </c>
      <c r="AL374">
        <v>0</v>
      </c>
      <c r="AM374">
        <v>744</v>
      </c>
      <c r="AN374" t="s">
        <v>102</v>
      </c>
      <c r="AO374" t="s">
        <v>97</v>
      </c>
      <c r="AP374" t="s">
        <v>104</v>
      </c>
      <c r="AQ374" t="s">
        <v>105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97</v>
      </c>
      <c r="BC374">
        <v>4</v>
      </c>
      <c r="BD374" t="s">
        <v>106</v>
      </c>
      <c r="BE374">
        <v>0</v>
      </c>
      <c r="BG374" t="s">
        <v>107</v>
      </c>
      <c r="BH374">
        <v>1984</v>
      </c>
      <c r="BI374" t="s">
        <v>101</v>
      </c>
      <c r="BJ374">
        <v>1</v>
      </c>
      <c r="BK374">
        <v>264</v>
      </c>
      <c r="BL374" t="s">
        <v>97</v>
      </c>
      <c r="BM374" t="s">
        <v>97</v>
      </c>
      <c r="BN374" t="s">
        <v>104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V374" t="s">
        <v>133</v>
      </c>
      <c r="BX374">
        <v>0</v>
      </c>
      <c r="BY374">
        <v>2</v>
      </c>
      <c r="BZ374">
        <v>2010</v>
      </c>
      <c r="CA374" t="s">
        <v>109</v>
      </c>
      <c r="CB374" t="s">
        <v>110</v>
      </c>
      <c r="CC374">
        <v>125000</v>
      </c>
    </row>
    <row r="375" spans="1:81" x14ac:dyDescent="0.3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H375" t="s">
        <v>83</v>
      </c>
      <c r="I375" t="s">
        <v>84</v>
      </c>
      <c r="J375" t="s">
        <v>85</v>
      </c>
      <c r="K375" t="s">
        <v>86</v>
      </c>
      <c r="L375" t="s">
        <v>87</v>
      </c>
      <c r="M375" t="s">
        <v>270</v>
      </c>
      <c r="N375" t="s">
        <v>89</v>
      </c>
      <c r="O375" t="s">
        <v>89</v>
      </c>
      <c r="P375" t="s">
        <v>90</v>
      </c>
      <c r="Q375" t="s">
        <v>114</v>
      </c>
      <c r="R375">
        <v>5</v>
      </c>
      <c r="S375">
        <v>6</v>
      </c>
      <c r="T375">
        <v>1953</v>
      </c>
      <c r="U375">
        <v>1953</v>
      </c>
      <c r="V375" t="s">
        <v>92</v>
      </c>
      <c r="W375" t="s">
        <v>93</v>
      </c>
      <c r="X375" t="s">
        <v>115</v>
      </c>
      <c r="Y375" t="s">
        <v>115</v>
      </c>
      <c r="Z375" t="s">
        <v>116</v>
      </c>
      <c r="AA375">
        <v>0</v>
      </c>
      <c r="AB375" t="s">
        <v>97</v>
      </c>
      <c r="AC375" t="s">
        <v>97</v>
      </c>
      <c r="AD375" t="s">
        <v>98</v>
      </c>
      <c r="AE375" t="s">
        <v>97</v>
      </c>
      <c r="AF375" t="s">
        <v>97</v>
      </c>
      <c r="AG375" t="s">
        <v>99</v>
      </c>
      <c r="AH375" t="s">
        <v>140</v>
      </c>
      <c r="AI375">
        <v>428</v>
      </c>
      <c r="AJ375" t="s">
        <v>171</v>
      </c>
      <c r="AK375">
        <v>180</v>
      </c>
      <c r="AL375">
        <v>0</v>
      </c>
      <c r="AM375">
        <v>608</v>
      </c>
      <c r="AN375" t="s">
        <v>102</v>
      </c>
      <c r="AO375" t="s">
        <v>97</v>
      </c>
      <c r="AP375" t="s">
        <v>104</v>
      </c>
      <c r="AQ375" t="s">
        <v>105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97</v>
      </c>
      <c r="BC375">
        <v>5</v>
      </c>
      <c r="BD375" t="s">
        <v>223</v>
      </c>
      <c r="BE375">
        <v>0</v>
      </c>
      <c r="BG375" t="s">
        <v>107</v>
      </c>
      <c r="BH375">
        <v>1953</v>
      </c>
      <c r="BI375" t="s">
        <v>101</v>
      </c>
      <c r="BJ375">
        <v>1</v>
      </c>
      <c r="BK375">
        <v>270</v>
      </c>
      <c r="BL375" t="s">
        <v>97</v>
      </c>
      <c r="BM375" t="s">
        <v>97</v>
      </c>
      <c r="BN375" t="s">
        <v>104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V375" t="s">
        <v>162</v>
      </c>
      <c r="BX375">
        <v>0</v>
      </c>
      <c r="BY375">
        <v>11</v>
      </c>
      <c r="BZ375">
        <v>2009</v>
      </c>
      <c r="CA375" t="s">
        <v>109</v>
      </c>
      <c r="CB375" t="s">
        <v>110</v>
      </c>
      <c r="CC375">
        <v>123000</v>
      </c>
    </row>
    <row r="376" spans="1:81" x14ac:dyDescent="0.3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H376" t="s">
        <v>83</v>
      </c>
      <c r="I376" t="s">
        <v>84</v>
      </c>
      <c r="J376" t="s">
        <v>85</v>
      </c>
      <c r="K376" t="s">
        <v>86</v>
      </c>
      <c r="L376" t="s">
        <v>87</v>
      </c>
      <c r="M376" t="s">
        <v>88</v>
      </c>
      <c r="N376" t="s">
        <v>89</v>
      </c>
      <c r="O376" t="s">
        <v>89</v>
      </c>
      <c r="P376" t="s">
        <v>90</v>
      </c>
      <c r="Q376" t="s">
        <v>91</v>
      </c>
      <c r="R376">
        <v>7</v>
      </c>
      <c r="S376">
        <v>5</v>
      </c>
      <c r="T376">
        <v>2003</v>
      </c>
      <c r="U376">
        <v>2004</v>
      </c>
      <c r="V376" t="s">
        <v>92</v>
      </c>
      <c r="W376" t="s">
        <v>93</v>
      </c>
      <c r="X376" t="s">
        <v>94</v>
      </c>
      <c r="Y376" t="s">
        <v>94</v>
      </c>
      <c r="Z376" t="s">
        <v>116</v>
      </c>
      <c r="AA376">
        <v>0</v>
      </c>
      <c r="AB376" t="s">
        <v>96</v>
      </c>
      <c r="AC376" t="s">
        <v>97</v>
      </c>
      <c r="AD376" t="s">
        <v>98</v>
      </c>
      <c r="AE376" t="s">
        <v>96</v>
      </c>
      <c r="AF376" t="s">
        <v>97</v>
      </c>
      <c r="AG376" t="s">
        <v>99</v>
      </c>
      <c r="AH376" t="s">
        <v>101</v>
      </c>
      <c r="AI376">
        <v>0</v>
      </c>
      <c r="AJ376" t="s">
        <v>101</v>
      </c>
      <c r="AK376">
        <v>0</v>
      </c>
      <c r="AL376">
        <v>847</v>
      </c>
      <c r="AM376">
        <v>847</v>
      </c>
      <c r="AN376" t="s">
        <v>102</v>
      </c>
      <c r="AO376" t="s">
        <v>103</v>
      </c>
      <c r="AP376" t="s">
        <v>104</v>
      </c>
      <c r="AQ376" t="s">
        <v>105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96</v>
      </c>
      <c r="BC376">
        <v>8</v>
      </c>
      <c r="BD376" t="s">
        <v>106</v>
      </c>
      <c r="BE376">
        <v>1</v>
      </c>
      <c r="BF376" t="s">
        <v>96</v>
      </c>
      <c r="BG376" t="s">
        <v>155</v>
      </c>
      <c r="BH376">
        <v>2003</v>
      </c>
      <c r="BI376" t="s">
        <v>156</v>
      </c>
      <c r="BJ376">
        <v>2</v>
      </c>
      <c r="BK376">
        <v>434</v>
      </c>
      <c r="BL376" t="s">
        <v>97</v>
      </c>
      <c r="BM376" t="s">
        <v>97</v>
      </c>
      <c r="BN376" t="s">
        <v>104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X376">
        <v>0</v>
      </c>
      <c r="BY376">
        <v>7</v>
      </c>
      <c r="BZ376">
        <v>2007</v>
      </c>
      <c r="CA376" t="s">
        <v>109</v>
      </c>
      <c r="CB376" t="s">
        <v>110</v>
      </c>
      <c r="CC376">
        <v>219500</v>
      </c>
    </row>
    <row r="377" spans="1:81" x14ac:dyDescent="0.3">
      <c r="A377">
        <v>376</v>
      </c>
      <c r="B377">
        <v>30</v>
      </c>
      <c r="C377" t="s">
        <v>81</v>
      </c>
      <c r="E377">
        <v>10020</v>
      </c>
      <c r="F377" t="s">
        <v>82</v>
      </c>
      <c r="H377" t="s">
        <v>119</v>
      </c>
      <c r="I377" t="s">
        <v>194</v>
      </c>
      <c r="J377" t="s">
        <v>85</v>
      </c>
      <c r="K377" t="s">
        <v>86</v>
      </c>
      <c r="L377" t="s">
        <v>212</v>
      </c>
      <c r="M377" t="s">
        <v>184</v>
      </c>
      <c r="N377" t="s">
        <v>89</v>
      </c>
      <c r="O377" t="s">
        <v>89</v>
      </c>
      <c r="P377" t="s">
        <v>90</v>
      </c>
      <c r="Q377" t="s">
        <v>114</v>
      </c>
      <c r="R377">
        <v>1</v>
      </c>
      <c r="S377">
        <v>1</v>
      </c>
      <c r="T377">
        <v>1922</v>
      </c>
      <c r="U377">
        <v>1950</v>
      </c>
      <c r="V377" t="s">
        <v>92</v>
      </c>
      <c r="W377" t="s">
        <v>93</v>
      </c>
      <c r="X377" t="s">
        <v>123</v>
      </c>
      <c r="Y377" t="s">
        <v>123</v>
      </c>
      <c r="Z377" t="s">
        <v>116</v>
      </c>
      <c r="AA377">
        <v>0</v>
      </c>
      <c r="AB377" t="s">
        <v>146</v>
      </c>
      <c r="AC377" t="s">
        <v>146</v>
      </c>
      <c r="AD377" t="s">
        <v>125</v>
      </c>
      <c r="AE377" t="s">
        <v>146</v>
      </c>
      <c r="AF377" t="s">
        <v>211</v>
      </c>
      <c r="AG377" t="s">
        <v>96</v>
      </c>
      <c r="AH377" t="s">
        <v>140</v>
      </c>
      <c r="AI377">
        <v>350</v>
      </c>
      <c r="AJ377" t="s">
        <v>101</v>
      </c>
      <c r="AK377">
        <v>0</v>
      </c>
      <c r="AL377">
        <v>333</v>
      </c>
      <c r="AM377">
        <v>683</v>
      </c>
      <c r="AN377" t="s">
        <v>102</v>
      </c>
      <c r="AO377" t="s">
        <v>96</v>
      </c>
      <c r="AP377" t="s">
        <v>176</v>
      </c>
      <c r="AQ377" t="s">
        <v>163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146</v>
      </c>
      <c r="BC377">
        <v>4</v>
      </c>
      <c r="BD377" t="s">
        <v>220</v>
      </c>
      <c r="BE377">
        <v>0</v>
      </c>
      <c r="BJ377">
        <v>0</v>
      </c>
      <c r="BK377">
        <v>0</v>
      </c>
      <c r="BN377" t="s">
        <v>104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X377">
        <v>0</v>
      </c>
      <c r="BY377">
        <v>3</v>
      </c>
      <c r="BZ377">
        <v>2009</v>
      </c>
      <c r="CA377" t="s">
        <v>109</v>
      </c>
      <c r="CB377" t="s">
        <v>110</v>
      </c>
      <c r="CC377">
        <v>61000</v>
      </c>
    </row>
    <row r="378" spans="1:81" x14ac:dyDescent="0.3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H378" t="s">
        <v>119</v>
      </c>
      <c r="I378" t="s">
        <v>84</v>
      </c>
      <c r="J378" t="s">
        <v>85</v>
      </c>
      <c r="K378" t="s">
        <v>165</v>
      </c>
      <c r="L378" t="s">
        <v>87</v>
      </c>
      <c r="M378" t="s">
        <v>88</v>
      </c>
      <c r="N378" t="s">
        <v>89</v>
      </c>
      <c r="O378" t="s">
        <v>89</v>
      </c>
      <c r="P378" t="s">
        <v>90</v>
      </c>
      <c r="Q378" t="s">
        <v>190</v>
      </c>
      <c r="R378">
        <v>5</v>
      </c>
      <c r="S378">
        <v>5</v>
      </c>
      <c r="T378">
        <v>1996</v>
      </c>
      <c r="U378">
        <v>1996</v>
      </c>
      <c r="V378" t="s">
        <v>92</v>
      </c>
      <c r="W378" t="s">
        <v>93</v>
      </c>
      <c r="X378" t="s">
        <v>94</v>
      </c>
      <c r="Y378" t="s">
        <v>94</v>
      </c>
      <c r="Z378" t="s">
        <v>116</v>
      </c>
      <c r="AA378">
        <v>0</v>
      </c>
      <c r="AB378" t="s">
        <v>96</v>
      </c>
      <c r="AC378" t="s">
        <v>97</v>
      </c>
      <c r="AD378" t="s">
        <v>98</v>
      </c>
      <c r="AE378" t="s">
        <v>96</v>
      </c>
      <c r="AF378" t="s">
        <v>97</v>
      </c>
      <c r="AG378" t="s">
        <v>129</v>
      </c>
      <c r="AH378" t="s">
        <v>100</v>
      </c>
      <c r="AI378">
        <v>298</v>
      </c>
      <c r="AJ378" t="s">
        <v>101</v>
      </c>
      <c r="AK378">
        <v>0</v>
      </c>
      <c r="AL378">
        <v>572</v>
      </c>
      <c r="AM378">
        <v>870</v>
      </c>
      <c r="AN378" t="s">
        <v>102</v>
      </c>
      <c r="AO378" t="s">
        <v>103</v>
      </c>
      <c r="AP378" t="s">
        <v>104</v>
      </c>
      <c r="AQ378" t="s">
        <v>105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97</v>
      </c>
      <c r="BC378">
        <v>5</v>
      </c>
      <c r="BD378" t="s">
        <v>106</v>
      </c>
      <c r="BE378">
        <v>0</v>
      </c>
      <c r="BG378" t="s">
        <v>126</v>
      </c>
      <c r="BH378">
        <v>1998</v>
      </c>
      <c r="BI378" t="s">
        <v>101</v>
      </c>
      <c r="BJ378">
        <v>2</v>
      </c>
      <c r="BK378">
        <v>576</v>
      </c>
      <c r="BL378" t="s">
        <v>97</v>
      </c>
      <c r="BM378" t="s">
        <v>97</v>
      </c>
      <c r="BN378" t="s">
        <v>104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X378">
        <v>0</v>
      </c>
      <c r="BY378">
        <v>7</v>
      </c>
      <c r="BZ378">
        <v>2006</v>
      </c>
      <c r="CA378" t="s">
        <v>109</v>
      </c>
      <c r="CB378" t="s">
        <v>110</v>
      </c>
      <c r="CC378">
        <v>148000</v>
      </c>
    </row>
    <row r="379" spans="1:81" x14ac:dyDescent="0.3">
      <c r="A379">
        <v>378</v>
      </c>
      <c r="B379">
        <v>60</v>
      </c>
      <c r="C379" t="s">
        <v>191</v>
      </c>
      <c r="D379">
        <v>102</v>
      </c>
      <c r="E379">
        <v>11143</v>
      </c>
      <c r="F379" t="s">
        <v>82</v>
      </c>
      <c r="H379" t="s">
        <v>119</v>
      </c>
      <c r="I379" t="s">
        <v>84</v>
      </c>
      <c r="J379" t="s">
        <v>85</v>
      </c>
      <c r="K379" t="s">
        <v>121</v>
      </c>
      <c r="L379" t="s">
        <v>87</v>
      </c>
      <c r="M379" t="s">
        <v>135</v>
      </c>
      <c r="N379" t="s">
        <v>89</v>
      </c>
      <c r="O379" t="s">
        <v>89</v>
      </c>
      <c r="P379" t="s">
        <v>90</v>
      </c>
      <c r="Q379" t="s">
        <v>91</v>
      </c>
      <c r="R379">
        <v>8</v>
      </c>
      <c r="S379">
        <v>5</v>
      </c>
      <c r="T379">
        <v>2004</v>
      </c>
      <c r="U379">
        <v>2005</v>
      </c>
      <c r="V379" t="s">
        <v>92</v>
      </c>
      <c r="W379" t="s">
        <v>93</v>
      </c>
      <c r="X379" t="s">
        <v>179</v>
      </c>
      <c r="Y379" t="s">
        <v>180</v>
      </c>
      <c r="Z379" t="s">
        <v>116</v>
      </c>
      <c r="AA379">
        <v>0</v>
      </c>
      <c r="AB379" t="s">
        <v>96</v>
      </c>
      <c r="AC379" t="s">
        <v>97</v>
      </c>
      <c r="AD379" t="s">
        <v>98</v>
      </c>
      <c r="AE379" t="s">
        <v>96</v>
      </c>
      <c r="AF379" t="s">
        <v>97</v>
      </c>
      <c r="AG379" t="s">
        <v>99</v>
      </c>
      <c r="AH379" t="s">
        <v>101</v>
      </c>
      <c r="AI379">
        <v>0</v>
      </c>
      <c r="AJ379" t="s">
        <v>101</v>
      </c>
      <c r="AK379">
        <v>0</v>
      </c>
      <c r="AL379">
        <v>1580</v>
      </c>
      <c r="AM379">
        <v>1580</v>
      </c>
      <c r="AN379" t="s">
        <v>102</v>
      </c>
      <c r="AO379" t="s">
        <v>103</v>
      </c>
      <c r="AP379" t="s">
        <v>104</v>
      </c>
      <c r="AQ379" t="s">
        <v>105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96</v>
      </c>
      <c r="BC379">
        <v>8</v>
      </c>
      <c r="BD379" t="s">
        <v>106</v>
      </c>
      <c r="BE379">
        <v>1</v>
      </c>
      <c r="BF379" t="s">
        <v>96</v>
      </c>
      <c r="BG379" t="s">
        <v>107</v>
      </c>
      <c r="BH379">
        <v>2004</v>
      </c>
      <c r="BI379" t="s">
        <v>108</v>
      </c>
      <c r="BJ379">
        <v>2</v>
      </c>
      <c r="BK379">
        <v>610</v>
      </c>
      <c r="BL379" t="s">
        <v>97</v>
      </c>
      <c r="BM379" t="s">
        <v>97</v>
      </c>
      <c r="BN379" t="s">
        <v>104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X379">
        <v>0</v>
      </c>
      <c r="BY379">
        <v>12</v>
      </c>
      <c r="BZ379">
        <v>2007</v>
      </c>
      <c r="CA379" t="s">
        <v>109</v>
      </c>
      <c r="CB379" t="s">
        <v>110</v>
      </c>
      <c r="CC379">
        <v>340000</v>
      </c>
    </row>
    <row r="380" spans="1:81" x14ac:dyDescent="0.3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H380" t="s">
        <v>83</v>
      </c>
      <c r="I380" t="s">
        <v>84</v>
      </c>
      <c r="J380" t="s">
        <v>85</v>
      </c>
      <c r="K380" t="s">
        <v>121</v>
      </c>
      <c r="L380" t="s">
        <v>87</v>
      </c>
      <c r="M380" t="s">
        <v>199</v>
      </c>
      <c r="N380" t="s">
        <v>89</v>
      </c>
      <c r="O380" t="s">
        <v>89</v>
      </c>
      <c r="P380" t="s">
        <v>90</v>
      </c>
      <c r="Q380" t="s">
        <v>114</v>
      </c>
      <c r="R380">
        <v>9</v>
      </c>
      <c r="S380">
        <v>2</v>
      </c>
      <c r="T380">
        <v>2010</v>
      </c>
      <c r="U380">
        <v>2010</v>
      </c>
      <c r="V380" t="s">
        <v>151</v>
      </c>
      <c r="W380" t="s">
        <v>93</v>
      </c>
      <c r="X380" t="s">
        <v>94</v>
      </c>
      <c r="Y380" t="s">
        <v>94</v>
      </c>
      <c r="Z380" t="s">
        <v>136</v>
      </c>
      <c r="AA380">
        <v>350</v>
      </c>
      <c r="AB380" t="s">
        <v>96</v>
      </c>
      <c r="AC380" t="s">
        <v>97</v>
      </c>
      <c r="AD380" t="s">
        <v>98</v>
      </c>
      <c r="AE380" t="s">
        <v>103</v>
      </c>
      <c r="AF380" t="s">
        <v>97</v>
      </c>
      <c r="AG380" t="s">
        <v>129</v>
      </c>
      <c r="AH380" t="s">
        <v>100</v>
      </c>
      <c r="AI380">
        <v>1445</v>
      </c>
      <c r="AJ380" t="s">
        <v>101</v>
      </c>
      <c r="AK380">
        <v>0</v>
      </c>
      <c r="AL380">
        <v>411</v>
      </c>
      <c r="AM380">
        <v>1856</v>
      </c>
      <c r="AN380" t="s">
        <v>102</v>
      </c>
      <c r="AO380" t="s">
        <v>103</v>
      </c>
      <c r="AP380" t="s">
        <v>104</v>
      </c>
      <c r="AQ380" t="s">
        <v>105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103</v>
      </c>
      <c r="BC380">
        <v>8</v>
      </c>
      <c r="BD380" t="s">
        <v>106</v>
      </c>
      <c r="BE380">
        <v>1</v>
      </c>
      <c r="BF380" t="s">
        <v>103</v>
      </c>
      <c r="BG380" t="s">
        <v>107</v>
      </c>
      <c r="BH380">
        <v>2010</v>
      </c>
      <c r="BI380" t="s">
        <v>156</v>
      </c>
      <c r="BJ380">
        <v>3</v>
      </c>
      <c r="BK380">
        <v>834</v>
      </c>
      <c r="BL380" t="s">
        <v>97</v>
      </c>
      <c r="BM380" t="s">
        <v>97</v>
      </c>
      <c r="BN380" t="s">
        <v>104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X380">
        <v>0</v>
      </c>
      <c r="BY380">
        <v>6</v>
      </c>
      <c r="BZ380">
        <v>2010</v>
      </c>
      <c r="CA380" t="s">
        <v>157</v>
      </c>
      <c r="CB380" t="s">
        <v>158</v>
      </c>
      <c r="CC380">
        <v>394432</v>
      </c>
    </row>
    <row r="381" spans="1:81" x14ac:dyDescent="0.3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H381" t="s">
        <v>119</v>
      </c>
      <c r="I381" t="s">
        <v>84</v>
      </c>
      <c r="J381" t="s">
        <v>85</v>
      </c>
      <c r="K381" t="s">
        <v>86</v>
      </c>
      <c r="L381" t="s">
        <v>87</v>
      </c>
      <c r="M381" t="s">
        <v>192</v>
      </c>
      <c r="N381" t="s">
        <v>201</v>
      </c>
      <c r="O381" t="s">
        <v>89</v>
      </c>
      <c r="P381" t="s">
        <v>90</v>
      </c>
      <c r="Q381" t="s">
        <v>91</v>
      </c>
      <c r="R381">
        <v>6</v>
      </c>
      <c r="S381">
        <v>5</v>
      </c>
      <c r="T381">
        <v>2000</v>
      </c>
      <c r="U381">
        <v>2000</v>
      </c>
      <c r="V381" t="s">
        <v>92</v>
      </c>
      <c r="W381" t="s">
        <v>93</v>
      </c>
      <c r="X381" t="s">
        <v>94</v>
      </c>
      <c r="Y381" t="s">
        <v>94</v>
      </c>
      <c r="Z381" t="s">
        <v>95</v>
      </c>
      <c r="AA381">
        <v>16</v>
      </c>
      <c r="AB381" t="s">
        <v>97</v>
      </c>
      <c r="AC381" t="s">
        <v>97</v>
      </c>
      <c r="AD381" t="s">
        <v>98</v>
      </c>
      <c r="AE381" t="s">
        <v>96</v>
      </c>
      <c r="AF381" t="s">
        <v>97</v>
      </c>
      <c r="AG381" t="s">
        <v>99</v>
      </c>
      <c r="AH381" t="s">
        <v>101</v>
      </c>
      <c r="AI381">
        <v>0</v>
      </c>
      <c r="AJ381" t="s">
        <v>101</v>
      </c>
      <c r="AK381">
        <v>0</v>
      </c>
      <c r="AL381">
        <v>982</v>
      </c>
      <c r="AM381">
        <v>982</v>
      </c>
      <c r="AN381" t="s">
        <v>102</v>
      </c>
      <c r="AO381" t="s">
        <v>103</v>
      </c>
      <c r="AP381" t="s">
        <v>104</v>
      </c>
      <c r="AQ381" t="s">
        <v>105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97</v>
      </c>
      <c r="BC381">
        <v>7</v>
      </c>
      <c r="BD381" t="s">
        <v>106</v>
      </c>
      <c r="BE381">
        <v>1</v>
      </c>
      <c r="BF381" t="s">
        <v>97</v>
      </c>
      <c r="BG381" t="s">
        <v>107</v>
      </c>
      <c r="BH381">
        <v>2000</v>
      </c>
      <c r="BI381" t="s">
        <v>156</v>
      </c>
      <c r="BJ381">
        <v>2</v>
      </c>
      <c r="BK381">
        <v>463</v>
      </c>
      <c r="BL381" t="s">
        <v>97</v>
      </c>
      <c r="BM381" t="s">
        <v>97</v>
      </c>
      <c r="BN381" t="s">
        <v>104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X381">
        <v>0</v>
      </c>
      <c r="BY381">
        <v>6</v>
      </c>
      <c r="BZ381">
        <v>2009</v>
      </c>
      <c r="CA381" t="s">
        <v>109</v>
      </c>
      <c r="CB381" t="s">
        <v>110</v>
      </c>
      <c r="CC381">
        <v>179000</v>
      </c>
    </row>
    <row r="382" spans="1:81" x14ac:dyDescent="0.3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83</v>
      </c>
      <c r="I382" t="s">
        <v>84</v>
      </c>
      <c r="J382" t="s">
        <v>85</v>
      </c>
      <c r="K382" t="s">
        <v>86</v>
      </c>
      <c r="L382" t="s">
        <v>87</v>
      </c>
      <c r="M382" t="s">
        <v>231</v>
      </c>
      <c r="N382" t="s">
        <v>89</v>
      </c>
      <c r="O382" t="s">
        <v>89</v>
      </c>
      <c r="P382" t="s">
        <v>90</v>
      </c>
      <c r="Q382" t="s">
        <v>131</v>
      </c>
      <c r="R382">
        <v>5</v>
      </c>
      <c r="S382">
        <v>6</v>
      </c>
      <c r="T382">
        <v>1924</v>
      </c>
      <c r="U382">
        <v>1950</v>
      </c>
      <c r="V382" t="s">
        <v>92</v>
      </c>
      <c r="W382" t="s">
        <v>93</v>
      </c>
      <c r="X382" t="s">
        <v>95</v>
      </c>
      <c r="Y382" t="s">
        <v>123</v>
      </c>
      <c r="Z382" t="s">
        <v>116</v>
      </c>
      <c r="AA382">
        <v>0</v>
      </c>
      <c r="AB382" t="s">
        <v>97</v>
      </c>
      <c r="AC382" t="s">
        <v>97</v>
      </c>
      <c r="AD382" t="s">
        <v>125</v>
      </c>
      <c r="AE382" t="s">
        <v>97</v>
      </c>
      <c r="AF382" t="s">
        <v>97</v>
      </c>
      <c r="AG382" t="s">
        <v>99</v>
      </c>
      <c r="AH382" t="s">
        <v>171</v>
      </c>
      <c r="AI382">
        <v>218</v>
      </c>
      <c r="AJ382" t="s">
        <v>101</v>
      </c>
      <c r="AK382">
        <v>0</v>
      </c>
      <c r="AL382">
        <v>808</v>
      </c>
      <c r="AM382">
        <v>1026</v>
      </c>
      <c r="AN382" t="s">
        <v>102</v>
      </c>
      <c r="AO382" t="s">
        <v>97</v>
      </c>
      <c r="AP382" t="s">
        <v>104</v>
      </c>
      <c r="AQ382" t="s">
        <v>105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96</v>
      </c>
      <c r="BC382">
        <v>6</v>
      </c>
      <c r="BD382" t="s">
        <v>106</v>
      </c>
      <c r="BE382">
        <v>1</v>
      </c>
      <c r="BF382" t="s">
        <v>96</v>
      </c>
      <c r="BG382" t="s">
        <v>126</v>
      </c>
      <c r="BH382">
        <v>1924</v>
      </c>
      <c r="BI382" t="s">
        <v>101</v>
      </c>
      <c r="BJ382">
        <v>1</v>
      </c>
      <c r="BK382">
        <v>308</v>
      </c>
      <c r="BL382" t="s">
        <v>97</v>
      </c>
      <c r="BM382" t="s">
        <v>97</v>
      </c>
      <c r="BN382" t="s">
        <v>104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X382">
        <v>0</v>
      </c>
      <c r="BY382">
        <v>5</v>
      </c>
      <c r="BZ382">
        <v>2010</v>
      </c>
      <c r="CA382" t="s">
        <v>109</v>
      </c>
      <c r="CB382" t="s">
        <v>110</v>
      </c>
      <c r="CC382">
        <v>127000</v>
      </c>
    </row>
    <row r="383" spans="1:81" x14ac:dyDescent="0.3">
      <c r="A383">
        <v>382</v>
      </c>
      <c r="B383">
        <v>20</v>
      </c>
      <c r="C383" t="s">
        <v>191</v>
      </c>
      <c r="D383">
        <v>60</v>
      </c>
      <c r="E383">
        <v>7200</v>
      </c>
      <c r="F383" t="s">
        <v>82</v>
      </c>
      <c r="G383" t="s">
        <v>82</v>
      </c>
      <c r="H383" t="s">
        <v>83</v>
      </c>
      <c r="I383" t="s">
        <v>84</v>
      </c>
      <c r="J383" t="s">
        <v>85</v>
      </c>
      <c r="K383" t="s">
        <v>86</v>
      </c>
      <c r="L383" t="s">
        <v>87</v>
      </c>
      <c r="M383" t="s">
        <v>135</v>
      </c>
      <c r="N383" t="s">
        <v>89</v>
      </c>
      <c r="O383" t="s">
        <v>89</v>
      </c>
      <c r="P383" t="s">
        <v>90</v>
      </c>
      <c r="Q383" t="s">
        <v>114</v>
      </c>
      <c r="R383">
        <v>7</v>
      </c>
      <c r="S383">
        <v>5</v>
      </c>
      <c r="T383">
        <v>2006</v>
      </c>
      <c r="U383">
        <v>2006</v>
      </c>
      <c r="V383" t="s">
        <v>92</v>
      </c>
      <c r="W383" t="s">
        <v>93</v>
      </c>
      <c r="X383" t="s">
        <v>94</v>
      </c>
      <c r="Y383" t="s">
        <v>94</v>
      </c>
      <c r="Z383" t="s">
        <v>116</v>
      </c>
      <c r="AA383">
        <v>0</v>
      </c>
      <c r="AB383" t="s">
        <v>96</v>
      </c>
      <c r="AC383" t="s">
        <v>97</v>
      </c>
      <c r="AD383" t="s">
        <v>98</v>
      </c>
      <c r="AE383" t="s">
        <v>96</v>
      </c>
      <c r="AF383" t="s">
        <v>96</v>
      </c>
      <c r="AG383" t="s">
        <v>99</v>
      </c>
      <c r="AH383" t="s">
        <v>101</v>
      </c>
      <c r="AI383">
        <v>0</v>
      </c>
      <c r="AJ383" t="s">
        <v>101</v>
      </c>
      <c r="AK383">
        <v>0</v>
      </c>
      <c r="AL383">
        <v>1293</v>
      </c>
      <c r="AM383">
        <v>1293</v>
      </c>
      <c r="AN383" t="s">
        <v>102</v>
      </c>
      <c r="AO383" t="s">
        <v>103</v>
      </c>
      <c r="AP383" t="s">
        <v>104</v>
      </c>
      <c r="AQ383" t="s">
        <v>105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96</v>
      </c>
      <c r="BC383">
        <v>5</v>
      </c>
      <c r="BD383" t="s">
        <v>106</v>
      </c>
      <c r="BE383">
        <v>1</v>
      </c>
      <c r="BF383" t="s">
        <v>96</v>
      </c>
      <c r="BG383" t="s">
        <v>107</v>
      </c>
      <c r="BH383">
        <v>2006</v>
      </c>
      <c r="BI383" t="s">
        <v>108</v>
      </c>
      <c r="BJ383">
        <v>2</v>
      </c>
      <c r="BK383">
        <v>572</v>
      </c>
      <c r="BL383" t="s">
        <v>97</v>
      </c>
      <c r="BM383" t="s">
        <v>97</v>
      </c>
      <c r="BN383" t="s">
        <v>104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X383">
        <v>0</v>
      </c>
      <c r="BY383">
        <v>8</v>
      </c>
      <c r="BZ383">
        <v>2006</v>
      </c>
      <c r="CA383" t="s">
        <v>157</v>
      </c>
      <c r="CB383" t="s">
        <v>158</v>
      </c>
      <c r="CC383">
        <v>187750</v>
      </c>
    </row>
    <row r="384" spans="1:81" x14ac:dyDescent="0.3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H384" t="s">
        <v>119</v>
      </c>
      <c r="I384" t="s">
        <v>84</v>
      </c>
      <c r="J384" t="s">
        <v>85</v>
      </c>
      <c r="K384" t="s">
        <v>86</v>
      </c>
      <c r="L384" t="s">
        <v>87</v>
      </c>
      <c r="M384" t="s">
        <v>88</v>
      </c>
      <c r="N384" t="s">
        <v>89</v>
      </c>
      <c r="O384" t="s">
        <v>89</v>
      </c>
      <c r="P384" t="s">
        <v>90</v>
      </c>
      <c r="Q384" t="s">
        <v>91</v>
      </c>
      <c r="R384">
        <v>7</v>
      </c>
      <c r="S384">
        <v>5</v>
      </c>
      <c r="T384">
        <v>2006</v>
      </c>
      <c r="U384">
        <v>2006</v>
      </c>
      <c r="V384" t="s">
        <v>92</v>
      </c>
      <c r="W384" t="s">
        <v>93</v>
      </c>
      <c r="X384" t="s">
        <v>94</v>
      </c>
      <c r="Y384" t="s">
        <v>94</v>
      </c>
      <c r="Z384" t="s">
        <v>116</v>
      </c>
      <c r="AA384">
        <v>0</v>
      </c>
      <c r="AB384" t="s">
        <v>96</v>
      </c>
      <c r="AC384" t="s">
        <v>97</v>
      </c>
      <c r="AD384" t="s">
        <v>98</v>
      </c>
      <c r="AE384" t="s">
        <v>96</v>
      </c>
      <c r="AF384" t="s">
        <v>97</v>
      </c>
      <c r="AG384" t="s">
        <v>129</v>
      </c>
      <c r="AH384" t="s">
        <v>101</v>
      </c>
      <c r="AI384">
        <v>0</v>
      </c>
      <c r="AJ384" t="s">
        <v>101</v>
      </c>
      <c r="AK384">
        <v>0</v>
      </c>
      <c r="AL384">
        <v>939</v>
      </c>
      <c r="AM384">
        <v>939</v>
      </c>
      <c r="AN384" t="s">
        <v>102</v>
      </c>
      <c r="AO384" t="s">
        <v>103</v>
      </c>
      <c r="AP384" t="s">
        <v>104</v>
      </c>
      <c r="AQ384" t="s">
        <v>105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96</v>
      </c>
      <c r="BC384">
        <v>8</v>
      </c>
      <c r="BD384" t="s">
        <v>106</v>
      </c>
      <c r="BE384">
        <v>0</v>
      </c>
      <c r="BG384" t="s">
        <v>107</v>
      </c>
      <c r="BH384">
        <v>2006</v>
      </c>
      <c r="BI384" t="s">
        <v>108</v>
      </c>
      <c r="BJ384">
        <v>2</v>
      </c>
      <c r="BK384">
        <v>639</v>
      </c>
      <c r="BL384" t="s">
        <v>97</v>
      </c>
      <c r="BM384" t="s">
        <v>97</v>
      </c>
      <c r="BN384" t="s">
        <v>104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X384">
        <v>0</v>
      </c>
      <c r="BY384">
        <v>4</v>
      </c>
      <c r="BZ384">
        <v>2007</v>
      </c>
      <c r="CA384" t="s">
        <v>109</v>
      </c>
      <c r="CB384" t="s">
        <v>110</v>
      </c>
      <c r="CC384">
        <v>213500</v>
      </c>
    </row>
    <row r="385" spans="1:81" x14ac:dyDescent="0.3">
      <c r="A385">
        <v>384</v>
      </c>
      <c r="B385">
        <v>45</v>
      </c>
      <c r="C385" t="s">
        <v>238</v>
      </c>
      <c r="D385">
        <v>60</v>
      </c>
      <c r="E385">
        <v>9000</v>
      </c>
      <c r="F385" t="s">
        <v>82</v>
      </c>
      <c r="H385" t="s">
        <v>83</v>
      </c>
      <c r="I385" t="s">
        <v>84</v>
      </c>
      <c r="J385" t="s">
        <v>85</v>
      </c>
      <c r="K385" t="s">
        <v>121</v>
      </c>
      <c r="L385" t="s">
        <v>87</v>
      </c>
      <c r="M385" t="s">
        <v>169</v>
      </c>
      <c r="N385" t="s">
        <v>89</v>
      </c>
      <c r="O385" t="s">
        <v>89</v>
      </c>
      <c r="P385" t="s">
        <v>90</v>
      </c>
      <c r="Q385" t="s">
        <v>149</v>
      </c>
      <c r="R385">
        <v>6</v>
      </c>
      <c r="S385">
        <v>3</v>
      </c>
      <c r="T385">
        <v>1928</v>
      </c>
      <c r="U385">
        <v>1950</v>
      </c>
      <c r="V385" t="s">
        <v>92</v>
      </c>
      <c r="W385" t="s">
        <v>93</v>
      </c>
      <c r="X385" t="s">
        <v>123</v>
      </c>
      <c r="Y385" t="s">
        <v>123</v>
      </c>
      <c r="Z385" t="s">
        <v>116</v>
      </c>
      <c r="AA385">
        <v>0</v>
      </c>
      <c r="AB385" t="s">
        <v>97</v>
      </c>
      <c r="AC385" t="s">
        <v>97</v>
      </c>
      <c r="AD385" t="s">
        <v>125</v>
      </c>
      <c r="AE385" t="s">
        <v>146</v>
      </c>
      <c r="AF385" t="s">
        <v>146</v>
      </c>
      <c r="AG385" t="s">
        <v>99</v>
      </c>
      <c r="AH385" t="s">
        <v>101</v>
      </c>
      <c r="AI385">
        <v>0</v>
      </c>
      <c r="AJ385" t="s">
        <v>101</v>
      </c>
      <c r="AK385">
        <v>0</v>
      </c>
      <c r="AL385">
        <v>784</v>
      </c>
      <c r="AM385">
        <v>784</v>
      </c>
      <c r="AN385" t="s">
        <v>102</v>
      </c>
      <c r="AO385" t="s">
        <v>97</v>
      </c>
      <c r="AP385" t="s">
        <v>176</v>
      </c>
      <c r="AQ385" t="s">
        <v>163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97</v>
      </c>
      <c r="BC385">
        <v>5</v>
      </c>
      <c r="BD385" t="s">
        <v>106</v>
      </c>
      <c r="BE385">
        <v>0</v>
      </c>
      <c r="BG385" t="s">
        <v>126</v>
      </c>
      <c r="BH385">
        <v>1950</v>
      </c>
      <c r="BI385" t="s">
        <v>101</v>
      </c>
      <c r="BJ385">
        <v>2</v>
      </c>
      <c r="BK385">
        <v>360</v>
      </c>
      <c r="BL385" t="s">
        <v>146</v>
      </c>
      <c r="BM385" t="s">
        <v>146</v>
      </c>
      <c r="BN385" t="s">
        <v>176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X385">
        <v>0</v>
      </c>
      <c r="BY385">
        <v>10</v>
      </c>
      <c r="BZ385">
        <v>2009</v>
      </c>
      <c r="CA385" t="s">
        <v>109</v>
      </c>
      <c r="CB385" t="s">
        <v>110</v>
      </c>
      <c r="CC385">
        <v>76000</v>
      </c>
    </row>
    <row r="386" spans="1:81" x14ac:dyDescent="0.3">
      <c r="A386">
        <v>385</v>
      </c>
      <c r="B386">
        <v>60</v>
      </c>
      <c r="C386" t="s">
        <v>81</v>
      </c>
      <c r="E386">
        <v>53107</v>
      </c>
      <c r="F386" t="s">
        <v>82</v>
      </c>
      <c r="H386" t="s">
        <v>159</v>
      </c>
      <c r="I386" t="s">
        <v>194</v>
      </c>
      <c r="J386" t="s">
        <v>85</v>
      </c>
      <c r="K386" t="s">
        <v>121</v>
      </c>
      <c r="L386" t="s">
        <v>193</v>
      </c>
      <c r="M386" t="s">
        <v>204</v>
      </c>
      <c r="N386" t="s">
        <v>113</v>
      </c>
      <c r="O386" t="s">
        <v>89</v>
      </c>
      <c r="P386" t="s">
        <v>90</v>
      </c>
      <c r="Q386" t="s">
        <v>91</v>
      </c>
      <c r="R386">
        <v>6</v>
      </c>
      <c r="S386">
        <v>5</v>
      </c>
      <c r="T386">
        <v>1992</v>
      </c>
      <c r="U386">
        <v>1992</v>
      </c>
      <c r="V386" t="s">
        <v>92</v>
      </c>
      <c r="W386" t="s">
        <v>93</v>
      </c>
      <c r="X386" t="s">
        <v>139</v>
      </c>
      <c r="Y386" t="s">
        <v>139</v>
      </c>
      <c r="Z386" t="s">
        <v>116</v>
      </c>
      <c r="AA386">
        <v>0</v>
      </c>
      <c r="AB386" t="s">
        <v>96</v>
      </c>
      <c r="AC386" t="s">
        <v>97</v>
      </c>
      <c r="AD386" t="s">
        <v>98</v>
      </c>
      <c r="AE386" t="s">
        <v>96</v>
      </c>
      <c r="AF386" t="s">
        <v>97</v>
      </c>
      <c r="AG386" t="s">
        <v>129</v>
      </c>
      <c r="AH386" t="s">
        <v>100</v>
      </c>
      <c r="AI386">
        <v>985</v>
      </c>
      <c r="AJ386" t="s">
        <v>101</v>
      </c>
      <c r="AK386">
        <v>0</v>
      </c>
      <c r="AL386">
        <v>595</v>
      </c>
      <c r="AM386">
        <v>1580</v>
      </c>
      <c r="AN386" t="s">
        <v>102</v>
      </c>
      <c r="AO386" t="s">
        <v>103</v>
      </c>
      <c r="AP386" t="s">
        <v>104</v>
      </c>
      <c r="AQ386" t="s">
        <v>105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96</v>
      </c>
      <c r="BC386">
        <v>9</v>
      </c>
      <c r="BD386" t="s">
        <v>106</v>
      </c>
      <c r="BE386">
        <v>2</v>
      </c>
      <c r="BF386" t="s">
        <v>146</v>
      </c>
      <c r="BG386" t="s">
        <v>107</v>
      </c>
      <c r="BH386">
        <v>1992</v>
      </c>
      <c r="BI386" t="s">
        <v>156</v>
      </c>
      <c r="BJ386">
        <v>2</v>
      </c>
      <c r="BK386">
        <v>501</v>
      </c>
      <c r="BL386" t="s">
        <v>97</v>
      </c>
      <c r="BM386" t="s">
        <v>97</v>
      </c>
      <c r="BN386" t="s">
        <v>104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X386">
        <v>0</v>
      </c>
      <c r="BY386">
        <v>6</v>
      </c>
      <c r="BZ386">
        <v>2007</v>
      </c>
      <c r="CA386" t="s">
        <v>109</v>
      </c>
      <c r="CB386" t="s">
        <v>110</v>
      </c>
      <c r="CC386">
        <v>240000</v>
      </c>
    </row>
    <row r="387" spans="1:81" x14ac:dyDescent="0.3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H387" t="s">
        <v>83</v>
      </c>
      <c r="I387" t="s">
        <v>84</v>
      </c>
      <c r="J387" t="s">
        <v>85</v>
      </c>
      <c r="K387" t="s">
        <v>86</v>
      </c>
      <c r="L387" t="s">
        <v>87</v>
      </c>
      <c r="M387" t="s">
        <v>226</v>
      </c>
      <c r="N387" t="s">
        <v>89</v>
      </c>
      <c r="O387" t="s">
        <v>89</v>
      </c>
      <c r="P387" t="s">
        <v>178</v>
      </c>
      <c r="Q387" t="s">
        <v>114</v>
      </c>
      <c r="R387">
        <v>8</v>
      </c>
      <c r="S387">
        <v>5</v>
      </c>
      <c r="T387">
        <v>2004</v>
      </c>
      <c r="U387">
        <v>2005</v>
      </c>
      <c r="V387" t="s">
        <v>92</v>
      </c>
      <c r="W387" t="s">
        <v>93</v>
      </c>
      <c r="X387" t="s">
        <v>94</v>
      </c>
      <c r="Y387" t="s">
        <v>94</v>
      </c>
      <c r="Z387" t="s">
        <v>95</v>
      </c>
      <c r="AA387">
        <v>16</v>
      </c>
      <c r="AB387" t="s">
        <v>96</v>
      </c>
      <c r="AC387" t="s">
        <v>97</v>
      </c>
      <c r="AD387" t="s">
        <v>98</v>
      </c>
      <c r="AE387" t="s">
        <v>96</v>
      </c>
      <c r="AF387" t="s">
        <v>97</v>
      </c>
      <c r="AG387" t="s">
        <v>99</v>
      </c>
      <c r="AH387" t="s">
        <v>100</v>
      </c>
      <c r="AI387">
        <v>24</v>
      </c>
      <c r="AJ387" t="s">
        <v>101</v>
      </c>
      <c r="AK387">
        <v>0</v>
      </c>
      <c r="AL387">
        <v>1232</v>
      </c>
      <c r="AM387">
        <v>1256</v>
      </c>
      <c r="AN387" t="s">
        <v>102</v>
      </c>
      <c r="AO387" t="s">
        <v>103</v>
      </c>
      <c r="AP387" t="s">
        <v>104</v>
      </c>
      <c r="AQ387" t="s">
        <v>105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96</v>
      </c>
      <c r="BC387">
        <v>6</v>
      </c>
      <c r="BD387" t="s">
        <v>106</v>
      </c>
      <c r="BE387">
        <v>1</v>
      </c>
      <c r="BF387" t="s">
        <v>97</v>
      </c>
      <c r="BG387" t="s">
        <v>107</v>
      </c>
      <c r="BH387">
        <v>2004</v>
      </c>
      <c r="BI387" t="s">
        <v>156</v>
      </c>
      <c r="BJ387">
        <v>2</v>
      </c>
      <c r="BK387">
        <v>430</v>
      </c>
      <c r="BL387" t="s">
        <v>97</v>
      </c>
      <c r="BM387" t="s">
        <v>97</v>
      </c>
      <c r="BN387" t="s">
        <v>104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X387">
        <v>0</v>
      </c>
      <c r="BY387">
        <v>4</v>
      </c>
      <c r="BZ387">
        <v>2010</v>
      </c>
      <c r="CA387" t="s">
        <v>109</v>
      </c>
      <c r="CB387" t="s">
        <v>110</v>
      </c>
      <c r="CC387">
        <v>192000</v>
      </c>
    </row>
    <row r="388" spans="1:81" x14ac:dyDescent="0.3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H388" t="s">
        <v>83</v>
      </c>
      <c r="I388" t="s">
        <v>84</v>
      </c>
      <c r="J388" t="s">
        <v>85</v>
      </c>
      <c r="K388" t="s">
        <v>111</v>
      </c>
      <c r="L388" t="s">
        <v>87</v>
      </c>
      <c r="M388" t="s">
        <v>184</v>
      </c>
      <c r="N388" t="s">
        <v>113</v>
      </c>
      <c r="O388" t="s">
        <v>89</v>
      </c>
      <c r="P388" t="s">
        <v>90</v>
      </c>
      <c r="Q388" t="s">
        <v>131</v>
      </c>
      <c r="R388">
        <v>5</v>
      </c>
      <c r="S388">
        <v>3</v>
      </c>
      <c r="T388">
        <v>1910</v>
      </c>
      <c r="U388">
        <v>1996</v>
      </c>
      <c r="V388" t="s">
        <v>183</v>
      </c>
      <c r="W388" t="s">
        <v>93</v>
      </c>
      <c r="X388" t="s">
        <v>123</v>
      </c>
      <c r="Y388" t="s">
        <v>94</v>
      </c>
      <c r="Z388" t="s">
        <v>116</v>
      </c>
      <c r="AA388">
        <v>0</v>
      </c>
      <c r="AB388" t="s">
        <v>97</v>
      </c>
      <c r="AC388" t="s">
        <v>146</v>
      </c>
      <c r="AD388" t="s">
        <v>98</v>
      </c>
      <c r="AE388" t="s">
        <v>97</v>
      </c>
      <c r="AF388" t="s">
        <v>97</v>
      </c>
      <c r="AG388" t="s">
        <v>99</v>
      </c>
      <c r="AH388" t="s">
        <v>101</v>
      </c>
      <c r="AI388">
        <v>0</v>
      </c>
      <c r="AJ388" t="s">
        <v>101</v>
      </c>
      <c r="AK388">
        <v>0</v>
      </c>
      <c r="AL388">
        <v>658</v>
      </c>
      <c r="AM388">
        <v>658</v>
      </c>
      <c r="AN388" t="s">
        <v>102</v>
      </c>
      <c r="AO388" t="s">
        <v>97</v>
      </c>
      <c r="AP388" t="s">
        <v>104</v>
      </c>
      <c r="AQ388" t="s">
        <v>105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97</v>
      </c>
      <c r="BC388">
        <v>8</v>
      </c>
      <c r="BD388" t="s">
        <v>106</v>
      </c>
      <c r="BE388">
        <v>0</v>
      </c>
      <c r="BJ388">
        <v>0</v>
      </c>
      <c r="BK388">
        <v>0</v>
      </c>
      <c r="BN388" t="s">
        <v>176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X388">
        <v>0</v>
      </c>
      <c r="BY388">
        <v>5</v>
      </c>
      <c r="BZ388">
        <v>2006</v>
      </c>
      <c r="CA388" t="s">
        <v>109</v>
      </c>
      <c r="CB388" t="s">
        <v>187</v>
      </c>
      <c r="CC388">
        <v>81000</v>
      </c>
    </row>
    <row r="389" spans="1:81" x14ac:dyDescent="0.3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H389" t="s">
        <v>83</v>
      </c>
      <c r="I389" t="s">
        <v>84</v>
      </c>
      <c r="J389" t="s">
        <v>85</v>
      </c>
      <c r="K389" t="s">
        <v>86</v>
      </c>
      <c r="L389" t="s">
        <v>87</v>
      </c>
      <c r="M389" t="s">
        <v>184</v>
      </c>
      <c r="N389" t="s">
        <v>89</v>
      </c>
      <c r="O389" t="s">
        <v>89</v>
      </c>
      <c r="P389" t="s">
        <v>90</v>
      </c>
      <c r="Q389" t="s">
        <v>196</v>
      </c>
      <c r="R389">
        <v>6</v>
      </c>
      <c r="S389">
        <v>6</v>
      </c>
      <c r="T389">
        <v>1976</v>
      </c>
      <c r="U389">
        <v>1976</v>
      </c>
      <c r="V389" t="s">
        <v>151</v>
      </c>
      <c r="W389" t="s">
        <v>93</v>
      </c>
      <c r="X389" t="s">
        <v>115</v>
      </c>
      <c r="Y389" t="s">
        <v>115</v>
      </c>
      <c r="Z389" t="s">
        <v>95</v>
      </c>
      <c r="AA389">
        <v>255</v>
      </c>
      <c r="AB389" t="s">
        <v>97</v>
      </c>
      <c r="AC389" t="s">
        <v>97</v>
      </c>
      <c r="AD389" t="s">
        <v>117</v>
      </c>
      <c r="AE389" t="s">
        <v>97</v>
      </c>
      <c r="AF389" t="s">
        <v>97</v>
      </c>
      <c r="AG389" t="s">
        <v>129</v>
      </c>
      <c r="AH389" t="s">
        <v>118</v>
      </c>
      <c r="AI389">
        <v>631</v>
      </c>
      <c r="AJ389" t="s">
        <v>101</v>
      </c>
      <c r="AK389">
        <v>0</v>
      </c>
      <c r="AL389">
        <v>410</v>
      </c>
      <c r="AM389">
        <v>1041</v>
      </c>
      <c r="AN389" t="s">
        <v>102</v>
      </c>
      <c r="AO389" t="s">
        <v>103</v>
      </c>
      <c r="AP389" t="s">
        <v>104</v>
      </c>
      <c r="AQ389" t="s">
        <v>105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97</v>
      </c>
      <c r="BC389">
        <v>6</v>
      </c>
      <c r="BD389" t="s">
        <v>106</v>
      </c>
      <c r="BE389">
        <v>1</v>
      </c>
      <c r="BF389" t="s">
        <v>146</v>
      </c>
      <c r="BG389" t="s">
        <v>126</v>
      </c>
      <c r="BH389">
        <v>1977</v>
      </c>
      <c r="BI389" t="s">
        <v>101</v>
      </c>
      <c r="BJ389">
        <v>1</v>
      </c>
      <c r="BK389">
        <v>352</v>
      </c>
      <c r="BL389" t="s">
        <v>97</v>
      </c>
      <c r="BM389" t="s">
        <v>97</v>
      </c>
      <c r="BN389" t="s">
        <v>104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V389" t="s">
        <v>162</v>
      </c>
      <c r="BX389">
        <v>0</v>
      </c>
      <c r="BY389">
        <v>10</v>
      </c>
      <c r="BZ389">
        <v>2009</v>
      </c>
      <c r="CA389" t="s">
        <v>109</v>
      </c>
      <c r="CB389" t="s">
        <v>127</v>
      </c>
      <c r="CC389">
        <v>125000</v>
      </c>
    </row>
    <row r="390" spans="1:81" x14ac:dyDescent="0.3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H390" t="s">
        <v>119</v>
      </c>
      <c r="I390" t="s">
        <v>84</v>
      </c>
      <c r="J390" t="s">
        <v>85</v>
      </c>
      <c r="K390" t="s">
        <v>165</v>
      </c>
      <c r="L390" t="s">
        <v>87</v>
      </c>
      <c r="M390" t="s">
        <v>88</v>
      </c>
      <c r="N390" t="s">
        <v>89</v>
      </c>
      <c r="O390" t="s">
        <v>89</v>
      </c>
      <c r="P390" t="s">
        <v>90</v>
      </c>
      <c r="Q390" t="s">
        <v>114</v>
      </c>
      <c r="R390">
        <v>7</v>
      </c>
      <c r="S390">
        <v>5</v>
      </c>
      <c r="T390">
        <v>1999</v>
      </c>
      <c r="U390">
        <v>2000</v>
      </c>
      <c r="V390" t="s">
        <v>92</v>
      </c>
      <c r="W390" t="s">
        <v>93</v>
      </c>
      <c r="X390" t="s">
        <v>94</v>
      </c>
      <c r="Y390" t="s">
        <v>94</v>
      </c>
      <c r="Z390" t="s">
        <v>95</v>
      </c>
      <c r="AA390">
        <v>125</v>
      </c>
      <c r="AB390" t="s">
        <v>96</v>
      </c>
      <c r="AC390" t="s">
        <v>97</v>
      </c>
      <c r="AD390" t="s">
        <v>98</v>
      </c>
      <c r="AE390" t="s">
        <v>96</v>
      </c>
      <c r="AF390" t="s">
        <v>97</v>
      </c>
      <c r="AG390" t="s">
        <v>99</v>
      </c>
      <c r="AH390" t="s">
        <v>101</v>
      </c>
      <c r="AI390">
        <v>0</v>
      </c>
      <c r="AJ390" t="s">
        <v>101</v>
      </c>
      <c r="AK390">
        <v>0</v>
      </c>
      <c r="AL390">
        <v>1468</v>
      </c>
      <c r="AM390">
        <v>1468</v>
      </c>
      <c r="AN390" t="s">
        <v>102</v>
      </c>
      <c r="AO390" t="s">
        <v>103</v>
      </c>
      <c r="AP390" t="s">
        <v>104</v>
      </c>
      <c r="AQ390" t="s">
        <v>105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96</v>
      </c>
      <c r="BC390">
        <v>6</v>
      </c>
      <c r="BD390" t="s">
        <v>106</v>
      </c>
      <c r="BE390">
        <v>0</v>
      </c>
      <c r="BG390" t="s">
        <v>107</v>
      </c>
      <c r="BH390">
        <v>1999</v>
      </c>
      <c r="BI390" t="s">
        <v>108</v>
      </c>
      <c r="BJ390">
        <v>2</v>
      </c>
      <c r="BK390">
        <v>577</v>
      </c>
      <c r="BL390" t="s">
        <v>97</v>
      </c>
      <c r="BM390" t="s">
        <v>97</v>
      </c>
      <c r="BN390" t="s">
        <v>104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X390">
        <v>0</v>
      </c>
      <c r="BY390">
        <v>7</v>
      </c>
      <c r="BZ390">
        <v>2008</v>
      </c>
      <c r="CA390" t="s">
        <v>109</v>
      </c>
      <c r="CB390" t="s">
        <v>110</v>
      </c>
      <c r="CC390">
        <v>191000</v>
      </c>
    </row>
    <row r="391" spans="1:81" x14ac:dyDescent="0.3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H391" t="s">
        <v>83</v>
      </c>
      <c r="I391" t="s">
        <v>84</v>
      </c>
      <c r="J391" t="s">
        <v>85</v>
      </c>
      <c r="K391" t="s">
        <v>86</v>
      </c>
      <c r="L391" t="s">
        <v>87</v>
      </c>
      <c r="M391" t="s">
        <v>153</v>
      </c>
      <c r="N391" t="s">
        <v>89</v>
      </c>
      <c r="O391" t="s">
        <v>89</v>
      </c>
      <c r="P391" t="s">
        <v>90</v>
      </c>
      <c r="Q391" t="s">
        <v>91</v>
      </c>
      <c r="R391">
        <v>10</v>
      </c>
      <c r="S391">
        <v>5</v>
      </c>
      <c r="T391">
        <v>2007</v>
      </c>
      <c r="U391">
        <v>2008</v>
      </c>
      <c r="V391" t="s">
        <v>92</v>
      </c>
      <c r="W391" t="s">
        <v>93</v>
      </c>
      <c r="X391" t="s">
        <v>94</v>
      </c>
      <c r="Y391" t="s">
        <v>94</v>
      </c>
      <c r="Z391" t="s">
        <v>136</v>
      </c>
      <c r="AA391">
        <v>272</v>
      </c>
      <c r="AB391" t="s">
        <v>103</v>
      </c>
      <c r="AC391" t="s">
        <v>97</v>
      </c>
      <c r="AD391" t="s">
        <v>98</v>
      </c>
      <c r="AE391" t="s">
        <v>103</v>
      </c>
      <c r="AF391" t="s">
        <v>97</v>
      </c>
      <c r="AG391" t="s">
        <v>129</v>
      </c>
      <c r="AH391" t="s">
        <v>100</v>
      </c>
      <c r="AI391">
        <v>1280</v>
      </c>
      <c r="AJ391" t="s">
        <v>101</v>
      </c>
      <c r="AK391">
        <v>0</v>
      </c>
      <c r="AL391">
        <v>402</v>
      </c>
      <c r="AM391">
        <v>1682</v>
      </c>
      <c r="AN391" t="s">
        <v>102</v>
      </c>
      <c r="AO391" t="s">
        <v>103</v>
      </c>
      <c r="AP391" t="s">
        <v>104</v>
      </c>
      <c r="AQ391" t="s">
        <v>105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103</v>
      </c>
      <c r="BC391">
        <v>9</v>
      </c>
      <c r="BD391" t="s">
        <v>106</v>
      </c>
      <c r="BE391">
        <v>1</v>
      </c>
      <c r="BF391" t="s">
        <v>103</v>
      </c>
      <c r="BG391" t="s">
        <v>155</v>
      </c>
      <c r="BH391">
        <v>2008</v>
      </c>
      <c r="BI391" t="s">
        <v>156</v>
      </c>
      <c r="BJ391">
        <v>3</v>
      </c>
      <c r="BK391">
        <v>846</v>
      </c>
      <c r="BL391" t="s">
        <v>97</v>
      </c>
      <c r="BM391" t="s">
        <v>97</v>
      </c>
      <c r="BN391" t="s">
        <v>104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X391">
        <v>0</v>
      </c>
      <c r="BY391">
        <v>8</v>
      </c>
      <c r="BZ391">
        <v>2008</v>
      </c>
      <c r="CA391" t="s">
        <v>157</v>
      </c>
      <c r="CB391" t="s">
        <v>158</v>
      </c>
      <c r="CC391">
        <v>426000</v>
      </c>
    </row>
    <row r="392" spans="1:81" x14ac:dyDescent="0.3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173</v>
      </c>
      <c r="H392" t="s">
        <v>83</v>
      </c>
      <c r="I392" t="s">
        <v>84</v>
      </c>
      <c r="J392" t="s">
        <v>85</v>
      </c>
      <c r="K392" t="s">
        <v>86</v>
      </c>
      <c r="L392" t="s">
        <v>87</v>
      </c>
      <c r="M392" t="s">
        <v>184</v>
      </c>
      <c r="N392" t="s">
        <v>89</v>
      </c>
      <c r="O392" t="s">
        <v>89</v>
      </c>
      <c r="P392" t="s">
        <v>90</v>
      </c>
      <c r="Q392" t="s">
        <v>131</v>
      </c>
      <c r="R392">
        <v>5</v>
      </c>
      <c r="S392">
        <v>8</v>
      </c>
      <c r="T392">
        <v>1900</v>
      </c>
      <c r="U392">
        <v>1950</v>
      </c>
      <c r="V392" t="s">
        <v>92</v>
      </c>
      <c r="W392" t="s">
        <v>93</v>
      </c>
      <c r="X392" t="s">
        <v>115</v>
      </c>
      <c r="Y392" t="s">
        <v>115</v>
      </c>
      <c r="Z392" t="s">
        <v>116</v>
      </c>
      <c r="AA392">
        <v>0</v>
      </c>
      <c r="AB392" t="s">
        <v>97</v>
      </c>
      <c r="AC392" t="s">
        <v>97</v>
      </c>
      <c r="AD392" t="s">
        <v>125</v>
      </c>
      <c r="AE392" t="s">
        <v>97</v>
      </c>
      <c r="AF392" t="s">
        <v>96</v>
      </c>
      <c r="AG392" t="s">
        <v>99</v>
      </c>
      <c r="AH392" t="s">
        <v>152</v>
      </c>
      <c r="AI392">
        <v>241</v>
      </c>
      <c r="AJ392" t="s">
        <v>140</v>
      </c>
      <c r="AK392">
        <v>391</v>
      </c>
      <c r="AL392">
        <v>229</v>
      </c>
      <c r="AM392">
        <v>861</v>
      </c>
      <c r="AN392" t="s">
        <v>102</v>
      </c>
      <c r="AO392" t="s">
        <v>103</v>
      </c>
      <c r="AP392" t="s">
        <v>104</v>
      </c>
      <c r="AQ392" t="s">
        <v>105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97</v>
      </c>
      <c r="BC392">
        <v>7</v>
      </c>
      <c r="BD392" t="s">
        <v>106</v>
      </c>
      <c r="BE392">
        <v>0</v>
      </c>
      <c r="BG392" t="s">
        <v>126</v>
      </c>
      <c r="BH392">
        <v>1978</v>
      </c>
      <c r="BI392" t="s">
        <v>101</v>
      </c>
      <c r="BJ392">
        <v>1</v>
      </c>
      <c r="BK392">
        <v>384</v>
      </c>
      <c r="BL392" t="s">
        <v>97</v>
      </c>
      <c r="BM392" t="s">
        <v>97</v>
      </c>
      <c r="BN392" t="s">
        <v>104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V392" t="s">
        <v>133</v>
      </c>
      <c r="BX392">
        <v>0</v>
      </c>
      <c r="BY392">
        <v>4</v>
      </c>
      <c r="BZ392">
        <v>2008</v>
      </c>
      <c r="CA392" t="s">
        <v>109</v>
      </c>
      <c r="CB392" t="s">
        <v>110</v>
      </c>
      <c r="CC392">
        <v>119000</v>
      </c>
    </row>
    <row r="393" spans="1:81" x14ac:dyDescent="0.3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H393" t="s">
        <v>119</v>
      </c>
      <c r="I393" t="s">
        <v>84</v>
      </c>
      <c r="J393" t="s">
        <v>85</v>
      </c>
      <c r="K393" t="s">
        <v>165</v>
      </c>
      <c r="L393" t="s">
        <v>87</v>
      </c>
      <c r="M393" t="s">
        <v>130</v>
      </c>
      <c r="N393" t="s">
        <v>89</v>
      </c>
      <c r="O393" t="s">
        <v>89</v>
      </c>
      <c r="P393" t="s">
        <v>90</v>
      </c>
      <c r="Q393" t="s">
        <v>91</v>
      </c>
      <c r="R393">
        <v>6</v>
      </c>
      <c r="S393">
        <v>5</v>
      </c>
      <c r="T393">
        <v>2001</v>
      </c>
      <c r="U393">
        <v>2002</v>
      </c>
      <c r="V393" t="s">
        <v>92</v>
      </c>
      <c r="W393" t="s">
        <v>93</v>
      </c>
      <c r="X393" t="s">
        <v>94</v>
      </c>
      <c r="Y393" t="s">
        <v>94</v>
      </c>
      <c r="Z393" t="s">
        <v>116</v>
      </c>
      <c r="AA393">
        <v>0</v>
      </c>
      <c r="AB393" t="s">
        <v>97</v>
      </c>
      <c r="AC393" t="s">
        <v>97</v>
      </c>
      <c r="AD393" t="s">
        <v>98</v>
      </c>
      <c r="AE393" t="s">
        <v>103</v>
      </c>
      <c r="AF393" t="s">
        <v>97</v>
      </c>
      <c r="AG393" t="s">
        <v>99</v>
      </c>
      <c r="AH393" t="s">
        <v>118</v>
      </c>
      <c r="AI393">
        <v>690</v>
      </c>
      <c r="AJ393" t="s">
        <v>101</v>
      </c>
      <c r="AK393">
        <v>0</v>
      </c>
      <c r="AL393">
        <v>114</v>
      </c>
      <c r="AM393">
        <v>804</v>
      </c>
      <c r="AN393" t="s">
        <v>102</v>
      </c>
      <c r="AO393" t="s">
        <v>103</v>
      </c>
      <c r="AP393" t="s">
        <v>104</v>
      </c>
      <c r="AQ393" t="s">
        <v>105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96</v>
      </c>
      <c r="BC393">
        <v>7</v>
      </c>
      <c r="BD393" t="s">
        <v>106</v>
      </c>
      <c r="BE393">
        <v>1</v>
      </c>
      <c r="BF393" t="s">
        <v>97</v>
      </c>
      <c r="BG393" t="s">
        <v>155</v>
      </c>
      <c r="BH393">
        <v>2001</v>
      </c>
      <c r="BI393" t="s">
        <v>156</v>
      </c>
      <c r="BJ393">
        <v>2</v>
      </c>
      <c r="BK393">
        <v>560</v>
      </c>
      <c r="BL393" t="s">
        <v>97</v>
      </c>
      <c r="BM393" t="s">
        <v>97</v>
      </c>
      <c r="BN393" t="s">
        <v>104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X393">
        <v>0</v>
      </c>
      <c r="BY393">
        <v>6</v>
      </c>
      <c r="BZ393">
        <v>2009</v>
      </c>
      <c r="CA393" t="s">
        <v>109</v>
      </c>
      <c r="CB393" t="s">
        <v>110</v>
      </c>
      <c r="CC393">
        <v>215000</v>
      </c>
    </row>
    <row r="394" spans="1:81" x14ac:dyDescent="0.3">
      <c r="A394">
        <v>393</v>
      </c>
      <c r="B394">
        <v>20</v>
      </c>
      <c r="C394" t="s">
        <v>81</v>
      </c>
      <c r="E394">
        <v>8339</v>
      </c>
      <c r="F394" t="s">
        <v>82</v>
      </c>
      <c r="H394" t="s">
        <v>119</v>
      </c>
      <c r="I394" t="s">
        <v>84</v>
      </c>
      <c r="J394" t="s">
        <v>85</v>
      </c>
      <c r="K394" t="s">
        <v>86</v>
      </c>
      <c r="L394" t="s">
        <v>87</v>
      </c>
      <c r="M394" t="s">
        <v>270</v>
      </c>
      <c r="N394" t="s">
        <v>89</v>
      </c>
      <c r="O394" t="s">
        <v>89</v>
      </c>
      <c r="P394" t="s">
        <v>90</v>
      </c>
      <c r="Q394" t="s">
        <v>114</v>
      </c>
      <c r="R394">
        <v>5</v>
      </c>
      <c r="S394">
        <v>7</v>
      </c>
      <c r="T394">
        <v>1959</v>
      </c>
      <c r="U394">
        <v>1959</v>
      </c>
      <c r="V394" t="s">
        <v>92</v>
      </c>
      <c r="W394" t="s">
        <v>93</v>
      </c>
      <c r="X394" t="s">
        <v>115</v>
      </c>
      <c r="Y394" t="s">
        <v>115</v>
      </c>
      <c r="Z394" t="s">
        <v>116</v>
      </c>
      <c r="AA394">
        <v>0</v>
      </c>
      <c r="AB394" t="s">
        <v>97</v>
      </c>
      <c r="AC394" t="s">
        <v>97</v>
      </c>
      <c r="AD394" t="s">
        <v>167</v>
      </c>
      <c r="AI394">
        <v>0</v>
      </c>
      <c r="AK394">
        <v>0</v>
      </c>
      <c r="AL394">
        <v>0</v>
      </c>
      <c r="AM394">
        <v>0</v>
      </c>
      <c r="AN394" t="s">
        <v>102</v>
      </c>
      <c r="AO394" t="s">
        <v>97</v>
      </c>
      <c r="AP394" t="s">
        <v>104</v>
      </c>
      <c r="AQ394" t="s">
        <v>105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97</v>
      </c>
      <c r="BC394">
        <v>5</v>
      </c>
      <c r="BD394" t="s">
        <v>106</v>
      </c>
      <c r="BE394">
        <v>0</v>
      </c>
      <c r="BG394" t="s">
        <v>107</v>
      </c>
      <c r="BH394">
        <v>1959</v>
      </c>
      <c r="BI394" t="s">
        <v>108</v>
      </c>
      <c r="BJ394">
        <v>1</v>
      </c>
      <c r="BK394">
        <v>294</v>
      </c>
      <c r="BL394" t="s">
        <v>97</v>
      </c>
      <c r="BM394" t="s">
        <v>97</v>
      </c>
      <c r="BN394" t="s">
        <v>104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V394" t="s">
        <v>133</v>
      </c>
      <c r="BW394" t="s">
        <v>134</v>
      </c>
      <c r="BX394">
        <v>1200</v>
      </c>
      <c r="BY394">
        <v>7</v>
      </c>
      <c r="BZ394">
        <v>2007</v>
      </c>
      <c r="CA394" t="s">
        <v>109</v>
      </c>
      <c r="CB394" t="s">
        <v>110</v>
      </c>
      <c r="CC394">
        <v>106500</v>
      </c>
    </row>
    <row r="395" spans="1:81" x14ac:dyDescent="0.3">
      <c r="A395">
        <v>394</v>
      </c>
      <c r="B395">
        <v>30</v>
      </c>
      <c r="C395" t="s">
        <v>81</v>
      </c>
      <c r="E395">
        <v>7446</v>
      </c>
      <c r="F395" t="s">
        <v>82</v>
      </c>
      <c r="H395" t="s">
        <v>83</v>
      </c>
      <c r="I395" t="s">
        <v>84</v>
      </c>
      <c r="J395" t="s">
        <v>85</v>
      </c>
      <c r="K395" t="s">
        <v>121</v>
      </c>
      <c r="L395" t="s">
        <v>87</v>
      </c>
      <c r="M395" t="s">
        <v>147</v>
      </c>
      <c r="N395" t="s">
        <v>113</v>
      </c>
      <c r="O395" t="s">
        <v>89</v>
      </c>
      <c r="P395" t="s">
        <v>90</v>
      </c>
      <c r="Q395" t="s">
        <v>114</v>
      </c>
      <c r="R395">
        <v>4</v>
      </c>
      <c r="S395">
        <v>5</v>
      </c>
      <c r="T395">
        <v>1941</v>
      </c>
      <c r="U395">
        <v>1950</v>
      </c>
      <c r="V395" t="s">
        <v>92</v>
      </c>
      <c r="W395" t="s">
        <v>93</v>
      </c>
      <c r="X395" t="s">
        <v>154</v>
      </c>
      <c r="Y395" t="s">
        <v>124</v>
      </c>
      <c r="Z395" t="s">
        <v>116</v>
      </c>
      <c r="AA395">
        <v>0</v>
      </c>
      <c r="AB395" t="s">
        <v>97</v>
      </c>
      <c r="AC395" t="s">
        <v>97</v>
      </c>
      <c r="AD395" t="s">
        <v>117</v>
      </c>
      <c r="AE395" t="s">
        <v>97</v>
      </c>
      <c r="AF395" t="s">
        <v>97</v>
      </c>
      <c r="AG395" t="s">
        <v>99</v>
      </c>
      <c r="AH395" t="s">
        <v>152</v>
      </c>
      <c r="AI395">
        <v>266</v>
      </c>
      <c r="AJ395" t="s">
        <v>101</v>
      </c>
      <c r="AK395">
        <v>0</v>
      </c>
      <c r="AL395">
        <v>522</v>
      </c>
      <c r="AM395">
        <v>788</v>
      </c>
      <c r="AN395" t="s">
        <v>102</v>
      </c>
      <c r="AO395" t="s">
        <v>97</v>
      </c>
      <c r="AP395" t="s">
        <v>104</v>
      </c>
      <c r="AQ395" t="s">
        <v>163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97</v>
      </c>
      <c r="BC395">
        <v>4</v>
      </c>
      <c r="BD395" t="s">
        <v>106</v>
      </c>
      <c r="BE395">
        <v>2</v>
      </c>
      <c r="BF395" t="s">
        <v>97</v>
      </c>
      <c r="BJ395">
        <v>0</v>
      </c>
      <c r="BK395">
        <v>0</v>
      </c>
      <c r="BN395" t="s">
        <v>104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V395" t="s">
        <v>162</v>
      </c>
      <c r="BX395">
        <v>0</v>
      </c>
      <c r="BY395">
        <v>4</v>
      </c>
      <c r="BZ395">
        <v>2006</v>
      </c>
      <c r="CA395" t="s">
        <v>109</v>
      </c>
      <c r="CB395" t="s">
        <v>127</v>
      </c>
      <c r="CC395">
        <v>100000</v>
      </c>
    </row>
    <row r="396" spans="1:81" x14ac:dyDescent="0.3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H396" t="s">
        <v>83</v>
      </c>
      <c r="I396" t="s">
        <v>84</v>
      </c>
      <c r="J396" t="s">
        <v>85</v>
      </c>
      <c r="K396" t="s">
        <v>86</v>
      </c>
      <c r="L396" t="s">
        <v>87</v>
      </c>
      <c r="M396" t="s">
        <v>142</v>
      </c>
      <c r="N396" t="s">
        <v>89</v>
      </c>
      <c r="O396" t="s">
        <v>89</v>
      </c>
      <c r="P396" t="s">
        <v>90</v>
      </c>
      <c r="Q396" t="s">
        <v>131</v>
      </c>
      <c r="R396">
        <v>5</v>
      </c>
      <c r="S396">
        <v>6</v>
      </c>
      <c r="T396">
        <v>1940</v>
      </c>
      <c r="U396">
        <v>1950</v>
      </c>
      <c r="V396" t="s">
        <v>92</v>
      </c>
      <c r="W396" t="s">
        <v>93</v>
      </c>
      <c r="X396" t="s">
        <v>115</v>
      </c>
      <c r="Y396" t="s">
        <v>115</v>
      </c>
      <c r="Z396" t="s">
        <v>116</v>
      </c>
      <c r="AA396">
        <v>0</v>
      </c>
      <c r="AB396" t="s">
        <v>97</v>
      </c>
      <c r="AC396" t="s">
        <v>97</v>
      </c>
      <c r="AD396" t="s">
        <v>117</v>
      </c>
      <c r="AE396" t="s">
        <v>97</v>
      </c>
      <c r="AF396" t="s">
        <v>97</v>
      </c>
      <c r="AG396" t="s">
        <v>99</v>
      </c>
      <c r="AH396" t="s">
        <v>101</v>
      </c>
      <c r="AI396">
        <v>0</v>
      </c>
      <c r="AJ396" t="s">
        <v>101</v>
      </c>
      <c r="AK396">
        <v>0</v>
      </c>
      <c r="AL396">
        <v>735</v>
      </c>
      <c r="AM396">
        <v>735</v>
      </c>
      <c r="AN396" t="s">
        <v>102</v>
      </c>
      <c r="AO396" t="s">
        <v>96</v>
      </c>
      <c r="AP396" t="s">
        <v>104</v>
      </c>
      <c r="AQ396" t="s">
        <v>163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97</v>
      </c>
      <c r="BC396">
        <v>5</v>
      </c>
      <c r="BD396" t="s">
        <v>106</v>
      </c>
      <c r="BE396">
        <v>0</v>
      </c>
      <c r="BG396" t="s">
        <v>126</v>
      </c>
      <c r="BH396">
        <v>1940</v>
      </c>
      <c r="BI396" t="s">
        <v>101</v>
      </c>
      <c r="BJ396">
        <v>1</v>
      </c>
      <c r="BK396">
        <v>240</v>
      </c>
      <c r="BL396" t="s">
        <v>97</v>
      </c>
      <c r="BM396" t="s">
        <v>97</v>
      </c>
      <c r="BN396" t="s">
        <v>104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X396">
        <v>0</v>
      </c>
      <c r="BY396">
        <v>7</v>
      </c>
      <c r="BZ396">
        <v>2007</v>
      </c>
      <c r="CA396" t="s">
        <v>109</v>
      </c>
      <c r="CB396" t="s">
        <v>110</v>
      </c>
      <c r="CC396">
        <v>109000</v>
      </c>
    </row>
    <row r="397" spans="1:81" x14ac:dyDescent="0.3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H397" t="s">
        <v>83</v>
      </c>
      <c r="I397" t="s">
        <v>84</v>
      </c>
      <c r="J397" t="s">
        <v>85</v>
      </c>
      <c r="K397" t="s">
        <v>86</v>
      </c>
      <c r="L397" t="s">
        <v>87</v>
      </c>
      <c r="M397" t="s">
        <v>184</v>
      </c>
      <c r="N397" t="s">
        <v>89</v>
      </c>
      <c r="O397" t="s">
        <v>89</v>
      </c>
      <c r="P397" t="s">
        <v>90</v>
      </c>
      <c r="Q397" t="s">
        <v>114</v>
      </c>
      <c r="R397">
        <v>5</v>
      </c>
      <c r="S397">
        <v>6</v>
      </c>
      <c r="T397">
        <v>1956</v>
      </c>
      <c r="U397">
        <v>1956</v>
      </c>
      <c r="V397" t="s">
        <v>92</v>
      </c>
      <c r="W397" t="s">
        <v>93</v>
      </c>
      <c r="X397" t="s">
        <v>123</v>
      </c>
      <c r="Y397" t="s">
        <v>123</v>
      </c>
      <c r="Z397" t="s">
        <v>116</v>
      </c>
      <c r="AA397">
        <v>0</v>
      </c>
      <c r="AB397" t="s">
        <v>97</v>
      </c>
      <c r="AC397" t="s">
        <v>97</v>
      </c>
      <c r="AD397" t="s">
        <v>117</v>
      </c>
      <c r="AE397" t="s">
        <v>97</v>
      </c>
      <c r="AF397" t="s">
        <v>97</v>
      </c>
      <c r="AG397" t="s">
        <v>129</v>
      </c>
      <c r="AH397" t="s">
        <v>140</v>
      </c>
      <c r="AI397">
        <v>739</v>
      </c>
      <c r="AJ397" t="s">
        <v>101</v>
      </c>
      <c r="AK397">
        <v>0</v>
      </c>
      <c r="AL397">
        <v>405</v>
      </c>
      <c r="AM397">
        <v>1144</v>
      </c>
      <c r="AN397" t="s">
        <v>102</v>
      </c>
      <c r="AO397" t="s">
        <v>97</v>
      </c>
      <c r="AP397" t="s">
        <v>104</v>
      </c>
      <c r="AQ397" t="s">
        <v>105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97</v>
      </c>
      <c r="BC397">
        <v>6</v>
      </c>
      <c r="BD397" t="s">
        <v>106</v>
      </c>
      <c r="BE397">
        <v>0</v>
      </c>
      <c r="BG397" t="s">
        <v>107</v>
      </c>
      <c r="BH397">
        <v>1956</v>
      </c>
      <c r="BI397" t="s">
        <v>101</v>
      </c>
      <c r="BJ397">
        <v>1</v>
      </c>
      <c r="BK397">
        <v>596</v>
      </c>
      <c r="BL397" t="s">
        <v>97</v>
      </c>
      <c r="BM397" t="s">
        <v>97</v>
      </c>
      <c r="BN397" t="s">
        <v>104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X397">
        <v>0</v>
      </c>
      <c r="BY397">
        <v>6</v>
      </c>
      <c r="BZ397">
        <v>2010</v>
      </c>
      <c r="CA397" t="s">
        <v>109</v>
      </c>
      <c r="CB397" t="s">
        <v>110</v>
      </c>
      <c r="CC397">
        <v>129000</v>
      </c>
    </row>
    <row r="398" spans="1:81" x14ac:dyDescent="0.3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H398" t="s">
        <v>83</v>
      </c>
      <c r="I398" t="s">
        <v>194</v>
      </c>
      <c r="J398" t="s">
        <v>85</v>
      </c>
      <c r="K398" t="s">
        <v>86</v>
      </c>
      <c r="L398" t="s">
        <v>87</v>
      </c>
      <c r="M398" t="s">
        <v>88</v>
      </c>
      <c r="N398" t="s">
        <v>89</v>
      </c>
      <c r="O398" t="s">
        <v>89</v>
      </c>
      <c r="P398" t="s">
        <v>90</v>
      </c>
      <c r="Q398" t="s">
        <v>114</v>
      </c>
      <c r="R398">
        <v>5</v>
      </c>
      <c r="S398">
        <v>5</v>
      </c>
      <c r="T398">
        <v>1972</v>
      </c>
      <c r="U398">
        <v>1972</v>
      </c>
      <c r="V398" t="s">
        <v>151</v>
      </c>
      <c r="W398" t="s">
        <v>93</v>
      </c>
      <c r="X398" t="s">
        <v>115</v>
      </c>
      <c r="Y398" t="s">
        <v>115</v>
      </c>
      <c r="Z398" t="s">
        <v>116</v>
      </c>
      <c r="AA398">
        <v>0</v>
      </c>
      <c r="AB398" t="s">
        <v>97</v>
      </c>
      <c r="AC398" t="s">
        <v>97</v>
      </c>
      <c r="AD398" t="s">
        <v>117</v>
      </c>
      <c r="AE398" t="s">
        <v>97</v>
      </c>
      <c r="AF398" t="s">
        <v>97</v>
      </c>
      <c r="AG398" t="s">
        <v>129</v>
      </c>
      <c r="AH398" t="s">
        <v>152</v>
      </c>
      <c r="AI398">
        <v>777</v>
      </c>
      <c r="AJ398" t="s">
        <v>101</v>
      </c>
      <c r="AK398">
        <v>0</v>
      </c>
      <c r="AL398">
        <v>117</v>
      </c>
      <c r="AM398">
        <v>894</v>
      </c>
      <c r="AN398" t="s">
        <v>102</v>
      </c>
      <c r="AO398" t="s">
        <v>97</v>
      </c>
      <c r="AP398" t="s">
        <v>104</v>
      </c>
      <c r="AQ398" t="s">
        <v>105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97</v>
      </c>
      <c r="BC398">
        <v>6</v>
      </c>
      <c r="BD398" t="s">
        <v>106</v>
      </c>
      <c r="BE398">
        <v>0</v>
      </c>
      <c r="BG398" t="s">
        <v>126</v>
      </c>
      <c r="BH398">
        <v>1985</v>
      </c>
      <c r="BI398" t="s">
        <v>108</v>
      </c>
      <c r="BJ398">
        <v>2</v>
      </c>
      <c r="BK398">
        <v>600</v>
      </c>
      <c r="BL398" t="s">
        <v>97</v>
      </c>
      <c r="BM398" t="s">
        <v>97</v>
      </c>
      <c r="BN398" t="s">
        <v>104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X398">
        <v>0</v>
      </c>
      <c r="BY398">
        <v>9</v>
      </c>
      <c r="BZ398">
        <v>2009</v>
      </c>
      <c r="CA398" t="s">
        <v>109</v>
      </c>
      <c r="CB398" t="s">
        <v>110</v>
      </c>
      <c r="CC398">
        <v>123000</v>
      </c>
    </row>
    <row r="399" spans="1:81" x14ac:dyDescent="0.3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H399" t="s">
        <v>83</v>
      </c>
      <c r="I399" t="s">
        <v>84</v>
      </c>
      <c r="J399" t="s">
        <v>85</v>
      </c>
      <c r="K399" t="s">
        <v>86</v>
      </c>
      <c r="L399" t="s">
        <v>87</v>
      </c>
      <c r="M399" t="s">
        <v>270</v>
      </c>
      <c r="N399" t="s">
        <v>138</v>
      </c>
      <c r="O399" t="s">
        <v>89</v>
      </c>
      <c r="P399" t="s">
        <v>90</v>
      </c>
      <c r="Q399" t="s">
        <v>91</v>
      </c>
      <c r="R399">
        <v>5</v>
      </c>
      <c r="S399">
        <v>5</v>
      </c>
      <c r="T399">
        <v>1962</v>
      </c>
      <c r="U399">
        <v>1962</v>
      </c>
      <c r="V399" t="s">
        <v>92</v>
      </c>
      <c r="W399" t="s">
        <v>93</v>
      </c>
      <c r="X399" t="s">
        <v>94</v>
      </c>
      <c r="Y399" t="s">
        <v>94</v>
      </c>
      <c r="Z399" t="s">
        <v>95</v>
      </c>
      <c r="AA399">
        <v>288</v>
      </c>
      <c r="AB399" t="s">
        <v>97</v>
      </c>
      <c r="AC399" t="s">
        <v>97</v>
      </c>
      <c r="AD399" t="s">
        <v>117</v>
      </c>
      <c r="AE399" t="s">
        <v>97</v>
      </c>
      <c r="AF399" t="s">
        <v>97</v>
      </c>
      <c r="AG399" t="s">
        <v>99</v>
      </c>
      <c r="AH399" t="s">
        <v>118</v>
      </c>
      <c r="AI399">
        <v>540</v>
      </c>
      <c r="AJ399" t="s">
        <v>101</v>
      </c>
      <c r="AK399">
        <v>0</v>
      </c>
      <c r="AL399">
        <v>324</v>
      </c>
      <c r="AM399">
        <v>864</v>
      </c>
      <c r="AN399" t="s">
        <v>102</v>
      </c>
      <c r="AO399" t="s">
        <v>97</v>
      </c>
      <c r="AP399" t="s">
        <v>104</v>
      </c>
      <c r="AQ399" t="s">
        <v>105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97</v>
      </c>
      <c r="BC399">
        <v>8</v>
      </c>
      <c r="BD399" t="s">
        <v>106</v>
      </c>
      <c r="BE399">
        <v>1</v>
      </c>
      <c r="BF399" t="s">
        <v>97</v>
      </c>
      <c r="BG399" t="s">
        <v>107</v>
      </c>
      <c r="BH399">
        <v>1962</v>
      </c>
      <c r="BI399" t="s">
        <v>108</v>
      </c>
      <c r="BJ399">
        <v>1</v>
      </c>
      <c r="BK399">
        <v>264</v>
      </c>
      <c r="BL399" t="s">
        <v>97</v>
      </c>
      <c r="BM399" t="s">
        <v>97</v>
      </c>
      <c r="BN399" t="s">
        <v>104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X399">
        <v>0</v>
      </c>
      <c r="BY399">
        <v>7</v>
      </c>
      <c r="BZ399">
        <v>2007</v>
      </c>
      <c r="CA399" t="s">
        <v>109</v>
      </c>
      <c r="CB399" t="s">
        <v>110</v>
      </c>
      <c r="CC399">
        <v>169500</v>
      </c>
    </row>
    <row r="400" spans="1:81" x14ac:dyDescent="0.3">
      <c r="A400">
        <v>399</v>
      </c>
      <c r="B400">
        <v>30</v>
      </c>
      <c r="C400" t="s">
        <v>141</v>
      </c>
      <c r="D400">
        <v>60</v>
      </c>
      <c r="E400">
        <v>8967</v>
      </c>
      <c r="F400" t="s">
        <v>82</v>
      </c>
      <c r="H400" t="s">
        <v>83</v>
      </c>
      <c r="I400" t="s">
        <v>84</v>
      </c>
      <c r="J400" t="s">
        <v>85</v>
      </c>
      <c r="K400" t="s">
        <v>121</v>
      </c>
      <c r="L400" t="s">
        <v>87</v>
      </c>
      <c r="M400" t="s">
        <v>175</v>
      </c>
      <c r="N400" t="s">
        <v>89</v>
      </c>
      <c r="O400" t="s">
        <v>89</v>
      </c>
      <c r="P400" t="s">
        <v>90</v>
      </c>
      <c r="Q400" t="s">
        <v>114</v>
      </c>
      <c r="R400">
        <v>5</v>
      </c>
      <c r="S400">
        <v>2</v>
      </c>
      <c r="T400">
        <v>1920</v>
      </c>
      <c r="U400">
        <v>1950</v>
      </c>
      <c r="V400" t="s">
        <v>92</v>
      </c>
      <c r="W400" t="s">
        <v>93</v>
      </c>
      <c r="X400" t="s">
        <v>115</v>
      </c>
      <c r="Y400" t="s">
        <v>115</v>
      </c>
      <c r="Z400" t="s">
        <v>116</v>
      </c>
      <c r="AA400">
        <v>0</v>
      </c>
      <c r="AB400" t="s">
        <v>97</v>
      </c>
      <c r="AC400" t="s">
        <v>146</v>
      </c>
      <c r="AD400" t="s">
        <v>125</v>
      </c>
      <c r="AE400" t="s">
        <v>146</v>
      </c>
      <c r="AF400" t="s">
        <v>211</v>
      </c>
      <c r="AG400" t="s">
        <v>99</v>
      </c>
      <c r="AH400" t="s">
        <v>101</v>
      </c>
      <c r="AI400">
        <v>0</v>
      </c>
      <c r="AJ400" t="s">
        <v>101</v>
      </c>
      <c r="AK400">
        <v>0</v>
      </c>
      <c r="AL400">
        <v>961</v>
      </c>
      <c r="AM400">
        <v>961</v>
      </c>
      <c r="AN400" t="s">
        <v>102</v>
      </c>
      <c r="AO400" t="s">
        <v>96</v>
      </c>
      <c r="AP400" t="s">
        <v>104</v>
      </c>
      <c r="AQ400" t="s">
        <v>242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97</v>
      </c>
      <c r="BC400">
        <v>6</v>
      </c>
      <c r="BD400" t="s">
        <v>243</v>
      </c>
      <c r="BE400">
        <v>0</v>
      </c>
      <c r="BG400" t="s">
        <v>126</v>
      </c>
      <c r="BH400">
        <v>1920</v>
      </c>
      <c r="BI400" t="s">
        <v>101</v>
      </c>
      <c r="BJ400">
        <v>1</v>
      </c>
      <c r="BK400">
        <v>338</v>
      </c>
      <c r="BL400" t="s">
        <v>211</v>
      </c>
      <c r="BM400" t="s">
        <v>211</v>
      </c>
      <c r="BN400" t="s">
        <v>176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X400">
        <v>0</v>
      </c>
      <c r="BY400">
        <v>11</v>
      </c>
      <c r="BZ400">
        <v>2007</v>
      </c>
      <c r="CA400" t="s">
        <v>109</v>
      </c>
      <c r="CB400" t="s">
        <v>127</v>
      </c>
      <c r="CC400">
        <v>67000</v>
      </c>
    </row>
    <row r="401" spans="1:81" x14ac:dyDescent="0.3">
      <c r="A401">
        <v>400</v>
      </c>
      <c r="B401">
        <v>60</v>
      </c>
      <c r="C401" t="s">
        <v>191</v>
      </c>
      <c r="D401">
        <v>65</v>
      </c>
      <c r="E401">
        <v>8125</v>
      </c>
      <c r="F401" t="s">
        <v>82</v>
      </c>
      <c r="H401" t="s">
        <v>83</v>
      </c>
      <c r="I401" t="s">
        <v>84</v>
      </c>
      <c r="J401" t="s">
        <v>85</v>
      </c>
      <c r="K401" t="s">
        <v>86</v>
      </c>
      <c r="L401" t="s">
        <v>87</v>
      </c>
      <c r="M401" t="s">
        <v>135</v>
      </c>
      <c r="N401" t="s">
        <v>89</v>
      </c>
      <c r="O401" t="s">
        <v>89</v>
      </c>
      <c r="P401" t="s">
        <v>90</v>
      </c>
      <c r="Q401" t="s">
        <v>91</v>
      </c>
      <c r="R401">
        <v>7</v>
      </c>
      <c r="S401">
        <v>5</v>
      </c>
      <c r="T401">
        <v>2006</v>
      </c>
      <c r="U401">
        <v>2007</v>
      </c>
      <c r="V401" t="s">
        <v>92</v>
      </c>
      <c r="W401" t="s">
        <v>93</v>
      </c>
      <c r="X401" t="s">
        <v>179</v>
      </c>
      <c r="Y401" t="s">
        <v>180</v>
      </c>
      <c r="Z401" t="s">
        <v>136</v>
      </c>
      <c r="AA401">
        <v>100</v>
      </c>
      <c r="AB401" t="s">
        <v>96</v>
      </c>
      <c r="AC401" t="s">
        <v>97</v>
      </c>
      <c r="AD401" t="s">
        <v>98</v>
      </c>
      <c r="AE401" t="s">
        <v>96</v>
      </c>
      <c r="AF401" t="s">
        <v>97</v>
      </c>
      <c r="AG401" t="s">
        <v>99</v>
      </c>
      <c r="AH401" t="s">
        <v>100</v>
      </c>
      <c r="AI401">
        <v>812</v>
      </c>
      <c r="AJ401" t="s">
        <v>101</v>
      </c>
      <c r="AK401">
        <v>0</v>
      </c>
      <c r="AL401">
        <v>280</v>
      </c>
      <c r="AM401">
        <v>1092</v>
      </c>
      <c r="AN401" t="s">
        <v>102</v>
      </c>
      <c r="AO401" t="s">
        <v>103</v>
      </c>
      <c r="AP401" t="s">
        <v>104</v>
      </c>
      <c r="AQ401" t="s">
        <v>105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96</v>
      </c>
      <c r="BC401">
        <v>7</v>
      </c>
      <c r="BD401" t="s">
        <v>106</v>
      </c>
      <c r="BE401">
        <v>0</v>
      </c>
      <c r="BG401" t="s">
        <v>107</v>
      </c>
      <c r="BH401">
        <v>2007</v>
      </c>
      <c r="BI401" t="s">
        <v>156</v>
      </c>
      <c r="BJ401">
        <v>2</v>
      </c>
      <c r="BK401">
        <v>438</v>
      </c>
      <c r="BL401" t="s">
        <v>97</v>
      </c>
      <c r="BM401" t="s">
        <v>97</v>
      </c>
      <c r="BN401" t="s">
        <v>104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X401">
        <v>0</v>
      </c>
      <c r="BY401">
        <v>10</v>
      </c>
      <c r="BZ401">
        <v>2009</v>
      </c>
      <c r="CA401" t="s">
        <v>109</v>
      </c>
      <c r="CB401" t="s">
        <v>110</v>
      </c>
      <c r="CC401">
        <v>241000</v>
      </c>
    </row>
    <row r="402" spans="1:81" x14ac:dyDescent="0.3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H402" t="s">
        <v>159</v>
      </c>
      <c r="I402" t="s">
        <v>84</v>
      </c>
      <c r="J402" t="s">
        <v>85</v>
      </c>
      <c r="K402" t="s">
        <v>86</v>
      </c>
      <c r="L402" t="s">
        <v>87</v>
      </c>
      <c r="M402" t="s">
        <v>112</v>
      </c>
      <c r="N402" t="s">
        <v>89</v>
      </c>
      <c r="O402" t="s">
        <v>89</v>
      </c>
      <c r="P402" t="s">
        <v>178</v>
      </c>
      <c r="Q402" t="s">
        <v>114</v>
      </c>
      <c r="R402">
        <v>8</v>
      </c>
      <c r="S402">
        <v>5</v>
      </c>
      <c r="T402">
        <v>1996</v>
      </c>
      <c r="U402">
        <v>1996</v>
      </c>
      <c r="V402" t="s">
        <v>92</v>
      </c>
      <c r="W402" t="s">
        <v>93</v>
      </c>
      <c r="X402" t="s">
        <v>95</v>
      </c>
      <c r="Y402" t="s">
        <v>95</v>
      </c>
      <c r="Z402" t="s">
        <v>116</v>
      </c>
      <c r="AA402">
        <v>0</v>
      </c>
      <c r="AB402" t="s">
        <v>96</v>
      </c>
      <c r="AC402" t="s">
        <v>97</v>
      </c>
      <c r="AD402" t="s">
        <v>98</v>
      </c>
      <c r="AE402" t="s">
        <v>96</v>
      </c>
      <c r="AF402" t="s">
        <v>97</v>
      </c>
      <c r="AG402" t="s">
        <v>99</v>
      </c>
      <c r="AH402" t="s">
        <v>100</v>
      </c>
      <c r="AI402">
        <v>786</v>
      </c>
      <c r="AJ402" t="s">
        <v>101</v>
      </c>
      <c r="AK402">
        <v>0</v>
      </c>
      <c r="AL402">
        <v>474</v>
      </c>
      <c r="AM402">
        <v>1260</v>
      </c>
      <c r="AN402" t="s">
        <v>102</v>
      </c>
      <c r="AO402" t="s">
        <v>103</v>
      </c>
      <c r="AP402" t="s">
        <v>104</v>
      </c>
      <c r="AQ402" t="s">
        <v>105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103</v>
      </c>
      <c r="BC402">
        <v>4</v>
      </c>
      <c r="BD402" t="s">
        <v>106</v>
      </c>
      <c r="BE402">
        <v>2</v>
      </c>
      <c r="BF402" t="s">
        <v>96</v>
      </c>
      <c r="BG402" t="s">
        <v>107</v>
      </c>
      <c r="BH402">
        <v>1996</v>
      </c>
      <c r="BI402" t="s">
        <v>156</v>
      </c>
      <c r="BJ402">
        <v>2</v>
      </c>
      <c r="BK402">
        <v>500</v>
      </c>
      <c r="BL402" t="s">
        <v>97</v>
      </c>
      <c r="BM402" t="s">
        <v>97</v>
      </c>
      <c r="BN402" t="s">
        <v>104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X402">
        <v>0</v>
      </c>
      <c r="BY402">
        <v>12</v>
      </c>
      <c r="BZ402">
        <v>2008</v>
      </c>
      <c r="CA402" t="s">
        <v>109</v>
      </c>
      <c r="CB402" t="s">
        <v>110</v>
      </c>
      <c r="CC402">
        <v>245500</v>
      </c>
    </row>
    <row r="403" spans="1:81" x14ac:dyDescent="0.3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H403" t="s">
        <v>119</v>
      </c>
      <c r="I403" t="s">
        <v>84</v>
      </c>
      <c r="J403" t="s">
        <v>85</v>
      </c>
      <c r="K403" t="s">
        <v>86</v>
      </c>
      <c r="L403" t="s">
        <v>87</v>
      </c>
      <c r="M403" t="s">
        <v>88</v>
      </c>
      <c r="N403" t="s">
        <v>89</v>
      </c>
      <c r="O403" t="s">
        <v>89</v>
      </c>
      <c r="P403" t="s">
        <v>90</v>
      </c>
      <c r="Q403" t="s">
        <v>114</v>
      </c>
      <c r="R403">
        <v>7</v>
      </c>
      <c r="S403">
        <v>5</v>
      </c>
      <c r="T403">
        <v>2005</v>
      </c>
      <c r="U403">
        <v>2005</v>
      </c>
      <c r="V403" t="s">
        <v>92</v>
      </c>
      <c r="W403" t="s">
        <v>93</v>
      </c>
      <c r="X403" t="s">
        <v>94</v>
      </c>
      <c r="Y403" t="s">
        <v>94</v>
      </c>
      <c r="Z403" t="s">
        <v>116</v>
      </c>
      <c r="AA403">
        <v>0</v>
      </c>
      <c r="AB403" t="s">
        <v>96</v>
      </c>
      <c r="AC403" t="s">
        <v>97</v>
      </c>
      <c r="AD403" t="s">
        <v>98</v>
      </c>
      <c r="AE403" t="s">
        <v>96</v>
      </c>
      <c r="AF403" t="s">
        <v>97</v>
      </c>
      <c r="AG403" t="s">
        <v>129</v>
      </c>
      <c r="AH403" t="s">
        <v>100</v>
      </c>
      <c r="AI403">
        <v>24</v>
      </c>
      <c r="AJ403" t="s">
        <v>101</v>
      </c>
      <c r="AK403">
        <v>0</v>
      </c>
      <c r="AL403">
        <v>1286</v>
      </c>
      <c r="AM403">
        <v>1310</v>
      </c>
      <c r="AN403" t="s">
        <v>102</v>
      </c>
      <c r="AO403" t="s">
        <v>103</v>
      </c>
      <c r="AP403" t="s">
        <v>104</v>
      </c>
      <c r="AQ403" t="s">
        <v>105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96</v>
      </c>
      <c r="BC403">
        <v>6</v>
      </c>
      <c r="BD403" t="s">
        <v>106</v>
      </c>
      <c r="BE403">
        <v>1</v>
      </c>
      <c r="BF403" t="s">
        <v>96</v>
      </c>
      <c r="BG403" t="s">
        <v>107</v>
      </c>
      <c r="BH403">
        <v>2005</v>
      </c>
      <c r="BI403" t="s">
        <v>156</v>
      </c>
      <c r="BJ403">
        <v>2</v>
      </c>
      <c r="BK403">
        <v>400</v>
      </c>
      <c r="BL403" t="s">
        <v>97</v>
      </c>
      <c r="BM403" t="s">
        <v>97</v>
      </c>
      <c r="BN403" t="s">
        <v>104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X403">
        <v>0</v>
      </c>
      <c r="BY403">
        <v>7</v>
      </c>
      <c r="BZ403">
        <v>2006</v>
      </c>
      <c r="CA403" t="s">
        <v>157</v>
      </c>
      <c r="CB403" t="s">
        <v>158</v>
      </c>
      <c r="CC403">
        <v>164990</v>
      </c>
    </row>
    <row r="404" spans="1:81" x14ac:dyDescent="0.3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H404" t="s">
        <v>83</v>
      </c>
      <c r="I404" t="s">
        <v>84</v>
      </c>
      <c r="J404" t="s">
        <v>85</v>
      </c>
      <c r="K404" t="s">
        <v>86</v>
      </c>
      <c r="L404" t="s">
        <v>87</v>
      </c>
      <c r="M404" t="s">
        <v>150</v>
      </c>
      <c r="N404" t="s">
        <v>89</v>
      </c>
      <c r="O404" t="s">
        <v>89</v>
      </c>
      <c r="P404" t="s">
        <v>90</v>
      </c>
      <c r="Q404" t="s">
        <v>114</v>
      </c>
      <c r="R404">
        <v>5</v>
      </c>
      <c r="S404">
        <v>8</v>
      </c>
      <c r="T404">
        <v>1940</v>
      </c>
      <c r="U404">
        <v>1997</v>
      </c>
      <c r="V404" t="s">
        <v>92</v>
      </c>
      <c r="W404" t="s">
        <v>93</v>
      </c>
      <c r="X404" t="s">
        <v>123</v>
      </c>
      <c r="Y404" t="s">
        <v>123</v>
      </c>
      <c r="Z404" t="s">
        <v>116</v>
      </c>
      <c r="AA404">
        <v>0</v>
      </c>
      <c r="AB404" t="s">
        <v>97</v>
      </c>
      <c r="AC404" t="s">
        <v>97</v>
      </c>
      <c r="AD404" t="s">
        <v>98</v>
      </c>
      <c r="AE404" t="s">
        <v>97</v>
      </c>
      <c r="AF404" t="s">
        <v>97</v>
      </c>
      <c r="AG404" t="s">
        <v>99</v>
      </c>
      <c r="AH404" t="s">
        <v>101</v>
      </c>
      <c r="AI404">
        <v>0</v>
      </c>
      <c r="AJ404" t="s">
        <v>101</v>
      </c>
      <c r="AK404">
        <v>0</v>
      </c>
      <c r="AL404">
        <v>672</v>
      </c>
      <c r="AM404">
        <v>672</v>
      </c>
      <c r="AN404" t="s">
        <v>102</v>
      </c>
      <c r="AO404" t="s">
        <v>103</v>
      </c>
      <c r="AP404" t="s">
        <v>104</v>
      </c>
      <c r="AQ404" t="s">
        <v>105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97</v>
      </c>
      <c r="BC404">
        <v>4</v>
      </c>
      <c r="BD404" t="s">
        <v>106</v>
      </c>
      <c r="BE404">
        <v>0</v>
      </c>
      <c r="BG404" t="s">
        <v>126</v>
      </c>
      <c r="BH404">
        <v>1940</v>
      </c>
      <c r="BI404" t="s">
        <v>101</v>
      </c>
      <c r="BJ404">
        <v>1</v>
      </c>
      <c r="BK404">
        <v>240</v>
      </c>
      <c r="BL404" t="s">
        <v>97</v>
      </c>
      <c r="BM404" t="s">
        <v>97</v>
      </c>
      <c r="BN404" t="s">
        <v>176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V404" t="s">
        <v>164</v>
      </c>
      <c r="BX404">
        <v>0</v>
      </c>
      <c r="BY404">
        <v>8</v>
      </c>
      <c r="BZ404">
        <v>2008</v>
      </c>
      <c r="CA404" t="s">
        <v>109</v>
      </c>
      <c r="CB404" t="s">
        <v>110</v>
      </c>
      <c r="CC404">
        <v>108000</v>
      </c>
    </row>
    <row r="405" spans="1:81" x14ac:dyDescent="0.3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H405" t="s">
        <v>83</v>
      </c>
      <c r="I405" t="s">
        <v>84</v>
      </c>
      <c r="J405" t="s">
        <v>85</v>
      </c>
      <c r="K405" t="s">
        <v>121</v>
      </c>
      <c r="L405" t="s">
        <v>87</v>
      </c>
      <c r="M405" t="s">
        <v>128</v>
      </c>
      <c r="N405" t="s">
        <v>89</v>
      </c>
      <c r="O405" t="s">
        <v>89</v>
      </c>
      <c r="P405" t="s">
        <v>90</v>
      </c>
      <c r="Q405" t="s">
        <v>91</v>
      </c>
      <c r="R405">
        <v>8</v>
      </c>
      <c r="S405">
        <v>5</v>
      </c>
      <c r="T405">
        <v>1998</v>
      </c>
      <c r="U405">
        <v>1998</v>
      </c>
      <c r="V405" t="s">
        <v>151</v>
      </c>
      <c r="W405" t="s">
        <v>93</v>
      </c>
      <c r="X405" t="s">
        <v>94</v>
      </c>
      <c r="Y405" t="s">
        <v>94</v>
      </c>
      <c r="Z405" t="s">
        <v>95</v>
      </c>
      <c r="AA405">
        <v>650</v>
      </c>
      <c r="AB405" t="s">
        <v>96</v>
      </c>
      <c r="AC405" t="s">
        <v>97</v>
      </c>
      <c r="AD405" t="s">
        <v>98</v>
      </c>
      <c r="AE405" t="s">
        <v>96</v>
      </c>
      <c r="AF405" t="s">
        <v>97</v>
      </c>
      <c r="AG405" t="s">
        <v>99</v>
      </c>
      <c r="AH405" t="s">
        <v>101</v>
      </c>
      <c r="AI405">
        <v>0</v>
      </c>
      <c r="AJ405" t="s">
        <v>101</v>
      </c>
      <c r="AK405">
        <v>0</v>
      </c>
      <c r="AL405">
        <v>1141</v>
      </c>
      <c r="AM405">
        <v>1141</v>
      </c>
      <c r="AN405" t="s">
        <v>102</v>
      </c>
      <c r="AO405" t="s">
        <v>96</v>
      </c>
      <c r="AP405" t="s">
        <v>104</v>
      </c>
      <c r="AQ405" t="s">
        <v>105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96</v>
      </c>
      <c r="BC405">
        <v>10</v>
      </c>
      <c r="BD405" t="s">
        <v>106</v>
      </c>
      <c r="BE405">
        <v>1</v>
      </c>
      <c r="BF405" t="s">
        <v>97</v>
      </c>
      <c r="BG405" t="s">
        <v>155</v>
      </c>
      <c r="BH405">
        <v>1998</v>
      </c>
      <c r="BI405" t="s">
        <v>156</v>
      </c>
      <c r="BJ405">
        <v>2</v>
      </c>
      <c r="BK405">
        <v>420</v>
      </c>
      <c r="BL405" t="s">
        <v>97</v>
      </c>
      <c r="BM405" t="s">
        <v>97</v>
      </c>
      <c r="BN405" t="s">
        <v>104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X405">
        <v>0</v>
      </c>
      <c r="BY405">
        <v>7</v>
      </c>
      <c r="BZ405">
        <v>2006</v>
      </c>
      <c r="CA405" t="s">
        <v>109</v>
      </c>
      <c r="CB405" t="s">
        <v>127</v>
      </c>
      <c r="CC405">
        <v>258000</v>
      </c>
    </row>
    <row r="406" spans="1:81" x14ac:dyDescent="0.3">
      <c r="A406">
        <v>405</v>
      </c>
      <c r="B406">
        <v>60</v>
      </c>
      <c r="C406" t="s">
        <v>81</v>
      </c>
      <c r="E406">
        <v>10364</v>
      </c>
      <c r="F406" t="s">
        <v>82</v>
      </c>
      <c r="H406" t="s">
        <v>119</v>
      </c>
      <c r="I406" t="s">
        <v>84</v>
      </c>
      <c r="J406" t="s">
        <v>85</v>
      </c>
      <c r="K406" t="s">
        <v>86</v>
      </c>
      <c r="L406" t="s">
        <v>87</v>
      </c>
      <c r="M406" t="s">
        <v>192</v>
      </c>
      <c r="N406" t="s">
        <v>89</v>
      </c>
      <c r="O406" t="s">
        <v>89</v>
      </c>
      <c r="P406" t="s">
        <v>90</v>
      </c>
      <c r="Q406" t="s">
        <v>91</v>
      </c>
      <c r="R406">
        <v>6</v>
      </c>
      <c r="S406">
        <v>5</v>
      </c>
      <c r="T406">
        <v>1995</v>
      </c>
      <c r="U406">
        <v>1996</v>
      </c>
      <c r="V406" t="s">
        <v>92</v>
      </c>
      <c r="W406" t="s">
        <v>93</v>
      </c>
      <c r="X406" t="s">
        <v>115</v>
      </c>
      <c r="Y406" t="s">
        <v>115</v>
      </c>
      <c r="Z406" t="s">
        <v>116</v>
      </c>
      <c r="AA406">
        <v>0</v>
      </c>
      <c r="AB406" t="s">
        <v>97</v>
      </c>
      <c r="AC406" t="s">
        <v>97</v>
      </c>
      <c r="AD406" t="s">
        <v>98</v>
      </c>
      <c r="AE406" t="s">
        <v>96</v>
      </c>
      <c r="AF406" t="s">
        <v>97</v>
      </c>
      <c r="AG406" t="s">
        <v>99</v>
      </c>
      <c r="AH406" t="s">
        <v>101</v>
      </c>
      <c r="AI406">
        <v>0</v>
      </c>
      <c r="AJ406" t="s">
        <v>101</v>
      </c>
      <c r="AK406">
        <v>0</v>
      </c>
      <c r="AL406">
        <v>806</v>
      </c>
      <c r="AM406">
        <v>806</v>
      </c>
      <c r="AN406" t="s">
        <v>102</v>
      </c>
      <c r="AO406" t="s">
        <v>96</v>
      </c>
      <c r="AP406" t="s">
        <v>104</v>
      </c>
      <c r="AQ406" t="s">
        <v>105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97</v>
      </c>
      <c r="BC406">
        <v>7</v>
      </c>
      <c r="BD406" t="s">
        <v>106</v>
      </c>
      <c r="BE406">
        <v>1</v>
      </c>
      <c r="BF406" t="s">
        <v>97</v>
      </c>
      <c r="BG406" t="s">
        <v>155</v>
      </c>
      <c r="BH406">
        <v>1995</v>
      </c>
      <c r="BI406" t="s">
        <v>156</v>
      </c>
      <c r="BJ406">
        <v>2</v>
      </c>
      <c r="BK406">
        <v>373</v>
      </c>
      <c r="BL406" t="s">
        <v>97</v>
      </c>
      <c r="BM406" t="s">
        <v>97</v>
      </c>
      <c r="BN406" t="s">
        <v>104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X406">
        <v>0</v>
      </c>
      <c r="BY406">
        <v>5</v>
      </c>
      <c r="BZ406">
        <v>2007</v>
      </c>
      <c r="CA406" t="s">
        <v>109</v>
      </c>
      <c r="CB406" t="s">
        <v>110</v>
      </c>
      <c r="CC406">
        <v>168000</v>
      </c>
    </row>
    <row r="407" spans="1:81" x14ac:dyDescent="0.3">
      <c r="A407">
        <v>406</v>
      </c>
      <c r="B407">
        <v>20</v>
      </c>
      <c r="C407" t="s">
        <v>81</v>
      </c>
      <c r="E407">
        <v>9991</v>
      </c>
      <c r="F407" t="s">
        <v>82</v>
      </c>
      <c r="H407" t="s">
        <v>119</v>
      </c>
      <c r="I407" t="s">
        <v>84</v>
      </c>
      <c r="J407" t="s">
        <v>85</v>
      </c>
      <c r="K407" t="s">
        <v>121</v>
      </c>
      <c r="L407" t="s">
        <v>87</v>
      </c>
      <c r="M407" t="s">
        <v>150</v>
      </c>
      <c r="N407" t="s">
        <v>113</v>
      </c>
      <c r="O407" t="s">
        <v>89</v>
      </c>
      <c r="P407" t="s">
        <v>90</v>
      </c>
      <c r="Q407" t="s">
        <v>114</v>
      </c>
      <c r="R407">
        <v>4</v>
      </c>
      <c r="S407">
        <v>4</v>
      </c>
      <c r="T407">
        <v>1976</v>
      </c>
      <c r="U407">
        <v>1993</v>
      </c>
      <c r="V407" t="s">
        <v>92</v>
      </c>
      <c r="W407" t="s">
        <v>93</v>
      </c>
      <c r="X407" t="s">
        <v>160</v>
      </c>
      <c r="Y407" t="s">
        <v>160</v>
      </c>
      <c r="Z407" t="s">
        <v>116</v>
      </c>
      <c r="AA407">
        <v>0</v>
      </c>
      <c r="AB407" t="s">
        <v>97</v>
      </c>
      <c r="AC407" t="s">
        <v>97</v>
      </c>
      <c r="AD407" t="s">
        <v>117</v>
      </c>
      <c r="AE407" t="s">
        <v>97</v>
      </c>
      <c r="AF407" t="s">
        <v>97</v>
      </c>
      <c r="AG407" t="s">
        <v>99</v>
      </c>
      <c r="AH407" t="s">
        <v>140</v>
      </c>
      <c r="AI407">
        <v>1116</v>
      </c>
      <c r="AJ407" t="s">
        <v>101</v>
      </c>
      <c r="AK407">
        <v>0</v>
      </c>
      <c r="AL407">
        <v>165</v>
      </c>
      <c r="AM407">
        <v>1281</v>
      </c>
      <c r="AN407" t="s">
        <v>102</v>
      </c>
      <c r="AO407" t="s">
        <v>103</v>
      </c>
      <c r="AP407" t="s">
        <v>104</v>
      </c>
      <c r="AQ407" t="s">
        <v>105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97</v>
      </c>
      <c r="BC407">
        <v>8</v>
      </c>
      <c r="BD407" t="s">
        <v>145</v>
      </c>
      <c r="BE407">
        <v>1</v>
      </c>
      <c r="BF407" t="s">
        <v>97</v>
      </c>
      <c r="BG407" t="s">
        <v>107</v>
      </c>
      <c r="BH407">
        <v>1993</v>
      </c>
      <c r="BI407" t="s">
        <v>101</v>
      </c>
      <c r="BJ407">
        <v>2</v>
      </c>
      <c r="BK407">
        <v>490</v>
      </c>
      <c r="BL407" t="s">
        <v>97</v>
      </c>
      <c r="BM407" t="s">
        <v>97</v>
      </c>
      <c r="BN407" t="s">
        <v>104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V407" t="s">
        <v>162</v>
      </c>
      <c r="BX407">
        <v>0</v>
      </c>
      <c r="BY407">
        <v>6</v>
      </c>
      <c r="BZ407">
        <v>2009</v>
      </c>
      <c r="CA407" t="s">
        <v>109</v>
      </c>
      <c r="CB407" t="s">
        <v>110</v>
      </c>
      <c r="CC407">
        <v>150000</v>
      </c>
    </row>
    <row r="408" spans="1:81" x14ac:dyDescent="0.3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231</v>
      </c>
      <c r="N408" t="s">
        <v>89</v>
      </c>
      <c r="O408" t="s">
        <v>89</v>
      </c>
      <c r="P408" t="s">
        <v>90</v>
      </c>
      <c r="Q408" t="s">
        <v>131</v>
      </c>
      <c r="R408">
        <v>6</v>
      </c>
      <c r="S408">
        <v>5</v>
      </c>
      <c r="T408">
        <v>1936</v>
      </c>
      <c r="U408">
        <v>1950</v>
      </c>
      <c r="V408" t="s">
        <v>92</v>
      </c>
      <c r="W408" t="s">
        <v>93</v>
      </c>
      <c r="X408" t="s">
        <v>115</v>
      </c>
      <c r="Y408" t="s">
        <v>115</v>
      </c>
      <c r="Z408" t="s">
        <v>116</v>
      </c>
      <c r="AA408">
        <v>0</v>
      </c>
      <c r="AB408" t="s">
        <v>97</v>
      </c>
      <c r="AC408" t="s">
        <v>97</v>
      </c>
      <c r="AD408" t="s">
        <v>125</v>
      </c>
      <c r="AE408" t="s">
        <v>97</v>
      </c>
      <c r="AF408" t="s">
        <v>97</v>
      </c>
      <c r="AG408" t="s">
        <v>99</v>
      </c>
      <c r="AH408" t="s">
        <v>101</v>
      </c>
      <c r="AI408">
        <v>0</v>
      </c>
      <c r="AJ408" t="s">
        <v>101</v>
      </c>
      <c r="AK408">
        <v>0</v>
      </c>
      <c r="AL408">
        <v>1064</v>
      </c>
      <c r="AM408">
        <v>1064</v>
      </c>
      <c r="AN408" t="s">
        <v>102</v>
      </c>
      <c r="AO408" t="s">
        <v>103</v>
      </c>
      <c r="AP408" t="s">
        <v>104</v>
      </c>
      <c r="AQ408" t="s">
        <v>163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97</v>
      </c>
      <c r="BC408">
        <v>6</v>
      </c>
      <c r="BD408" t="s">
        <v>243</v>
      </c>
      <c r="BE408">
        <v>0</v>
      </c>
      <c r="BG408" t="s">
        <v>126</v>
      </c>
      <c r="BH408">
        <v>1936</v>
      </c>
      <c r="BI408" t="s">
        <v>101</v>
      </c>
      <c r="BJ408">
        <v>1</v>
      </c>
      <c r="BK408">
        <v>240</v>
      </c>
      <c r="BL408" t="s">
        <v>97</v>
      </c>
      <c r="BM408" t="s">
        <v>97</v>
      </c>
      <c r="BN408" t="s">
        <v>104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X408">
        <v>0</v>
      </c>
      <c r="BY408">
        <v>3</v>
      </c>
      <c r="BZ408">
        <v>2008</v>
      </c>
      <c r="CA408" t="s">
        <v>109</v>
      </c>
      <c r="CB408" t="s">
        <v>110</v>
      </c>
      <c r="CC408">
        <v>115000</v>
      </c>
    </row>
    <row r="409" spans="1:81" x14ac:dyDescent="0.3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H409" t="s">
        <v>83</v>
      </c>
      <c r="I409" t="s">
        <v>84</v>
      </c>
      <c r="J409" t="s">
        <v>85</v>
      </c>
      <c r="K409" t="s">
        <v>86</v>
      </c>
      <c r="L409" t="s">
        <v>87</v>
      </c>
      <c r="M409" t="s">
        <v>122</v>
      </c>
      <c r="N409" t="s">
        <v>89</v>
      </c>
      <c r="O409" t="s">
        <v>89</v>
      </c>
      <c r="P409" t="s">
        <v>90</v>
      </c>
      <c r="Q409" t="s">
        <v>91</v>
      </c>
      <c r="R409">
        <v>6</v>
      </c>
      <c r="S409">
        <v>7</v>
      </c>
      <c r="T409">
        <v>1915</v>
      </c>
      <c r="U409">
        <v>1976</v>
      </c>
      <c r="V409" t="s">
        <v>92</v>
      </c>
      <c r="W409" t="s">
        <v>93</v>
      </c>
      <c r="X409" t="s">
        <v>123</v>
      </c>
      <c r="Y409" t="s">
        <v>160</v>
      </c>
      <c r="Z409" t="s">
        <v>116</v>
      </c>
      <c r="AA409">
        <v>0</v>
      </c>
      <c r="AB409" t="s">
        <v>97</v>
      </c>
      <c r="AC409" t="s">
        <v>97</v>
      </c>
      <c r="AD409" t="s">
        <v>125</v>
      </c>
      <c r="AE409" t="s">
        <v>96</v>
      </c>
      <c r="AF409" t="s">
        <v>97</v>
      </c>
      <c r="AG409" t="s">
        <v>99</v>
      </c>
      <c r="AH409" t="s">
        <v>101</v>
      </c>
      <c r="AI409">
        <v>0</v>
      </c>
      <c r="AJ409" t="s">
        <v>101</v>
      </c>
      <c r="AK409">
        <v>0</v>
      </c>
      <c r="AL409">
        <v>840</v>
      </c>
      <c r="AM409">
        <v>840</v>
      </c>
      <c r="AN409" t="s">
        <v>102</v>
      </c>
      <c r="AO409" t="s">
        <v>103</v>
      </c>
      <c r="AP409" t="s">
        <v>104</v>
      </c>
      <c r="AQ409" t="s">
        <v>105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97</v>
      </c>
      <c r="BC409">
        <v>8</v>
      </c>
      <c r="BD409" t="s">
        <v>106</v>
      </c>
      <c r="BE409">
        <v>0</v>
      </c>
      <c r="BG409" t="s">
        <v>107</v>
      </c>
      <c r="BH409">
        <v>1960</v>
      </c>
      <c r="BI409" t="s">
        <v>101</v>
      </c>
      <c r="BJ409">
        <v>1</v>
      </c>
      <c r="BK409">
        <v>308</v>
      </c>
      <c r="BL409" t="s">
        <v>97</v>
      </c>
      <c r="BM409" t="s">
        <v>97</v>
      </c>
      <c r="BN409" t="s">
        <v>104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X409">
        <v>0</v>
      </c>
      <c r="BY409">
        <v>3</v>
      </c>
      <c r="BZ409">
        <v>2008</v>
      </c>
      <c r="CA409" t="s">
        <v>109</v>
      </c>
      <c r="CB409" t="s">
        <v>110</v>
      </c>
      <c r="CC409">
        <v>177000</v>
      </c>
    </row>
    <row r="410" spans="1:81" x14ac:dyDescent="0.3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H410" t="s">
        <v>83</v>
      </c>
      <c r="I410" t="s">
        <v>84</v>
      </c>
      <c r="J410" t="s">
        <v>85</v>
      </c>
      <c r="K410" t="s">
        <v>121</v>
      </c>
      <c r="L410" t="s">
        <v>87</v>
      </c>
      <c r="M410" t="s">
        <v>153</v>
      </c>
      <c r="N410" t="s">
        <v>89</v>
      </c>
      <c r="O410" t="s">
        <v>89</v>
      </c>
      <c r="P410" t="s">
        <v>90</v>
      </c>
      <c r="Q410" t="s">
        <v>91</v>
      </c>
      <c r="R410">
        <v>7</v>
      </c>
      <c r="S410">
        <v>5</v>
      </c>
      <c r="T410">
        <v>2006</v>
      </c>
      <c r="U410">
        <v>2006</v>
      </c>
      <c r="V410" t="s">
        <v>92</v>
      </c>
      <c r="W410" t="s">
        <v>93</v>
      </c>
      <c r="X410" t="s">
        <v>94</v>
      </c>
      <c r="Y410" t="s">
        <v>94</v>
      </c>
      <c r="Z410" t="s">
        <v>95</v>
      </c>
      <c r="AA410">
        <v>350</v>
      </c>
      <c r="AB410" t="s">
        <v>96</v>
      </c>
      <c r="AC410" t="s">
        <v>97</v>
      </c>
      <c r="AD410" t="s">
        <v>98</v>
      </c>
      <c r="AE410" t="s">
        <v>103</v>
      </c>
      <c r="AF410" t="s">
        <v>96</v>
      </c>
      <c r="AG410" t="s">
        <v>99</v>
      </c>
      <c r="AH410" t="s">
        <v>101</v>
      </c>
      <c r="AI410">
        <v>0</v>
      </c>
      <c r="AJ410" t="s">
        <v>101</v>
      </c>
      <c r="AK410">
        <v>0</v>
      </c>
      <c r="AL410">
        <v>1063</v>
      </c>
      <c r="AM410">
        <v>1063</v>
      </c>
      <c r="AN410" t="s">
        <v>102</v>
      </c>
      <c r="AO410" t="s">
        <v>103</v>
      </c>
      <c r="AP410" t="s">
        <v>104</v>
      </c>
      <c r="AQ410" t="s">
        <v>105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96</v>
      </c>
      <c r="BC410">
        <v>9</v>
      </c>
      <c r="BD410" t="s">
        <v>106</v>
      </c>
      <c r="BE410">
        <v>1</v>
      </c>
      <c r="BF410" t="s">
        <v>96</v>
      </c>
      <c r="BG410" t="s">
        <v>107</v>
      </c>
      <c r="BH410">
        <v>2006</v>
      </c>
      <c r="BI410" t="s">
        <v>108</v>
      </c>
      <c r="BJ410">
        <v>3</v>
      </c>
      <c r="BK410">
        <v>947</v>
      </c>
      <c r="BL410" t="s">
        <v>97</v>
      </c>
      <c r="BM410" t="s">
        <v>97</v>
      </c>
      <c r="BN410" t="s">
        <v>104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X410">
        <v>0</v>
      </c>
      <c r="BY410">
        <v>8</v>
      </c>
      <c r="BZ410">
        <v>2007</v>
      </c>
      <c r="CA410" t="s">
        <v>157</v>
      </c>
      <c r="CB410" t="s">
        <v>158</v>
      </c>
      <c r="CC410">
        <v>280000</v>
      </c>
    </row>
    <row r="411" spans="1:81" x14ac:dyDescent="0.3">
      <c r="A411">
        <v>410</v>
      </c>
      <c r="B411">
        <v>60</v>
      </c>
      <c r="C411" t="s">
        <v>191</v>
      </c>
      <c r="D411">
        <v>85</v>
      </c>
      <c r="E411">
        <v>10800</v>
      </c>
      <c r="F411" t="s">
        <v>82</v>
      </c>
      <c r="H411" t="s">
        <v>83</v>
      </c>
      <c r="I411" t="s">
        <v>84</v>
      </c>
      <c r="J411" t="s">
        <v>85</v>
      </c>
      <c r="K411" t="s">
        <v>86</v>
      </c>
      <c r="L411" t="s">
        <v>87</v>
      </c>
      <c r="M411" t="s">
        <v>135</v>
      </c>
      <c r="N411" t="s">
        <v>89</v>
      </c>
      <c r="O411" t="s">
        <v>89</v>
      </c>
      <c r="P411" t="s">
        <v>90</v>
      </c>
      <c r="Q411" t="s">
        <v>91</v>
      </c>
      <c r="R411">
        <v>8</v>
      </c>
      <c r="S411">
        <v>5</v>
      </c>
      <c r="T411">
        <v>2007</v>
      </c>
      <c r="U411">
        <v>2008</v>
      </c>
      <c r="V411" t="s">
        <v>92</v>
      </c>
      <c r="W411" t="s">
        <v>93</v>
      </c>
      <c r="X411" t="s">
        <v>94</v>
      </c>
      <c r="Y411" t="s">
        <v>94</v>
      </c>
      <c r="Z411" t="s">
        <v>136</v>
      </c>
      <c r="AA411">
        <v>100</v>
      </c>
      <c r="AB411" t="s">
        <v>96</v>
      </c>
      <c r="AC411" t="s">
        <v>97</v>
      </c>
      <c r="AD411" t="s">
        <v>98</v>
      </c>
      <c r="AE411" t="s">
        <v>103</v>
      </c>
      <c r="AF411" t="s">
        <v>97</v>
      </c>
      <c r="AG411" t="s">
        <v>99</v>
      </c>
      <c r="AH411" t="s">
        <v>100</v>
      </c>
      <c r="AI411">
        <v>789</v>
      </c>
      <c r="AJ411" t="s">
        <v>101</v>
      </c>
      <c r="AK411">
        <v>0</v>
      </c>
      <c r="AL411">
        <v>245</v>
      </c>
      <c r="AM411">
        <v>1034</v>
      </c>
      <c r="AN411" t="s">
        <v>102</v>
      </c>
      <c r="AO411" t="s">
        <v>103</v>
      </c>
      <c r="AP411" t="s">
        <v>104</v>
      </c>
      <c r="AQ411" t="s">
        <v>105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103</v>
      </c>
      <c r="BC411">
        <v>8</v>
      </c>
      <c r="BD411" t="s">
        <v>106</v>
      </c>
      <c r="BE411">
        <v>1</v>
      </c>
      <c r="BF411" t="s">
        <v>96</v>
      </c>
      <c r="BG411" t="s">
        <v>107</v>
      </c>
      <c r="BH411">
        <v>2008</v>
      </c>
      <c r="BI411" t="s">
        <v>156</v>
      </c>
      <c r="BJ411">
        <v>3</v>
      </c>
      <c r="BK411">
        <v>836</v>
      </c>
      <c r="BL411" t="s">
        <v>97</v>
      </c>
      <c r="BM411" t="s">
        <v>97</v>
      </c>
      <c r="BN411" t="s">
        <v>104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X411">
        <v>0</v>
      </c>
      <c r="BY411">
        <v>4</v>
      </c>
      <c r="BZ411">
        <v>2008</v>
      </c>
      <c r="CA411" t="s">
        <v>157</v>
      </c>
      <c r="CB411" t="s">
        <v>158</v>
      </c>
      <c r="CC411">
        <v>339750</v>
      </c>
    </row>
    <row r="412" spans="1:81" x14ac:dyDescent="0.3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H412" t="s">
        <v>83</v>
      </c>
      <c r="I412" t="s">
        <v>84</v>
      </c>
      <c r="J412" t="s">
        <v>85</v>
      </c>
      <c r="K412" t="s">
        <v>86</v>
      </c>
      <c r="L412" t="s">
        <v>87</v>
      </c>
      <c r="M412" t="s">
        <v>184</v>
      </c>
      <c r="N412" t="s">
        <v>89</v>
      </c>
      <c r="O412" t="s">
        <v>89</v>
      </c>
      <c r="P412" t="s">
        <v>90</v>
      </c>
      <c r="Q412" t="s">
        <v>114</v>
      </c>
      <c r="R412">
        <v>5</v>
      </c>
      <c r="S412">
        <v>3</v>
      </c>
      <c r="T412">
        <v>1958</v>
      </c>
      <c r="U412">
        <v>1958</v>
      </c>
      <c r="V412" t="s">
        <v>92</v>
      </c>
      <c r="W412" t="s">
        <v>93</v>
      </c>
      <c r="X412" t="s">
        <v>244</v>
      </c>
      <c r="Y412" t="s">
        <v>225</v>
      </c>
      <c r="Z412" t="s">
        <v>116</v>
      </c>
      <c r="AA412">
        <v>0</v>
      </c>
      <c r="AB412" t="s">
        <v>97</v>
      </c>
      <c r="AC412" t="s">
        <v>146</v>
      </c>
      <c r="AD412" t="s">
        <v>117</v>
      </c>
      <c r="AE412" t="s">
        <v>97</v>
      </c>
      <c r="AF412" t="s">
        <v>146</v>
      </c>
      <c r="AG412" t="s">
        <v>99</v>
      </c>
      <c r="AH412" t="s">
        <v>101</v>
      </c>
      <c r="AI412">
        <v>0</v>
      </c>
      <c r="AJ412" t="s">
        <v>101</v>
      </c>
      <c r="AK412">
        <v>0</v>
      </c>
      <c r="AL412">
        <v>1276</v>
      </c>
      <c r="AM412">
        <v>1276</v>
      </c>
      <c r="AN412" t="s">
        <v>102</v>
      </c>
      <c r="AO412" t="s">
        <v>97</v>
      </c>
      <c r="AP412" t="s">
        <v>104</v>
      </c>
      <c r="AQ412" t="s">
        <v>163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97</v>
      </c>
      <c r="BC412">
        <v>5</v>
      </c>
      <c r="BD412" t="s">
        <v>193</v>
      </c>
      <c r="BE412">
        <v>0</v>
      </c>
      <c r="BG412" t="s">
        <v>107</v>
      </c>
      <c r="BH412">
        <v>1958</v>
      </c>
      <c r="BI412" t="s">
        <v>101</v>
      </c>
      <c r="BJ412">
        <v>1</v>
      </c>
      <c r="BK412">
        <v>350</v>
      </c>
      <c r="BL412" t="s">
        <v>97</v>
      </c>
      <c r="BM412" t="s">
        <v>97</v>
      </c>
      <c r="BN412" t="s">
        <v>104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X412">
        <v>0</v>
      </c>
      <c r="BY412">
        <v>6</v>
      </c>
      <c r="BZ412">
        <v>2009</v>
      </c>
      <c r="CA412" t="s">
        <v>172</v>
      </c>
      <c r="CB412" t="s">
        <v>127</v>
      </c>
      <c r="CC412">
        <v>60000</v>
      </c>
    </row>
    <row r="413" spans="1:81" x14ac:dyDescent="0.3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H413" t="s">
        <v>83</v>
      </c>
      <c r="I413" t="s">
        <v>174</v>
      </c>
      <c r="J413" t="s">
        <v>85</v>
      </c>
      <c r="K413" t="s">
        <v>86</v>
      </c>
      <c r="L413" t="s">
        <v>87</v>
      </c>
      <c r="M413" t="s">
        <v>192</v>
      </c>
      <c r="N413" t="s">
        <v>89</v>
      </c>
      <c r="O413" t="s">
        <v>89</v>
      </c>
      <c r="P413" t="s">
        <v>148</v>
      </c>
      <c r="Q413" t="s">
        <v>114</v>
      </c>
      <c r="R413">
        <v>5</v>
      </c>
      <c r="S413">
        <v>5</v>
      </c>
      <c r="T413">
        <v>1955</v>
      </c>
      <c r="U413">
        <v>1955</v>
      </c>
      <c r="V413" t="s">
        <v>151</v>
      </c>
      <c r="W413" t="s">
        <v>93</v>
      </c>
      <c r="X413" t="s">
        <v>123</v>
      </c>
      <c r="Y413" t="s">
        <v>123</v>
      </c>
      <c r="Z413" t="s">
        <v>116</v>
      </c>
      <c r="AA413">
        <v>0</v>
      </c>
      <c r="AB413" t="s">
        <v>97</v>
      </c>
      <c r="AC413" t="s">
        <v>97</v>
      </c>
      <c r="AD413" t="s">
        <v>117</v>
      </c>
      <c r="AE413" t="s">
        <v>97</v>
      </c>
      <c r="AF413" t="s">
        <v>97</v>
      </c>
      <c r="AG413" t="s">
        <v>120</v>
      </c>
      <c r="AH413" t="s">
        <v>152</v>
      </c>
      <c r="AI413">
        <v>1056</v>
      </c>
      <c r="AJ413" t="s">
        <v>101</v>
      </c>
      <c r="AK413">
        <v>0</v>
      </c>
      <c r="AL413">
        <v>0</v>
      </c>
      <c r="AM413">
        <v>1056</v>
      </c>
      <c r="AN413" t="s">
        <v>102</v>
      </c>
      <c r="AO413" t="s">
        <v>97</v>
      </c>
      <c r="AP413" t="s">
        <v>176</v>
      </c>
      <c r="AQ413" t="s">
        <v>105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97</v>
      </c>
      <c r="BC413">
        <v>5</v>
      </c>
      <c r="BD413" t="s">
        <v>106</v>
      </c>
      <c r="BE413">
        <v>0</v>
      </c>
      <c r="BG413" t="s">
        <v>107</v>
      </c>
      <c r="BH413">
        <v>1955</v>
      </c>
      <c r="BI413" t="s">
        <v>156</v>
      </c>
      <c r="BJ413">
        <v>2</v>
      </c>
      <c r="BK413">
        <v>572</v>
      </c>
      <c r="BL413" t="s">
        <v>97</v>
      </c>
      <c r="BM413" t="s">
        <v>97</v>
      </c>
      <c r="BN413" t="s">
        <v>104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X413">
        <v>0</v>
      </c>
      <c r="BY413">
        <v>1</v>
      </c>
      <c r="BZ413">
        <v>2006</v>
      </c>
      <c r="CA413" t="s">
        <v>109</v>
      </c>
      <c r="CB413" t="s">
        <v>110</v>
      </c>
      <c r="CC413">
        <v>145000</v>
      </c>
    </row>
    <row r="414" spans="1:81" x14ac:dyDescent="0.3">
      <c r="A414">
        <v>413</v>
      </c>
      <c r="B414">
        <v>20</v>
      </c>
      <c r="C414" t="s">
        <v>191</v>
      </c>
      <c r="E414">
        <v>4403</v>
      </c>
      <c r="F414" t="s">
        <v>82</v>
      </c>
      <c r="H414" t="s">
        <v>159</v>
      </c>
      <c r="I414" t="s">
        <v>84</v>
      </c>
      <c r="J414" t="s">
        <v>85</v>
      </c>
      <c r="K414" t="s">
        <v>86</v>
      </c>
      <c r="L414" t="s">
        <v>87</v>
      </c>
      <c r="M414" t="s">
        <v>135</v>
      </c>
      <c r="N414" t="s">
        <v>89</v>
      </c>
      <c r="O414" t="s">
        <v>89</v>
      </c>
      <c r="P414" t="s">
        <v>90</v>
      </c>
      <c r="Q414" t="s">
        <v>114</v>
      </c>
      <c r="R414">
        <v>7</v>
      </c>
      <c r="S414">
        <v>5</v>
      </c>
      <c r="T414">
        <v>2009</v>
      </c>
      <c r="U414">
        <v>2009</v>
      </c>
      <c r="V414" t="s">
        <v>92</v>
      </c>
      <c r="W414" t="s">
        <v>93</v>
      </c>
      <c r="X414" t="s">
        <v>115</v>
      </c>
      <c r="Y414" t="s">
        <v>115</v>
      </c>
      <c r="Z414" t="s">
        <v>136</v>
      </c>
      <c r="AA414">
        <v>432</v>
      </c>
      <c r="AB414" t="s">
        <v>103</v>
      </c>
      <c r="AC414" t="s">
        <v>97</v>
      </c>
      <c r="AD414" t="s">
        <v>98</v>
      </c>
      <c r="AE414" t="s">
        <v>103</v>
      </c>
      <c r="AF414" t="s">
        <v>97</v>
      </c>
      <c r="AG414" t="s">
        <v>129</v>
      </c>
      <c r="AH414" t="s">
        <v>100</v>
      </c>
      <c r="AI414">
        <v>578</v>
      </c>
      <c r="AJ414" t="s">
        <v>101</v>
      </c>
      <c r="AK414">
        <v>0</v>
      </c>
      <c r="AL414">
        <v>892</v>
      </c>
      <c r="AM414">
        <v>1470</v>
      </c>
      <c r="AN414" t="s">
        <v>102</v>
      </c>
      <c r="AO414" t="s">
        <v>103</v>
      </c>
      <c r="AP414" t="s">
        <v>104</v>
      </c>
      <c r="AQ414" t="s">
        <v>105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96</v>
      </c>
      <c r="BC414">
        <v>7</v>
      </c>
      <c r="BD414" t="s">
        <v>106</v>
      </c>
      <c r="BE414">
        <v>1</v>
      </c>
      <c r="BF414" t="s">
        <v>96</v>
      </c>
      <c r="BG414" t="s">
        <v>107</v>
      </c>
      <c r="BH414">
        <v>2009</v>
      </c>
      <c r="BI414" t="s">
        <v>156</v>
      </c>
      <c r="BJ414">
        <v>2</v>
      </c>
      <c r="BK414">
        <v>484</v>
      </c>
      <c r="BL414" t="s">
        <v>97</v>
      </c>
      <c r="BM414" t="s">
        <v>97</v>
      </c>
      <c r="BN414" t="s">
        <v>104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X414">
        <v>0</v>
      </c>
      <c r="BY414">
        <v>6</v>
      </c>
      <c r="BZ414">
        <v>2010</v>
      </c>
      <c r="CA414" t="s">
        <v>157</v>
      </c>
      <c r="CB414" t="s">
        <v>158</v>
      </c>
      <c r="CC414">
        <v>222000</v>
      </c>
    </row>
    <row r="415" spans="1:81" x14ac:dyDescent="0.3">
      <c r="A415">
        <v>414</v>
      </c>
      <c r="B415">
        <v>30</v>
      </c>
      <c r="C415" t="s">
        <v>141</v>
      </c>
      <c r="D415">
        <v>56</v>
      </c>
      <c r="E415">
        <v>8960</v>
      </c>
      <c r="F415" t="s">
        <v>82</v>
      </c>
      <c r="G415" t="s">
        <v>173</v>
      </c>
      <c r="H415" t="s">
        <v>83</v>
      </c>
      <c r="I415" t="s">
        <v>84</v>
      </c>
      <c r="J415" t="s">
        <v>85</v>
      </c>
      <c r="K415" t="s">
        <v>86</v>
      </c>
      <c r="L415" t="s">
        <v>87</v>
      </c>
      <c r="M415" t="s">
        <v>142</v>
      </c>
      <c r="N415" t="s">
        <v>143</v>
      </c>
      <c r="O415" t="s">
        <v>89</v>
      </c>
      <c r="P415" t="s">
        <v>90</v>
      </c>
      <c r="Q415" t="s">
        <v>114</v>
      </c>
      <c r="R415">
        <v>5</v>
      </c>
      <c r="S415">
        <v>6</v>
      </c>
      <c r="T415">
        <v>1927</v>
      </c>
      <c r="U415">
        <v>1950</v>
      </c>
      <c r="V415" t="s">
        <v>92</v>
      </c>
      <c r="W415" t="s">
        <v>93</v>
      </c>
      <c r="X415" t="s">
        <v>154</v>
      </c>
      <c r="Y415" t="s">
        <v>124</v>
      </c>
      <c r="Z415" t="s">
        <v>116</v>
      </c>
      <c r="AA415">
        <v>0</v>
      </c>
      <c r="AB415" t="s">
        <v>97</v>
      </c>
      <c r="AC415" t="s">
        <v>97</v>
      </c>
      <c r="AD415" t="s">
        <v>117</v>
      </c>
      <c r="AE415" t="s">
        <v>97</v>
      </c>
      <c r="AF415" t="s">
        <v>97</v>
      </c>
      <c r="AG415" t="s">
        <v>99</v>
      </c>
      <c r="AH415" t="s">
        <v>101</v>
      </c>
      <c r="AI415">
        <v>0</v>
      </c>
      <c r="AJ415" t="s">
        <v>101</v>
      </c>
      <c r="AK415">
        <v>0</v>
      </c>
      <c r="AL415">
        <v>1008</v>
      </c>
      <c r="AM415">
        <v>1008</v>
      </c>
      <c r="AN415" t="s">
        <v>102</v>
      </c>
      <c r="AO415" t="s">
        <v>96</v>
      </c>
      <c r="AP415" t="s">
        <v>104</v>
      </c>
      <c r="AQ415" t="s">
        <v>163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97</v>
      </c>
      <c r="BC415">
        <v>5</v>
      </c>
      <c r="BD415" t="s">
        <v>106</v>
      </c>
      <c r="BE415">
        <v>1</v>
      </c>
      <c r="BF415" t="s">
        <v>96</v>
      </c>
      <c r="BG415" t="s">
        <v>126</v>
      </c>
      <c r="BH415">
        <v>1927</v>
      </c>
      <c r="BI415" t="s">
        <v>101</v>
      </c>
      <c r="BJ415">
        <v>2</v>
      </c>
      <c r="BK415">
        <v>360</v>
      </c>
      <c r="BL415" t="s">
        <v>97</v>
      </c>
      <c r="BM415" t="s">
        <v>97</v>
      </c>
      <c r="BN415" t="s">
        <v>104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X415">
        <v>0</v>
      </c>
      <c r="BY415">
        <v>3</v>
      </c>
      <c r="BZ415">
        <v>2010</v>
      </c>
      <c r="CA415" t="s">
        <v>109</v>
      </c>
      <c r="CB415" t="s">
        <v>110</v>
      </c>
      <c r="CC415">
        <v>115000</v>
      </c>
    </row>
    <row r="416" spans="1:81" x14ac:dyDescent="0.3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H416" t="s">
        <v>159</v>
      </c>
      <c r="I416" t="s">
        <v>84</v>
      </c>
      <c r="J416" t="s">
        <v>85</v>
      </c>
      <c r="K416" t="s">
        <v>165</v>
      </c>
      <c r="L416" t="s">
        <v>87</v>
      </c>
      <c r="M416" t="s">
        <v>169</v>
      </c>
      <c r="N416" t="s">
        <v>89</v>
      </c>
      <c r="O416" t="s">
        <v>89</v>
      </c>
      <c r="P416" t="s">
        <v>90</v>
      </c>
      <c r="Q416" t="s">
        <v>91</v>
      </c>
      <c r="R416">
        <v>7</v>
      </c>
      <c r="S416">
        <v>5</v>
      </c>
      <c r="T416">
        <v>1993</v>
      </c>
      <c r="U416">
        <v>1993</v>
      </c>
      <c r="V416" t="s">
        <v>92</v>
      </c>
      <c r="W416" t="s">
        <v>93</v>
      </c>
      <c r="X416" t="s">
        <v>94</v>
      </c>
      <c r="Y416" t="s">
        <v>94</v>
      </c>
      <c r="Z416" t="s">
        <v>116</v>
      </c>
      <c r="AA416">
        <v>0</v>
      </c>
      <c r="AB416" t="s">
        <v>96</v>
      </c>
      <c r="AC416" t="s">
        <v>97</v>
      </c>
      <c r="AD416" t="s">
        <v>98</v>
      </c>
      <c r="AE416" t="s">
        <v>96</v>
      </c>
      <c r="AF416" t="s">
        <v>97</v>
      </c>
      <c r="AG416" t="s">
        <v>99</v>
      </c>
      <c r="AH416" t="s">
        <v>140</v>
      </c>
      <c r="AI416">
        <v>50</v>
      </c>
      <c r="AJ416" t="s">
        <v>100</v>
      </c>
      <c r="AK416">
        <v>531</v>
      </c>
      <c r="AL416">
        <v>499</v>
      </c>
      <c r="AM416">
        <v>1080</v>
      </c>
      <c r="AN416" t="s">
        <v>102</v>
      </c>
      <c r="AO416" t="s">
        <v>103</v>
      </c>
      <c r="AP416" t="s">
        <v>104</v>
      </c>
      <c r="AQ416" t="s">
        <v>105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96</v>
      </c>
      <c r="BC416">
        <v>9</v>
      </c>
      <c r="BD416" t="s">
        <v>106</v>
      </c>
      <c r="BE416">
        <v>1</v>
      </c>
      <c r="BF416" t="s">
        <v>97</v>
      </c>
      <c r="BG416" t="s">
        <v>107</v>
      </c>
      <c r="BH416">
        <v>1993</v>
      </c>
      <c r="BI416" t="s">
        <v>101</v>
      </c>
      <c r="BJ416">
        <v>3</v>
      </c>
      <c r="BK416">
        <v>678</v>
      </c>
      <c r="BL416" t="s">
        <v>97</v>
      </c>
      <c r="BM416" t="s">
        <v>97</v>
      </c>
      <c r="BN416" t="s">
        <v>104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X416">
        <v>0</v>
      </c>
      <c r="BY416">
        <v>12</v>
      </c>
      <c r="BZ416">
        <v>2008</v>
      </c>
      <c r="CA416" t="s">
        <v>109</v>
      </c>
      <c r="CB416" t="s">
        <v>110</v>
      </c>
      <c r="CC416">
        <v>228000</v>
      </c>
    </row>
    <row r="417" spans="1:81" x14ac:dyDescent="0.3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H417" t="s">
        <v>119</v>
      </c>
      <c r="I417" t="s">
        <v>84</v>
      </c>
      <c r="J417" t="s">
        <v>85</v>
      </c>
      <c r="K417" t="s">
        <v>86</v>
      </c>
      <c r="L417" t="s">
        <v>87</v>
      </c>
      <c r="M417" t="s">
        <v>192</v>
      </c>
      <c r="N417" t="s">
        <v>89</v>
      </c>
      <c r="O417" t="s">
        <v>89</v>
      </c>
      <c r="P417" t="s">
        <v>90</v>
      </c>
      <c r="Q417" t="s">
        <v>114</v>
      </c>
      <c r="R417">
        <v>7</v>
      </c>
      <c r="S417">
        <v>5</v>
      </c>
      <c r="T417">
        <v>2007</v>
      </c>
      <c r="U417">
        <v>2007</v>
      </c>
      <c r="V417" t="s">
        <v>92</v>
      </c>
      <c r="W417" t="s">
        <v>93</v>
      </c>
      <c r="X417" t="s">
        <v>94</v>
      </c>
      <c r="Y417" t="s">
        <v>94</v>
      </c>
      <c r="Z417" t="s">
        <v>116</v>
      </c>
      <c r="AA417">
        <v>0</v>
      </c>
      <c r="AB417" t="s">
        <v>96</v>
      </c>
      <c r="AC417" t="s">
        <v>97</v>
      </c>
      <c r="AD417" t="s">
        <v>98</v>
      </c>
      <c r="AE417" t="s">
        <v>96</v>
      </c>
      <c r="AF417" t="s">
        <v>97</v>
      </c>
      <c r="AG417" t="s">
        <v>129</v>
      </c>
      <c r="AH417" t="s">
        <v>100</v>
      </c>
      <c r="AI417">
        <v>24</v>
      </c>
      <c r="AJ417" t="s">
        <v>101</v>
      </c>
      <c r="AK417">
        <v>0</v>
      </c>
      <c r="AL417">
        <v>1316</v>
      </c>
      <c r="AM417">
        <v>1340</v>
      </c>
      <c r="AN417" t="s">
        <v>102</v>
      </c>
      <c r="AO417" t="s">
        <v>103</v>
      </c>
      <c r="AP417" t="s">
        <v>104</v>
      </c>
      <c r="AQ417" t="s">
        <v>105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96</v>
      </c>
      <c r="BC417">
        <v>6</v>
      </c>
      <c r="BD417" t="s">
        <v>106</v>
      </c>
      <c r="BE417">
        <v>0</v>
      </c>
      <c r="BG417" t="s">
        <v>107</v>
      </c>
      <c r="BH417">
        <v>2007</v>
      </c>
      <c r="BI417" t="s">
        <v>156</v>
      </c>
      <c r="BJ417">
        <v>2</v>
      </c>
      <c r="BK417">
        <v>396</v>
      </c>
      <c r="BL417" t="s">
        <v>97</v>
      </c>
      <c r="BM417" t="s">
        <v>97</v>
      </c>
      <c r="BN417" t="s">
        <v>104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X417">
        <v>0</v>
      </c>
      <c r="BY417">
        <v>8</v>
      </c>
      <c r="BZ417">
        <v>2007</v>
      </c>
      <c r="CA417" t="s">
        <v>157</v>
      </c>
      <c r="CB417" t="s">
        <v>158</v>
      </c>
      <c r="CC417">
        <v>181134</v>
      </c>
    </row>
    <row r="418" spans="1:81" x14ac:dyDescent="0.3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H418" t="s">
        <v>83</v>
      </c>
      <c r="I418" t="s">
        <v>84</v>
      </c>
      <c r="J418" t="s">
        <v>85</v>
      </c>
      <c r="K418" t="s">
        <v>86</v>
      </c>
      <c r="L418" t="s">
        <v>87</v>
      </c>
      <c r="M418" t="s">
        <v>150</v>
      </c>
      <c r="N418" t="s">
        <v>89</v>
      </c>
      <c r="O418" t="s">
        <v>89</v>
      </c>
      <c r="P418" t="s">
        <v>90</v>
      </c>
      <c r="Q418" t="s">
        <v>91</v>
      </c>
      <c r="R418">
        <v>6</v>
      </c>
      <c r="S418">
        <v>7</v>
      </c>
      <c r="T418">
        <v>1978</v>
      </c>
      <c r="U418">
        <v>1978</v>
      </c>
      <c r="V418" t="s">
        <v>151</v>
      </c>
      <c r="W418" t="s">
        <v>93</v>
      </c>
      <c r="X418" t="s">
        <v>139</v>
      </c>
      <c r="Y418" t="s">
        <v>139</v>
      </c>
      <c r="Z418" t="s">
        <v>95</v>
      </c>
      <c r="AA418">
        <v>203</v>
      </c>
      <c r="AB418" t="s">
        <v>97</v>
      </c>
      <c r="AC418" t="s">
        <v>97</v>
      </c>
      <c r="AD418" t="s">
        <v>117</v>
      </c>
      <c r="AE418" t="s">
        <v>97</v>
      </c>
      <c r="AF418" t="s">
        <v>97</v>
      </c>
      <c r="AG418" t="s">
        <v>99</v>
      </c>
      <c r="AH418" t="s">
        <v>118</v>
      </c>
      <c r="AI418">
        <v>209</v>
      </c>
      <c r="AJ418" t="s">
        <v>101</v>
      </c>
      <c r="AK418">
        <v>0</v>
      </c>
      <c r="AL418">
        <v>463</v>
      </c>
      <c r="AM418">
        <v>672</v>
      </c>
      <c r="AN418" t="s">
        <v>102</v>
      </c>
      <c r="AO418" t="s">
        <v>97</v>
      </c>
      <c r="AP418" t="s">
        <v>104</v>
      </c>
      <c r="AQ418" t="s">
        <v>105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97</v>
      </c>
      <c r="BC418">
        <v>6</v>
      </c>
      <c r="BD418" t="s">
        <v>106</v>
      </c>
      <c r="BE418">
        <v>1</v>
      </c>
      <c r="BF418" t="s">
        <v>97</v>
      </c>
      <c r="BG418" t="s">
        <v>107</v>
      </c>
      <c r="BH418">
        <v>1978</v>
      </c>
      <c r="BI418" t="s">
        <v>156</v>
      </c>
      <c r="BJ418">
        <v>2</v>
      </c>
      <c r="BK418">
        <v>440</v>
      </c>
      <c r="BL418" t="s">
        <v>97</v>
      </c>
      <c r="BM418" t="s">
        <v>97</v>
      </c>
      <c r="BN418" t="s">
        <v>104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X418">
        <v>0</v>
      </c>
      <c r="BY418">
        <v>3</v>
      </c>
      <c r="BZ418">
        <v>2006</v>
      </c>
      <c r="CA418" t="s">
        <v>109</v>
      </c>
      <c r="CB418" t="s">
        <v>110</v>
      </c>
      <c r="CC418">
        <v>149500</v>
      </c>
    </row>
    <row r="419" spans="1:81" x14ac:dyDescent="0.3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H419" t="s">
        <v>119</v>
      </c>
      <c r="I419" t="s">
        <v>84</v>
      </c>
      <c r="J419" t="s">
        <v>85</v>
      </c>
      <c r="K419" t="s">
        <v>86</v>
      </c>
      <c r="L419" t="s">
        <v>87</v>
      </c>
      <c r="M419" t="s">
        <v>122</v>
      </c>
      <c r="N419" t="s">
        <v>113</v>
      </c>
      <c r="O419" t="s">
        <v>89</v>
      </c>
      <c r="P419" t="s">
        <v>90</v>
      </c>
      <c r="Q419" t="s">
        <v>91</v>
      </c>
      <c r="R419">
        <v>6</v>
      </c>
      <c r="S419">
        <v>6</v>
      </c>
      <c r="T419">
        <v>1918</v>
      </c>
      <c r="U419">
        <v>1950</v>
      </c>
      <c r="V419" t="s">
        <v>151</v>
      </c>
      <c r="W419" t="s">
        <v>93</v>
      </c>
      <c r="X419" t="s">
        <v>123</v>
      </c>
      <c r="Y419" t="s">
        <v>202</v>
      </c>
      <c r="Z419" t="s">
        <v>116</v>
      </c>
      <c r="AA419">
        <v>0</v>
      </c>
      <c r="AB419" t="s">
        <v>97</v>
      </c>
      <c r="AC419" t="s">
        <v>97</v>
      </c>
      <c r="AD419" t="s">
        <v>125</v>
      </c>
      <c r="AE419" t="s">
        <v>96</v>
      </c>
      <c r="AF419" t="s">
        <v>97</v>
      </c>
      <c r="AG419" t="s">
        <v>99</v>
      </c>
      <c r="AH419" t="s">
        <v>140</v>
      </c>
      <c r="AI419">
        <v>1128</v>
      </c>
      <c r="AJ419" t="s">
        <v>101</v>
      </c>
      <c r="AK419">
        <v>0</v>
      </c>
      <c r="AL419">
        <v>242</v>
      </c>
      <c r="AM419">
        <v>1370</v>
      </c>
      <c r="AN419" t="s">
        <v>205</v>
      </c>
      <c r="AO419" t="s">
        <v>97</v>
      </c>
      <c r="AP419" t="s">
        <v>176</v>
      </c>
      <c r="AQ419" t="s">
        <v>163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97</v>
      </c>
      <c r="BC419">
        <v>10</v>
      </c>
      <c r="BD419" t="s">
        <v>106</v>
      </c>
      <c r="BE419">
        <v>1</v>
      </c>
      <c r="BF419" t="s">
        <v>96</v>
      </c>
      <c r="BG419" t="s">
        <v>126</v>
      </c>
      <c r="BH419">
        <v>1918</v>
      </c>
      <c r="BI419" t="s">
        <v>101</v>
      </c>
      <c r="BJ419">
        <v>3</v>
      </c>
      <c r="BK419">
        <v>864</v>
      </c>
      <c r="BL419" t="s">
        <v>97</v>
      </c>
      <c r="BM419" t="s">
        <v>97</v>
      </c>
      <c r="BN419" t="s">
        <v>176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X419">
        <v>0</v>
      </c>
      <c r="BY419">
        <v>11</v>
      </c>
      <c r="BZ419">
        <v>2007</v>
      </c>
      <c r="CA419" t="s">
        <v>109</v>
      </c>
      <c r="CB419" t="s">
        <v>110</v>
      </c>
      <c r="CC419">
        <v>239000</v>
      </c>
    </row>
    <row r="420" spans="1:81" x14ac:dyDescent="0.3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H420" t="s">
        <v>83</v>
      </c>
      <c r="I420" t="s">
        <v>84</v>
      </c>
      <c r="J420" t="s">
        <v>85</v>
      </c>
      <c r="K420" t="s">
        <v>86</v>
      </c>
      <c r="L420" t="s">
        <v>87</v>
      </c>
      <c r="M420" t="s">
        <v>184</v>
      </c>
      <c r="N420" t="s">
        <v>89</v>
      </c>
      <c r="O420" t="s">
        <v>89</v>
      </c>
      <c r="P420" t="s">
        <v>90</v>
      </c>
      <c r="Q420" t="s">
        <v>131</v>
      </c>
      <c r="R420">
        <v>5</v>
      </c>
      <c r="S420">
        <v>6</v>
      </c>
      <c r="T420">
        <v>1940</v>
      </c>
      <c r="U420">
        <v>1950</v>
      </c>
      <c r="V420" t="s">
        <v>92</v>
      </c>
      <c r="W420" t="s">
        <v>93</v>
      </c>
      <c r="X420" t="s">
        <v>115</v>
      </c>
      <c r="Y420" t="s">
        <v>115</v>
      </c>
      <c r="Z420" t="s">
        <v>116</v>
      </c>
      <c r="AA420">
        <v>0</v>
      </c>
      <c r="AB420" t="s">
        <v>97</v>
      </c>
      <c r="AC420" t="s">
        <v>97</v>
      </c>
      <c r="AD420" t="s">
        <v>125</v>
      </c>
      <c r="AE420" t="s">
        <v>97</v>
      </c>
      <c r="AF420" t="s">
        <v>97</v>
      </c>
      <c r="AG420" t="s">
        <v>99</v>
      </c>
      <c r="AH420" t="s">
        <v>118</v>
      </c>
      <c r="AI420">
        <v>312</v>
      </c>
      <c r="AJ420" t="s">
        <v>101</v>
      </c>
      <c r="AK420">
        <v>0</v>
      </c>
      <c r="AL420">
        <v>444</v>
      </c>
      <c r="AM420">
        <v>756</v>
      </c>
      <c r="AN420" t="s">
        <v>102</v>
      </c>
      <c r="AO420" t="s">
        <v>146</v>
      </c>
      <c r="AP420" t="s">
        <v>176</v>
      </c>
      <c r="AQ420" t="s">
        <v>144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97</v>
      </c>
      <c r="BC420">
        <v>7</v>
      </c>
      <c r="BD420" t="s">
        <v>106</v>
      </c>
      <c r="BE420">
        <v>0</v>
      </c>
      <c r="BG420" t="s">
        <v>126</v>
      </c>
      <c r="BH420">
        <v>1940</v>
      </c>
      <c r="BI420" t="s">
        <v>101</v>
      </c>
      <c r="BJ420">
        <v>1</v>
      </c>
      <c r="BK420">
        <v>240</v>
      </c>
      <c r="BL420" t="s">
        <v>97</v>
      </c>
      <c r="BM420" t="s">
        <v>97</v>
      </c>
      <c r="BN420" t="s">
        <v>189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X420">
        <v>0</v>
      </c>
      <c r="BY420">
        <v>4</v>
      </c>
      <c r="BZ420">
        <v>2007</v>
      </c>
      <c r="CA420" t="s">
        <v>109</v>
      </c>
      <c r="CB420" t="s">
        <v>187</v>
      </c>
      <c r="CC420">
        <v>126000</v>
      </c>
    </row>
    <row r="421" spans="1:81" x14ac:dyDescent="0.3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H421" t="s">
        <v>83</v>
      </c>
      <c r="I421" t="s">
        <v>84</v>
      </c>
      <c r="J421" t="s">
        <v>85</v>
      </c>
      <c r="K421" t="s">
        <v>86</v>
      </c>
      <c r="L421" t="s">
        <v>87</v>
      </c>
      <c r="M421" t="s">
        <v>270</v>
      </c>
      <c r="N421" t="s">
        <v>89</v>
      </c>
      <c r="O421" t="s">
        <v>89</v>
      </c>
      <c r="P421" t="s">
        <v>90</v>
      </c>
      <c r="Q421" t="s">
        <v>114</v>
      </c>
      <c r="R421">
        <v>5</v>
      </c>
      <c r="S421">
        <v>6</v>
      </c>
      <c r="T421">
        <v>1968</v>
      </c>
      <c r="U421">
        <v>1968</v>
      </c>
      <c r="V421" t="s">
        <v>92</v>
      </c>
      <c r="W421" t="s">
        <v>93</v>
      </c>
      <c r="X421" t="s">
        <v>94</v>
      </c>
      <c r="Y421" t="s">
        <v>94</v>
      </c>
      <c r="Z421" t="s">
        <v>116</v>
      </c>
      <c r="AA421">
        <v>0</v>
      </c>
      <c r="AB421" t="s">
        <v>97</v>
      </c>
      <c r="AC421" t="s">
        <v>97</v>
      </c>
      <c r="AD421" t="s">
        <v>117</v>
      </c>
      <c r="AE421" t="s">
        <v>97</v>
      </c>
      <c r="AF421" t="s">
        <v>97</v>
      </c>
      <c r="AG421" t="s">
        <v>99</v>
      </c>
      <c r="AH421" t="s">
        <v>140</v>
      </c>
      <c r="AI421">
        <v>775</v>
      </c>
      <c r="AJ421" t="s">
        <v>101</v>
      </c>
      <c r="AK421">
        <v>0</v>
      </c>
      <c r="AL421">
        <v>281</v>
      </c>
      <c r="AM421">
        <v>1056</v>
      </c>
      <c r="AN421" t="s">
        <v>102</v>
      </c>
      <c r="AO421" t="s">
        <v>103</v>
      </c>
      <c r="AP421" t="s">
        <v>104</v>
      </c>
      <c r="AQ421" t="s">
        <v>105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97</v>
      </c>
      <c r="BC421">
        <v>6</v>
      </c>
      <c r="BD421" t="s">
        <v>106</v>
      </c>
      <c r="BE421">
        <v>1</v>
      </c>
      <c r="BF421" t="s">
        <v>146</v>
      </c>
      <c r="BG421" t="s">
        <v>107</v>
      </c>
      <c r="BH421">
        <v>1968</v>
      </c>
      <c r="BI421" t="s">
        <v>101</v>
      </c>
      <c r="BJ421">
        <v>1</v>
      </c>
      <c r="BK421">
        <v>304</v>
      </c>
      <c r="BL421" t="s">
        <v>97</v>
      </c>
      <c r="BM421" t="s">
        <v>97</v>
      </c>
      <c r="BN421" t="s">
        <v>104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X421">
        <v>0</v>
      </c>
      <c r="BY421">
        <v>7</v>
      </c>
      <c r="BZ421">
        <v>2010</v>
      </c>
      <c r="CA421" t="s">
        <v>109</v>
      </c>
      <c r="CB421" t="s">
        <v>110</v>
      </c>
      <c r="CC421">
        <v>142000</v>
      </c>
    </row>
    <row r="422" spans="1:81" x14ac:dyDescent="0.3">
      <c r="A422">
        <v>421</v>
      </c>
      <c r="B422">
        <v>90</v>
      </c>
      <c r="C422" t="s">
        <v>141</v>
      </c>
      <c r="D422">
        <v>78</v>
      </c>
      <c r="E422">
        <v>7060</v>
      </c>
      <c r="F422" t="s">
        <v>82</v>
      </c>
      <c r="H422" t="s">
        <v>83</v>
      </c>
      <c r="I422" t="s">
        <v>84</v>
      </c>
      <c r="J422" t="s">
        <v>85</v>
      </c>
      <c r="K422" t="s">
        <v>86</v>
      </c>
      <c r="L422" t="s">
        <v>87</v>
      </c>
      <c r="M422" t="s">
        <v>130</v>
      </c>
      <c r="N422" t="s">
        <v>89</v>
      </c>
      <c r="O422" t="s">
        <v>89</v>
      </c>
      <c r="P422" t="s">
        <v>166</v>
      </c>
      <c r="Q422" t="s">
        <v>190</v>
      </c>
      <c r="R422">
        <v>7</v>
      </c>
      <c r="S422">
        <v>5</v>
      </c>
      <c r="T422">
        <v>1997</v>
      </c>
      <c r="U422">
        <v>1998</v>
      </c>
      <c r="V422" t="s">
        <v>92</v>
      </c>
      <c r="W422" t="s">
        <v>93</v>
      </c>
      <c r="X422" t="s">
        <v>94</v>
      </c>
      <c r="Y422" t="s">
        <v>94</v>
      </c>
      <c r="Z422" t="s">
        <v>95</v>
      </c>
      <c r="AA422">
        <v>200</v>
      </c>
      <c r="AB422" t="s">
        <v>97</v>
      </c>
      <c r="AC422" t="s">
        <v>96</v>
      </c>
      <c r="AD422" t="s">
        <v>98</v>
      </c>
      <c r="AE422" t="s">
        <v>96</v>
      </c>
      <c r="AF422" t="s">
        <v>96</v>
      </c>
      <c r="AG422" t="s">
        <v>96</v>
      </c>
      <c r="AH422" t="s">
        <v>100</v>
      </c>
      <c r="AI422">
        <v>1309</v>
      </c>
      <c r="AJ422" t="s">
        <v>101</v>
      </c>
      <c r="AK422">
        <v>0</v>
      </c>
      <c r="AL422">
        <v>35</v>
      </c>
      <c r="AM422">
        <v>1344</v>
      </c>
      <c r="AN422" t="s">
        <v>102</v>
      </c>
      <c r="AO422" t="s">
        <v>103</v>
      </c>
      <c r="AP422" t="s">
        <v>104</v>
      </c>
      <c r="AQ422" t="s">
        <v>105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97</v>
      </c>
      <c r="BC422">
        <v>8</v>
      </c>
      <c r="BD422" t="s">
        <v>106</v>
      </c>
      <c r="BE422">
        <v>0</v>
      </c>
      <c r="BG422" t="s">
        <v>107</v>
      </c>
      <c r="BH422">
        <v>1997</v>
      </c>
      <c r="BI422" t="s">
        <v>156</v>
      </c>
      <c r="BJ422">
        <v>4</v>
      </c>
      <c r="BK422">
        <v>784</v>
      </c>
      <c r="BL422" t="s">
        <v>97</v>
      </c>
      <c r="BM422" t="s">
        <v>97</v>
      </c>
      <c r="BN422" t="s">
        <v>104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X422">
        <v>0</v>
      </c>
      <c r="BY422">
        <v>11</v>
      </c>
      <c r="BZ422">
        <v>2008</v>
      </c>
      <c r="CA422" t="s">
        <v>109</v>
      </c>
      <c r="CB422" t="s">
        <v>209</v>
      </c>
      <c r="CC422">
        <v>206300</v>
      </c>
    </row>
    <row r="423" spans="1:81" x14ac:dyDescent="0.3">
      <c r="A423">
        <v>422</v>
      </c>
      <c r="B423">
        <v>20</v>
      </c>
      <c r="C423" t="s">
        <v>81</v>
      </c>
      <c r="E423">
        <v>16635</v>
      </c>
      <c r="F423" t="s">
        <v>82</v>
      </c>
      <c r="H423" t="s">
        <v>119</v>
      </c>
      <c r="I423" t="s">
        <v>84</v>
      </c>
      <c r="J423" t="s">
        <v>85</v>
      </c>
      <c r="K423" t="s">
        <v>111</v>
      </c>
      <c r="L423" t="s">
        <v>87</v>
      </c>
      <c r="M423" t="s">
        <v>137</v>
      </c>
      <c r="N423" t="s">
        <v>89</v>
      </c>
      <c r="O423" t="s">
        <v>89</v>
      </c>
      <c r="P423" t="s">
        <v>90</v>
      </c>
      <c r="Q423" t="s">
        <v>114</v>
      </c>
      <c r="R423">
        <v>6</v>
      </c>
      <c r="S423">
        <v>7</v>
      </c>
      <c r="T423">
        <v>1977</v>
      </c>
      <c r="U423">
        <v>2000</v>
      </c>
      <c r="V423" t="s">
        <v>92</v>
      </c>
      <c r="W423" t="s">
        <v>93</v>
      </c>
      <c r="X423" t="s">
        <v>179</v>
      </c>
      <c r="Y423" t="s">
        <v>180</v>
      </c>
      <c r="Z423" t="s">
        <v>136</v>
      </c>
      <c r="AA423">
        <v>126</v>
      </c>
      <c r="AB423" t="s">
        <v>96</v>
      </c>
      <c r="AC423" t="s">
        <v>97</v>
      </c>
      <c r="AD423" t="s">
        <v>117</v>
      </c>
      <c r="AE423" t="s">
        <v>96</v>
      </c>
      <c r="AF423" t="s">
        <v>97</v>
      </c>
      <c r="AG423" t="s">
        <v>99</v>
      </c>
      <c r="AH423" t="s">
        <v>118</v>
      </c>
      <c r="AI423">
        <v>1246</v>
      </c>
      <c r="AJ423" t="s">
        <v>101</v>
      </c>
      <c r="AK423">
        <v>0</v>
      </c>
      <c r="AL423">
        <v>356</v>
      </c>
      <c r="AM423">
        <v>1602</v>
      </c>
      <c r="AN423" t="s">
        <v>102</v>
      </c>
      <c r="AO423" t="s">
        <v>96</v>
      </c>
      <c r="AP423" t="s">
        <v>104</v>
      </c>
      <c r="AQ423" t="s">
        <v>105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96</v>
      </c>
      <c r="BC423">
        <v>8</v>
      </c>
      <c r="BD423" t="s">
        <v>106</v>
      </c>
      <c r="BE423">
        <v>1</v>
      </c>
      <c r="BF423" t="s">
        <v>97</v>
      </c>
      <c r="BG423" t="s">
        <v>107</v>
      </c>
      <c r="BH423">
        <v>1977</v>
      </c>
      <c r="BI423" t="s">
        <v>156</v>
      </c>
      <c r="BJ423">
        <v>2</v>
      </c>
      <c r="BK423">
        <v>529</v>
      </c>
      <c r="BL423" t="s">
        <v>97</v>
      </c>
      <c r="BM423" t="s">
        <v>97</v>
      </c>
      <c r="BN423" t="s">
        <v>104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X423">
        <v>0</v>
      </c>
      <c r="BY423">
        <v>6</v>
      </c>
      <c r="BZ423">
        <v>2009</v>
      </c>
      <c r="CA423" t="s">
        <v>109</v>
      </c>
      <c r="CB423" t="s">
        <v>110</v>
      </c>
      <c r="CC423">
        <v>215000</v>
      </c>
    </row>
    <row r="424" spans="1:81" x14ac:dyDescent="0.3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H424" t="s">
        <v>83</v>
      </c>
      <c r="I424" t="s">
        <v>198</v>
      </c>
      <c r="J424" t="s">
        <v>85</v>
      </c>
      <c r="K424" t="s">
        <v>86</v>
      </c>
      <c r="L424" t="s">
        <v>193</v>
      </c>
      <c r="M424" t="s">
        <v>130</v>
      </c>
      <c r="N424" t="s">
        <v>143</v>
      </c>
      <c r="O424" t="s">
        <v>89</v>
      </c>
      <c r="P424" t="s">
        <v>90</v>
      </c>
      <c r="Q424" t="s">
        <v>114</v>
      </c>
      <c r="R424">
        <v>5</v>
      </c>
      <c r="S424">
        <v>5</v>
      </c>
      <c r="T424">
        <v>1954</v>
      </c>
      <c r="U424">
        <v>1954</v>
      </c>
      <c r="V424" t="s">
        <v>151</v>
      </c>
      <c r="W424" t="s">
        <v>93</v>
      </c>
      <c r="X424" t="s">
        <v>139</v>
      </c>
      <c r="Y424" t="s">
        <v>139</v>
      </c>
      <c r="Z424" t="s">
        <v>116</v>
      </c>
      <c r="AA424">
        <v>0</v>
      </c>
      <c r="AB424" t="s">
        <v>97</v>
      </c>
      <c r="AC424" t="s">
        <v>97</v>
      </c>
      <c r="AD424" t="s">
        <v>117</v>
      </c>
      <c r="AE424" t="s">
        <v>97</v>
      </c>
      <c r="AF424" t="s">
        <v>97</v>
      </c>
      <c r="AG424" t="s">
        <v>99</v>
      </c>
      <c r="AH424" t="s">
        <v>101</v>
      </c>
      <c r="AI424">
        <v>0</v>
      </c>
      <c r="AJ424" t="s">
        <v>101</v>
      </c>
      <c r="AK424">
        <v>0</v>
      </c>
      <c r="AL424">
        <v>988</v>
      </c>
      <c r="AM424">
        <v>988</v>
      </c>
      <c r="AN424" t="s">
        <v>102</v>
      </c>
      <c r="AO424" t="s">
        <v>103</v>
      </c>
      <c r="AP424" t="s">
        <v>104</v>
      </c>
      <c r="AQ424" t="s">
        <v>163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97</v>
      </c>
      <c r="BC424">
        <v>4</v>
      </c>
      <c r="BD424" t="s">
        <v>106</v>
      </c>
      <c r="BE424">
        <v>0</v>
      </c>
      <c r="BG424" t="s">
        <v>107</v>
      </c>
      <c r="BH424">
        <v>1954</v>
      </c>
      <c r="BI424" t="s">
        <v>108</v>
      </c>
      <c r="BJ424">
        <v>2</v>
      </c>
      <c r="BK424">
        <v>520</v>
      </c>
      <c r="BL424" t="s">
        <v>97</v>
      </c>
      <c r="BM424" t="s">
        <v>97</v>
      </c>
      <c r="BN424" t="s">
        <v>176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X424">
        <v>0</v>
      </c>
      <c r="BY424">
        <v>2</v>
      </c>
      <c r="BZ424">
        <v>2008</v>
      </c>
      <c r="CA424" t="s">
        <v>109</v>
      </c>
      <c r="CB424" t="s">
        <v>110</v>
      </c>
      <c r="CC424">
        <v>113000</v>
      </c>
    </row>
    <row r="425" spans="1:81" x14ac:dyDescent="0.3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H425" t="s">
        <v>83</v>
      </c>
      <c r="I425" t="s">
        <v>84</v>
      </c>
      <c r="J425" t="s">
        <v>85</v>
      </c>
      <c r="K425" t="s">
        <v>86</v>
      </c>
      <c r="L425" t="s">
        <v>87</v>
      </c>
      <c r="M425" t="s">
        <v>128</v>
      </c>
      <c r="N425" t="s">
        <v>89</v>
      </c>
      <c r="O425" t="s">
        <v>89</v>
      </c>
      <c r="P425" t="s">
        <v>90</v>
      </c>
      <c r="Q425" t="s">
        <v>91</v>
      </c>
      <c r="R425">
        <v>8</v>
      </c>
      <c r="S425">
        <v>5</v>
      </c>
      <c r="T425">
        <v>1998</v>
      </c>
      <c r="U425">
        <v>1998</v>
      </c>
      <c r="V425" t="s">
        <v>92</v>
      </c>
      <c r="W425" t="s">
        <v>93</v>
      </c>
      <c r="X425" t="s">
        <v>94</v>
      </c>
      <c r="Y425" t="s">
        <v>94</v>
      </c>
      <c r="Z425" t="s">
        <v>95</v>
      </c>
      <c r="AA425">
        <v>473</v>
      </c>
      <c r="AB425" t="s">
        <v>96</v>
      </c>
      <c r="AC425" t="s">
        <v>97</v>
      </c>
      <c r="AD425" t="s">
        <v>98</v>
      </c>
      <c r="AE425" t="s">
        <v>96</v>
      </c>
      <c r="AF425" t="s">
        <v>97</v>
      </c>
      <c r="AG425" t="s">
        <v>99</v>
      </c>
      <c r="AH425" t="s">
        <v>100</v>
      </c>
      <c r="AI425">
        <v>986</v>
      </c>
      <c r="AJ425" t="s">
        <v>101</v>
      </c>
      <c r="AK425">
        <v>0</v>
      </c>
      <c r="AL425">
        <v>484</v>
      </c>
      <c r="AM425">
        <v>1470</v>
      </c>
      <c r="AN425" t="s">
        <v>102</v>
      </c>
      <c r="AO425" t="s">
        <v>96</v>
      </c>
      <c r="AP425" t="s">
        <v>104</v>
      </c>
      <c r="AQ425" t="s">
        <v>105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96</v>
      </c>
      <c r="BC425">
        <v>8</v>
      </c>
      <c r="BD425" t="s">
        <v>106</v>
      </c>
      <c r="BE425">
        <v>1</v>
      </c>
      <c r="BF425" t="s">
        <v>97</v>
      </c>
      <c r="BG425" t="s">
        <v>107</v>
      </c>
      <c r="BH425">
        <v>1998</v>
      </c>
      <c r="BI425" t="s">
        <v>156</v>
      </c>
      <c r="BJ425">
        <v>3</v>
      </c>
      <c r="BK425">
        <v>696</v>
      </c>
      <c r="BL425" t="s">
        <v>97</v>
      </c>
      <c r="BM425" t="s">
        <v>97</v>
      </c>
      <c r="BN425" t="s">
        <v>104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X425">
        <v>0</v>
      </c>
      <c r="BY425">
        <v>6</v>
      </c>
      <c r="BZ425">
        <v>2008</v>
      </c>
      <c r="CA425" t="s">
        <v>109</v>
      </c>
      <c r="CB425" t="s">
        <v>110</v>
      </c>
      <c r="CC425">
        <v>315000</v>
      </c>
    </row>
    <row r="426" spans="1:81" x14ac:dyDescent="0.3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H426" t="s">
        <v>83</v>
      </c>
      <c r="I426" t="s">
        <v>84</v>
      </c>
      <c r="J426" t="s">
        <v>85</v>
      </c>
      <c r="K426" t="s">
        <v>86</v>
      </c>
      <c r="L426" t="s">
        <v>87</v>
      </c>
      <c r="M426" t="s">
        <v>270</v>
      </c>
      <c r="N426" t="s">
        <v>89</v>
      </c>
      <c r="O426" t="s">
        <v>89</v>
      </c>
      <c r="P426" t="s">
        <v>90</v>
      </c>
      <c r="Q426" t="s">
        <v>114</v>
      </c>
      <c r="R426">
        <v>6</v>
      </c>
      <c r="S426">
        <v>5</v>
      </c>
      <c r="T426">
        <v>1956</v>
      </c>
      <c r="U426">
        <v>1956</v>
      </c>
      <c r="V426" t="s">
        <v>92</v>
      </c>
      <c r="W426" t="s">
        <v>93</v>
      </c>
      <c r="X426" t="s">
        <v>123</v>
      </c>
      <c r="Y426" t="s">
        <v>123</v>
      </c>
      <c r="Z426" t="s">
        <v>95</v>
      </c>
      <c r="AA426">
        <v>74</v>
      </c>
      <c r="AB426" t="s">
        <v>97</v>
      </c>
      <c r="AC426" t="s">
        <v>97</v>
      </c>
      <c r="AD426" t="s">
        <v>117</v>
      </c>
      <c r="AE426" t="s">
        <v>96</v>
      </c>
      <c r="AF426" t="s">
        <v>97</v>
      </c>
      <c r="AG426" t="s">
        <v>99</v>
      </c>
      <c r="AH426" t="s">
        <v>171</v>
      </c>
      <c r="AI426">
        <v>616</v>
      </c>
      <c r="AJ426" t="s">
        <v>101</v>
      </c>
      <c r="AK426">
        <v>0</v>
      </c>
      <c r="AL426">
        <v>580</v>
      </c>
      <c r="AM426">
        <v>1196</v>
      </c>
      <c r="AN426" t="s">
        <v>102</v>
      </c>
      <c r="AO426" t="s">
        <v>96</v>
      </c>
      <c r="AP426" t="s">
        <v>104</v>
      </c>
      <c r="AQ426" t="s">
        <v>163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97</v>
      </c>
      <c r="BC426">
        <v>6</v>
      </c>
      <c r="BD426" t="s">
        <v>106</v>
      </c>
      <c r="BE426">
        <v>1</v>
      </c>
      <c r="BF426" t="s">
        <v>96</v>
      </c>
      <c r="BG426" t="s">
        <v>107</v>
      </c>
      <c r="BH426">
        <v>1956</v>
      </c>
      <c r="BI426" t="s">
        <v>108</v>
      </c>
      <c r="BJ426">
        <v>1</v>
      </c>
      <c r="BK426">
        <v>297</v>
      </c>
      <c r="BL426" t="s">
        <v>97</v>
      </c>
      <c r="BM426" t="s">
        <v>97</v>
      </c>
      <c r="BN426" t="s">
        <v>104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X426">
        <v>0</v>
      </c>
      <c r="BY426">
        <v>5</v>
      </c>
      <c r="BZ426">
        <v>2008</v>
      </c>
      <c r="CA426" t="s">
        <v>109</v>
      </c>
      <c r="CB426" t="s">
        <v>110</v>
      </c>
      <c r="CC426">
        <v>139000</v>
      </c>
    </row>
    <row r="427" spans="1:81" x14ac:dyDescent="0.3">
      <c r="A427">
        <v>426</v>
      </c>
      <c r="B427">
        <v>60</v>
      </c>
      <c r="C427" t="s">
        <v>141</v>
      </c>
      <c r="D427">
        <v>60</v>
      </c>
      <c r="E427">
        <v>3378</v>
      </c>
      <c r="F427" t="s">
        <v>82</v>
      </c>
      <c r="G427" t="s">
        <v>173</v>
      </c>
      <c r="H427" t="s">
        <v>83</v>
      </c>
      <c r="I427" t="s">
        <v>198</v>
      </c>
      <c r="J427" t="s">
        <v>85</v>
      </c>
      <c r="K427" t="s">
        <v>86</v>
      </c>
      <c r="L427" t="s">
        <v>87</v>
      </c>
      <c r="M427" t="s">
        <v>142</v>
      </c>
      <c r="N427" t="s">
        <v>89</v>
      </c>
      <c r="O427" t="s">
        <v>89</v>
      </c>
      <c r="P427" t="s">
        <v>90</v>
      </c>
      <c r="Q427" t="s">
        <v>91</v>
      </c>
      <c r="R427">
        <v>7</v>
      </c>
      <c r="S427">
        <v>8</v>
      </c>
      <c r="T427">
        <v>1946</v>
      </c>
      <c r="U427">
        <v>1992</v>
      </c>
      <c r="V427" t="s">
        <v>92</v>
      </c>
      <c r="W427" t="s">
        <v>93</v>
      </c>
      <c r="X427" t="s">
        <v>139</v>
      </c>
      <c r="Y427" t="s">
        <v>139</v>
      </c>
      <c r="Z427" t="s">
        <v>116</v>
      </c>
      <c r="AA427">
        <v>0</v>
      </c>
      <c r="AB427" t="s">
        <v>97</v>
      </c>
      <c r="AC427" t="s">
        <v>96</v>
      </c>
      <c r="AD427" t="s">
        <v>117</v>
      </c>
      <c r="AE427" t="s">
        <v>97</v>
      </c>
      <c r="AF427" t="s">
        <v>97</v>
      </c>
      <c r="AG427" t="s">
        <v>99</v>
      </c>
      <c r="AH427" t="s">
        <v>101</v>
      </c>
      <c r="AI427">
        <v>0</v>
      </c>
      <c r="AJ427" t="s">
        <v>101</v>
      </c>
      <c r="AK427">
        <v>0</v>
      </c>
      <c r="AL427">
        <v>651</v>
      </c>
      <c r="AM427">
        <v>651</v>
      </c>
      <c r="AN427" t="s">
        <v>102</v>
      </c>
      <c r="AO427" t="s">
        <v>96</v>
      </c>
      <c r="AP427" t="s">
        <v>104</v>
      </c>
      <c r="AQ427" t="s">
        <v>105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97</v>
      </c>
      <c r="BC427">
        <v>6</v>
      </c>
      <c r="BD427" t="s">
        <v>106</v>
      </c>
      <c r="BE427">
        <v>2</v>
      </c>
      <c r="BF427" t="s">
        <v>96</v>
      </c>
      <c r="BG427" t="s">
        <v>126</v>
      </c>
      <c r="BH427">
        <v>1947</v>
      </c>
      <c r="BI427" t="s">
        <v>101</v>
      </c>
      <c r="BJ427">
        <v>1</v>
      </c>
      <c r="BK427">
        <v>240</v>
      </c>
      <c r="BL427" t="s">
        <v>97</v>
      </c>
      <c r="BM427" t="s">
        <v>97</v>
      </c>
      <c r="BN427" t="s">
        <v>189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X427">
        <v>0</v>
      </c>
      <c r="BY427">
        <v>9</v>
      </c>
      <c r="BZ427">
        <v>2009</v>
      </c>
      <c r="CA427" t="s">
        <v>109</v>
      </c>
      <c r="CB427" t="s">
        <v>110</v>
      </c>
      <c r="CC427">
        <v>135000</v>
      </c>
    </row>
    <row r="428" spans="1:81" x14ac:dyDescent="0.3">
      <c r="A428">
        <v>427</v>
      </c>
      <c r="B428">
        <v>80</v>
      </c>
      <c r="C428" t="s">
        <v>81</v>
      </c>
      <c r="E428">
        <v>12800</v>
      </c>
      <c r="F428" t="s">
        <v>82</v>
      </c>
      <c r="H428" t="s">
        <v>83</v>
      </c>
      <c r="I428" t="s">
        <v>194</v>
      </c>
      <c r="J428" t="s">
        <v>85</v>
      </c>
      <c r="K428" t="s">
        <v>86</v>
      </c>
      <c r="L428" t="s">
        <v>193</v>
      </c>
      <c r="M428" t="s">
        <v>169</v>
      </c>
      <c r="N428" t="s">
        <v>89</v>
      </c>
      <c r="O428" t="s">
        <v>89</v>
      </c>
      <c r="P428" t="s">
        <v>90</v>
      </c>
      <c r="Q428" t="s">
        <v>196</v>
      </c>
      <c r="R428">
        <v>7</v>
      </c>
      <c r="S428">
        <v>5</v>
      </c>
      <c r="T428">
        <v>1989</v>
      </c>
      <c r="U428">
        <v>1989</v>
      </c>
      <c r="V428" t="s">
        <v>92</v>
      </c>
      <c r="W428" t="s">
        <v>93</v>
      </c>
      <c r="X428" t="s">
        <v>123</v>
      </c>
      <c r="Y428" t="s">
        <v>123</v>
      </c>
      <c r="Z428" t="s">
        <v>95</v>
      </c>
      <c r="AA428">
        <v>145</v>
      </c>
      <c r="AB428" t="s">
        <v>96</v>
      </c>
      <c r="AC428" t="s">
        <v>97</v>
      </c>
      <c r="AD428" t="s">
        <v>98</v>
      </c>
      <c r="AE428" t="s">
        <v>96</v>
      </c>
      <c r="AF428" t="s">
        <v>97</v>
      </c>
      <c r="AG428" t="s">
        <v>96</v>
      </c>
      <c r="AH428" t="s">
        <v>100</v>
      </c>
      <c r="AI428">
        <v>1518</v>
      </c>
      <c r="AJ428" t="s">
        <v>101</v>
      </c>
      <c r="AK428">
        <v>0</v>
      </c>
      <c r="AL428">
        <v>0</v>
      </c>
      <c r="AM428">
        <v>1518</v>
      </c>
      <c r="AN428" t="s">
        <v>102</v>
      </c>
      <c r="AO428" t="s">
        <v>96</v>
      </c>
      <c r="AP428" t="s">
        <v>104</v>
      </c>
      <c r="AQ428" t="s">
        <v>105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96</v>
      </c>
      <c r="BC428">
        <v>5</v>
      </c>
      <c r="BD428" t="s">
        <v>106</v>
      </c>
      <c r="BE428">
        <v>1</v>
      </c>
      <c r="BF428" t="s">
        <v>97</v>
      </c>
      <c r="BG428" t="s">
        <v>107</v>
      </c>
      <c r="BH428">
        <v>1989</v>
      </c>
      <c r="BI428" t="s">
        <v>156</v>
      </c>
      <c r="BJ428">
        <v>2</v>
      </c>
      <c r="BK428">
        <v>569</v>
      </c>
      <c r="BL428" t="s">
        <v>97</v>
      </c>
      <c r="BM428" t="s">
        <v>97</v>
      </c>
      <c r="BN428" t="s">
        <v>104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X428">
        <v>0</v>
      </c>
      <c r="BY428">
        <v>8</v>
      </c>
      <c r="BZ428">
        <v>2009</v>
      </c>
      <c r="CA428" t="s">
        <v>109</v>
      </c>
      <c r="CB428" t="s">
        <v>110</v>
      </c>
      <c r="CC428">
        <v>275000</v>
      </c>
    </row>
    <row r="429" spans="1:81" x14ac:dyDescent="0.3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H429" t="s">
        <v>119</v>
      </c>
      <c r="I429" t="s">
        <v>84</v>
      </c>
      <c r="J429" t="s">
        <v>85</v>
      </c>
      <c r="K429" t="s">
        <v>86</v>
      </c>
      <c r="L429" t="s">
        <v>87</v>
      </c>
      <c r="M429" t="s">
        <v>270</v>
      </c>
      <c r="N429" t="s">
        <v>89</v>
      </c>
      <c r="O429" t="s">
        <v>89</v>
      </c>
      <c r="P429" t="s">
        <v>90</v>
      </c>
      <c r="Q429" t="s">
        <v>114</v>
      </c>
      <c r="R429">
        <v>4</v>
      </c>
      <c r="S429">
        <v>6</v>
      </c>
      <c r="T429">
        <v>1957</v>
      </c>
      <c r="U429">
        <v>1957</v>
      </c>
      <c r="V429" t="s">
        <v>151</v>
      </c>
      <c r="W429" t="s">
        <v>93</v>
      </c>
      <c r="X429" t="s">
        <v>115</v>
      </c>
      <c r="Y429" t="s">
        <v>115</v>
      </c>
      <c r="Z429" t="s">
        <v>116</v>
      </c>
      <c r="AA429">
        <v>0</v>
      </c>
      <c r="AB429" t="s">
        <v>97</v>
      </c>
      <c r="AC429" t="s">
        <v>97</v>
      </c>
      <c r="AD429" t="s">
        <v>117</v>
      </c>
      <c r="AE429" t="s">
        <v>97</v>
      </c>
      <c r="AF429" t="s">
        <v>97</v>
      </c>
      <c r="AG429" t="s">
        <v>99</v>
      </c>
      <c r="AH429" t="s">
        <v>152</v>
      </c>
      <c r="AI429">
        <v>288</v>
      </c>
      <c r="AJ429" t="s">
        <v>101</v>
      </c>
      <c r="AK429">
        <v>0</v>
      </c>
      <c r="AL429">
        <v>619</v>
      </c>
      <c r="AM429">
        <v>907</v>
      </c>
      <c r="AN429" t="s">
        <v>102</v>
      </c>
      <c r="AO429" t="s">
        <v>103</v>
      </c>
      <c r="AP429" t="s">
        <v>104</v>
      </c>
      <c r="AQ429" t="s">
        <v>105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97</v>
      </c>
      <c r="BC429">
        <v>5</v>
      </c>
      <c r="BD429" t="s">
        <v>106</v>
      </c>
      <c r="BE429">
        <v>0</v>
      </c>
      <c r="BG429" t="s">
        <v>126</v>
      </c>
      <c r="BH429">
        <v>1964</v>
      </c>
      <c r="BI429" t="s">
        <v>101</v>
      </c>
      <c r="BJ429">
        <v>1</v>
      </c>
      <c r="BK429">
        <v>352</v>
      </c>
      <c r="BL429" t="s">
        <v>97</v>
      </c>
      <c r="BM429" t="s">
        <v>97</v>
      </c>
      <c r="BN429" t="s">
        <v>104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X429">
        <v>0</v>
      </c>
      <c r="BY429">
        <v>7</v>
      </c>
      <c r="BZ429">
        <v>2008</v>
      </c>
      <c r="CA429" t="s">
        <v>109</v>
      </c>
      <c r="CB429" t="s">
        <v>110</v>
      </c>
      <c r="CC429">
        <v>109008</v>
      </c>
    </row>
    <row r="430" spans="1:81" x14ac:dyDescent="0.3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H430" t="s">
        <v>83</v>
      </c>
      <c r="I430" t="s">
        <v>84</v>
      </c>
      <c r="J430" t="s">
        <v>85</v>
      </c>
      <c r="K430" t="s">
        <v>86</v>
      </c>
      <c r="L430" t="s">
        <v>87</v>
      </c>
      <c r="M430" t="s">
        <v>88</v>
      </c>
      <c r="N430" t="s">
        <v>89</v>
      </c>
      <c r="O430" t="s">
        <v>89</v>
      </c>
      <c r="P430" t="s">
        <v>90</v>
      </c>
      <c r="Q430" t="s">
        <v>114</v>
      </c>
      <c r="R430">
        <v>7</v>
      </c>
      <c r="S430">
        <v>5</v>
      </c>
      <c r="T430">
        <v>2007</v>
      </c>
      <c r="U430">
        <v>2007</v>
      </c>
      <c r="V430" t="s">
        <v>92</v>
      </c>
      <c r="W430" t="s">
        <v>93</v>
      </c>
      <c r="X430" t="s">
        <v>94</v>
      </c>
      <c r="Y430" t="s">
        <v>94</v>
      </c>
      <c r="Z430" t="s">
        <v>95</v>
      </c>
      <c r="AA430">
        <v>108</v>
      </c>
      <c r="AB430" t="s">
        <v>96</v>
      </c>
      <c r="AC430" t="s">
        <v>97</v>
      </c>
      <c r="AD430" t="s">
        <v>98</v>
      </c>
      <c r="AE430" t="s">
        <v>96</v>
      </c>
      <c r="AF430" t="s">
        <v>97</v>
      </c>
      <c r="AG430" t="s">
        <v>99</v>
      </c>
      <c r="AH430" t="s">
        <v>100</v>
      </c>
      <c r="AI430">
        <v>664</v>
      </c>
      <c r="AJ430" t="s">
        <v>101</v>
      </c>
      <c r="AK430">
        <v>0</v>
      </c>
      <c r="AL430">
        <v>544</v>
      </c>
      <c r="AM430">
        <v>1208</v>
      </c>
      <c r="AN430" t="s">
        <v>102</v>
      </c>
      <c r="AO430" t="s">
        <v>103</v>
      </c>
      <c r="AP430" t="s">
        <v>104</v>
      </c>
      <c r="AQ430" t="s">
        <v>105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96</v>
      </c>
      <c r="BC430">
        <v>6</v>
      </c>
      <c r="BD430" t="s">
        <v>106</v>
      </c>
      <c r="BE430">
        <v>0</v>
      </c>
      <c r="BG430" t="s">
        <v>107</v>
      </c>
      <c r="BH430">
        <v>2007</v>
      </c>
      <c r="BI430" t="s">
        <v>108</v>
      </c>
      <c r="BJ430">
        <v>2</v>
      </c>
      <c r="BK430">
        <v>628</v>
      </c>
      <c r="BL430" t="s">
        <v>97</v>
      </c>
      <c r="BM430" t="s">
        <v>97</v>
      </c>
      <c r="BN430" t="s">
        <v>104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X430">
        <v>0</v>
      </c>
      <c r="BY430">
        <v>9</v>
      </c>
      <c r="BZ430">
        <v>2007</v>
      </c>
      <c r="CA430" t="s">
        <v>157</v>
      </c>
      <c r="CB430" t="s">
        <v>158</v>
      </c>
      <c r="CC430">
        <v>195400</v>
      </c>
    </row>
    <row r="431" spans="1:81" x14ac:dyDescent="0.3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H431" t="s">
        <v>119</v>
      </c>
      <c r="I431" t="s">
        <v>84</v>
      </c>
      <c r="J431" t="s">
        <v>85</v>
      </c>
      <c r="K431" t="s">
        <v>121</v>
      </c>
      <c r="L431" t="s">
        <v>87</v>
      </c>
      <c r="M431" t="s">
        <v>188</v>
      </c>
      <c r="N431" t="s">
        <v>89</v>
      </c>
      <c r="O431" t="s">
        <v>89</v>
      </c>
      <c r="P431" t="s">
        <v>90</v>
      </c>
      <c r="Q431" t="s">
        <v>114</v>
      </c>
      <c r="R431">
        <v>6</v>
      </c>
      <c r="S431">
        <v>5</v>
      </c>
      <c r="T431">
        <v>1988</v>
      </c>
      <c r="U431">
        <v>1988</v>
      </c>
      <c r="V431" t="s">
        <v>92</v>
      </c>
      <c r="W431" t="s">
        <v>93</v>
      </c>
      <c r="X431" t="s">
        <v>139</v>
      </c>
      <c r="Y431" t="s">
        <v>139</v>
      </c>
      <c r="Z431" t="s">
        <v>116</v>
      </c>
      <c r="AA431">
        <v>0</v>
      </c>
      <c r="AB431" t="s">
        <v>97</v>
      </c>
      <c r="AC431" t="s">
        <v>97</v>
      </c>
      <c r="AD431" t="s">
        <v>117</v>
      </c>
      <c r="AE431" t="s">
        <v>96</v>
      </c>
      <c r="AF431" t="s">
        <v>97</v>
      </c>
      <c r="AG431" t="s">
        <v>120</v>
      </c>
      <c r="AH431" t="s">
        <v>100</v>
      </c>
      <c r="AI431">
        <v>1005</v>
      </c>
      <c r="AJ431" t="s">
        <v>101</v>
      </c>
      <c r="AK431">
        <v>0</v>
      </c>
      <c r="AL431">
        <v>387</v>
      </c>
      <c r="AM431">
        <v>1392</v>
      </c>
      <c r="AN431" t="s">
        <v>102</v>
      </c>
      <c r="AO431" t="s">
        <v>97</v>
      </c>
      <c r="AP431" t="s">
        <v>104</v>
      </c>
      <c r="AQ431" t="s">
        <v>105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96</v>
      </c>
      <c r="BC431">
        <v>6</v>
      </c>
      <c r="BD431" t="s">
        <v>106</v>
      </c>
      <c r="BE431">
        <v>1</v>
      </c>
      <c r="BF431" t="s">
        <v>97</v>
      </c>
      <c r="BG431" t="s">
        <v>107</v>
      </c>
      <c r="BH431">
        <v>1988</v>
      </c>
      <c r="BI431" t="s">
        <v>101</v>
      </c>
      <c r="BJ431">
        <v>2</v>
      </c>
      <c r="BK431">
        <v>576</v>
      </c>
      <c r="BL431" t="s">
        <v>97</v>
      </c>
      <c r="BM431" t="s">
        <v>97</v>
      </c>
      <c r="BN431" t="s">
        <v>104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X431">
        <v>0</v>
      </c>
      <c r="BY431">
        <v>3</v>
      </c>
      <c r="BZ431">
        <v>2009</v>
      </c>
      <c r="CA431" t="s">
        <v>109</v>
      </c>
      <c r="CB431" t="s">
        <v>110</v>
      </c>
      <c r="CC431">
        <v>175000</v>
      </c>
    </row>
    <row r="432" spans="1:81" x14ac:dyDescent="0.3">
      <c r="A432">
        <v>431</v>
      </c>
      <c r="B432">
        <v>160</v>
      </c>
      <c r="C432" t="s">
        <v>141</v>
      </c>
      <c r="D432">
        <v>21</v>
      </c>
      <c r="E432">
        <v>1680</v>
      </c>
      <c r="F432" t="s">
        <v>82</v>
      </c>
      <c r="H432" t="s">
        <v>83</v>
      </c>
      <c r="I432" t="s">
        <v>84</v>
      </c>
      <c r="J432" t="s">
        <v>85</v>
      </c>
      <c r="K432" t="s">
        <v>86</v>
      </c>
      <c r="L432" t="s">
        <v>87</v>
      </c>
      <c r="M432" t="s">
        <v>227</v>
      </c>
      <c r="N432" t="s">
        <v>89</v>
      </c>
      <c r="O432" t="s">
        <v>89</v>
      </c>
      <c r="P432" t="s">
        <v>197</v>
      </c>
      <c r="Q432" t="s">
        <v>91</v>
      </c>
      <c r="R432">
        <v>6</v>
      </c>
      <c r="S432">
        <v>5</v>
      </c>
      <c r="T432">
        <v>1971</v>
      </c>
      <c r="U432">
        <v>1971</v>
      </c>
      <c r="V432" t="s">
        <v>92</v>
      </c>
      <c r="W432" t="s">
        <v>93</v>
      </c>
      <c r="X432" t="s">
        <v>139</v>
      </c>
      <c r="Y432" t="s">
        <v>139</v>
      </c>
      <c r="Z432" t="s">
        <v>95</v>
      </c>
      <c r="AA432">
        <v>232</v>
      </c>
      <c r="AB432" t="s">
        <v>97</v>
      </c>
      <c r="AC432" t="s">
        <v>97</v>
      </c>
      <c r="AD432" t="s">
        <v>117</v>
      </c>
      <c r="AE432" t="s">
        <v>97</v>
      </c>
      <c r="AF432" t="s">
        <v>97</v>
      </c>
      <c r="AG432" t="s">
        <v>99</v>
      </c>
      <c r="AH432" t="s">
        <v>118</v>
      </c>
      <c r="AI432">
        <v>387</v>
      </c>
      <c r="AJ432" t="s">
        <v>101</v>
      </c>
      <c r="AK432">
        <v>0</v>
      </c>
      <c r="AL432">
        <v>96</v>
      </c>
      <c r="AM432">
        <v>483</v>
      </c>
      <c r="AN432" t="s">
        <v>102</v>
      </c>
      <c r="AO432" t="s">
        <v>97</v>
      </c>
      <c r="AP432" t="s">
        <v>104</v>
      </c>
      <c r="AQ432" t="s">
        <v>105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97</v>
      </c>
      <c r="BC432">
        <v>4</v>
      </c>
      <c r="BD432" t="s">
        <v>106</v>
      </c>
      <c r="BE432">
        <v>0</v>
      </c>
      <c r="BG432" t="s">
        <v>126</v>
      </c>
      <c r="BH432">
        <v>1971</v>
      </c>
      <c r="BI432" t="s">
        <v>101</v>
      </c>
      <c r="BJ432">
        <v>1</v>
      </c>
      <c r="BK432">
        <v>264</v>
      </c>
      <c r="BL432" t="s">
        <v>97</v>
      </c>
      <c r="BM432" t="s">
        <v>97</v>
      </c>
      <c r="BN432" t="s">
        <v>104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X432">
        <v>0</v>
      </c>
      <c r="BY432">
        <v>7</v>
      </c>
      <c r="BZ432">
        <v>2008</v>
      </c>
      <c r="CA432" t="s">
        <v>172</v>
      </c>
      <c r="CB432" t="s">
        <v>127</v>
      </c>
      <c r="CC432">
        <v>85400</v>
      </c>
    </row>
    <row r="433" spans="1:81" x14ac:dyDescent="0.3">
      <c r="A433">
        <v>432</v>
      </c>
      <c r="B433">
        <v>50</v>
      </c>
      <c r="C433" t="s">
        <v>141</v>
      </c>
      <c r="D433">
        <v>60</v>
      </c>
      <c r="E433">
        <v>5586</v>
      </c>
      <c r="F433" t="s">
        <v>82</v>
      </c>
      <c r="H433" t="s">
        <v>119</v>
      </c>
      <c r="I433" t="s">
        <v>174</v>
      </c>
      <c r="J433" t="s">
        <v>85</v>
      </c>
      <c r="K433" t="s">
        <v>86</v>
      </c>
      <c r="L433" t="s">
        <v>87</v>
      </c>
      <c r="M433" t="s">
        <v>142</v>
      </c>
      <c r="N433" t="s">
        <v>113</v>
      </c>
      <c r="O433" t="s">
        <v>89</v>
      </c>
      <c r="P433" t="s">
        <v>90</v>
      </c>
      <c r="Q433" t="s">
        <v>131</v>
      </c>
      <c r="R433">
        <v>6</v>
      </c>
      <c r="S433">
        <v>7</v>
      </c>
      <c r="T433">
        <v>1920</v>
      </c>
      <c r="U433">
        <v>1998</v>
      </c>
      <c r="V433" t="s">
        <v>92</v>
      </c>
      <c r="W433" t="s">
        <v>93</v>
      </c>
      <c r="X433" t="s">
        <v>115</v>
      </c>
      <c r="Y433" t="s">
        <v>115</v>
      </c>
      <c r="Z433" t="s">
        <v>116</v>
      </c>
      <c r="AA433">
        <v>0</v>
      </c>
      <c r="AB433" t="s">
        <v>97</v>
      </c>
      <c r="AC433" t="s">
        <v>97</v>
      </c>
      <c r="AD433" t="s">
        <v>125</v>
      </c>
      <c r="AE433" t="s">
        <v>97</v>
      </c>
      <c r="AF433" t="s">
        <v>97</v>
      </c>
      <c r="AG433" t="s">
        <v>99</v>
      </c>
      <c r="AH433" t="s">
        <v>101</v>
      </c>
      <c r="AI433">
        <v>0</v>
      </c>
      <c r="AJ433" t="s">
        <v>101</v>
      </c>
      <c r="AK433">
        <v>0</v>
      </c>
      <c r="AL433">
        <v>901</v>
      </c>
      <c r="AM433">
        <v>901</v>
      </c>
      <c r="AN433" t="s">
        <v>102</v>
      </c>
      <c r="AO433" t="s">
        <v>96</v>
      </c>
      <c r="AP433" t="s">
        <v>104</v>
      </c>
      <c r="AQ433" t="s">
        <v>105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97</v>
      </c>
      <c r="BC433">
        <v>7</v>
      </c>
      <c r="BD433" t="s">
        <v>106</v>
      </c>
      <c r="BE433">
        <v>0</v>
      </c>
      <c r="BJ433">
        <v>0</v>
      </c>
      <c r="BK433">
        <v>0</v>
      </c>
      <c r="BN433" t="s">
        <v>176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V433" t="s">
        <v>133</v>
      </c>
      <c r="BX433">
        <v>0</v>
      </c>
      <c r="BY433">
        <v>9</v>
      </c>
      <c r="BZ433">
        <v>2008</v>
      </c>
      <c r="CA433" t="s">
        <v>207</v>
      </c>
      <c r="CB433" t="s">
        <v>127</v>
      </c>
      <c r="CC433">
        <v>79900</v>
      </c>
    </row>
    <row r="434" spans="1:81" x14ac:dyDescent="0.3">
      <c r="A434">
        <v>433</v>
      </c>
      <c r="B434">
        <v>160</v>
      </c>
      <c r="C434" t="s">
        <v>141</v>
      </c>
      <c r="D434">
        <v>24</v>
      </c>
      <c r="E434">
        <v>1920</v>
      </c>
      <c r="F434" t="s">
        <v>82</v>
      </c>
      <c r="H434" t="s">
        <v>83</v>
      </c>
      <c r="I434" t="s">
        <v>84</v>
      </c>
      <c r="J434" t="s">
        <v>85</v>
      </c>
      <c r="K434" t="s">
        <v>86</v>
      </c>
      <c r="L434" t="s">
        <v>87</v>
      </c>
      <c r="M434" t="s">
        <v>227</v>
      </c>
      <c r="N434" t="s">
        <v>89</v>
      </c>
      <c r="O434" t="s">
        <v>89</v>
      </c>
      <c r="P434" t="s">
        <v>178</v>
      </c>
      <c r="Q434" t="s">
        <v>91</v>
      </c>
      <c r="R434">
        <v>5</v>
      </c>
      <c r="S434">
        <v>5</v>
      </c>
      <c r="T434">
        <v>1971</v>
      </c>
      <c r="U434">
        <v>1971</v>
      </c>
      <c r="V434" t="s">
        <v>92</v>
      </c>
      <c r="W434" t="s">
        <v>93</v>
      </c>
      <c r="X434" t="s">
        <v>139</v>
      </c>
      <c r="Y434" t="s">
        <v>139</v>
      </c>
      <c r="Z434" t="s">
        <v>95</v>
      </c>
      <c r="AA434">
        <v>376</v>
      </c>
      <c r="AB434" t="s">
        <v>97</v>
      </c>
      <c r="AC434" t="s">
        <v>97</v>
      </c>
      <c r="AD434" t="s">
        <v>117</v>
      </c>
      <c r="AE434" t="s">
        <v>97</v>
      </c>
      <c r="AF434" t="s">
        <v>97</v>
      </c>
      <c r="AG434" t="s">
        <v>99</v>
      </c>
      <c r="AH434" t="s">
        <v>118</v>
      </c>
      <c r="AI434">
        <v>471</v>
      </c>
      <c r="AJ434" t="s">
        <v>101</v>
      </c>
      <c r="AK434">
        <v>0</v>
      </c>
      <c r="AL434">
        <v>294</v>
      </c>
      <c r="AM434">
        <v>765</v>
      </c>
      <c r="AN434" t="s">
        <v>102</v>
      </c>
      <c r="AO434" t="s">
        <v>103</v>
      </c>
      <c r="AP434" t="s">
        <v>104</v>
      </c>
      <c r="AQ434" t="s">
        <v>105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97</v>
      </c>
      <c r="BC434">
        <v>6</v>
      </c>
      <c r="BD434" t="s">
        <v>145</v>
      </c>
      <c r="BE434">
        <v>0</v>
      </c>
      <c r="BG434" t="s">
        <v>126</v>
      </c>
      <c r="BH434">
        <v>1971</v>
      </c>
      <c r="BI434" t="s">
        <v>101</v>
      </c>
      <c r="BJ434">
        <v>2</v>
      </c>
      <c r="BK434">
        <v>440</v>
      </c>
      <c r="BL434" t="s">
        <v>97</v>
      </c>
      <c r="BM434" t="s">
        <v>97</v>
      </c>
      <c r="BN434" t="s">
        <v>104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X434">
        <v>0</v>
      </c>
      <c r="BY434">
        <v>8</v>
      </c>
      <c r="BZ434">
        <v>2007</v>
      </c>
      <c r="CA434" t="s">
        <v>109</v>
      </c>
      <c r="CB434" t="s">
        <v>110</v>
      </c>
      <c r="CC434">
        <v>122500</v>
      </c>
    </row>
    <row r="435" spans="1:81" x14ac:dyDescent="0.3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H435" t="s">
        <v>119</v>
      </c>
      <c r="I435" t="s">
        <v>84</v>
      </c>
      <c r="J435" t="s">
        <v>85</v>
      </c>
      <c r="K435" t="s">
        <v>121</v>
      </c>
      <c r="L435" t="s">
        <v>87</v>
      </c>
      <c r="M435" t="s">
        <v>192</v>
      </c>
      <c r="N435" t="s">
        <v>89</v>
      </c>
      <c r="O435" t="s">
        <v>89</v>
      </c>
      <c r="P435" t="s">
        <v>90</v>
      </c>
      <c r="Q435" t="s">
        <v>91</v>
      </c>
      <c r="R435">
        <v>6</v>
      </c>
      <c r="S435">
        <v>5</v>
      </c>
      <c r="T435">
        <v>1997</v>
      </c>
      <c r="U435">
        <v>1998</v>
      </c>
      <c r="V435" t="s">
        <v>92</v>
      </c>
      <c r="W435" t="s">
        <v>93</v>
      </c>
      <c r="X435" t="s">
        <v>94</v>
      </c>
      <c r="Y435" t="s">
        <v>94</v>
      </c>
      <c r="Z435" t="s">
        <v>116</v>
      </c>
      <c r="AA435">
        <v>0</v>
      </c>
      <c r="AB435" t="s">
        <v>97</v>
      </c>
      <c r="AC435" t="s">
        <v>97</v>
      </c>
      <c r="AD435" t="s">
        <v>98</v>
      </c>
      <c r="AE435" t="s">
        <v>96</v>
      </c>
      <c r="AF435" t="s">
        <v>97</v>
      </c>
      <c r="AG435" t="s">
        <v>99</v>
      </c>
      <c r="AH435" t="s">
        <v>101</v>
      </c>
      <c r="AI435">
        <v>0</v>
      </c>
      <c r="AJ435" t="s">
        <v>101</v>
      </c>
      <c r="AK435">
        <v>0</v>
      </c>
      <c r="AL435">
        <v>926</v>
      </c>
      <c r="AM435">
        <v>926</v>
      </c>
      <c r="AN435" t="s">
        <v>102</v>
      </c>
      <c r="AO435" t="s">
        <v>103</v>
      </c>
      <c r="AP435" t="s">
        <v>104</v>
      </c>
      <c r="AQ435" t="s">
        <v>105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97</v>
      </c>
      <c r="BC435">
        <v>7</v>
      </c>
      <c r="BD435" t="s">
        <v>106</v>
      </c>
      <c r="BE435">
        <v>1</v>
      </c>
      <c r="BF435" t="s">
        <v>97</v>
      </c>
      <c r="BG435" t="s">
        <v>107</v>
      </c>
      <c r="BH435">
        <v>1997</v>
      </c>
      <c r="BI435" t="s">
        <v>156</v>
      </c>
      <c r="BJ435">
        <v>2</v>
      </c>
      <c r="BK435">
        <v>470</v>
      </c>
      <c r="BL435" t="s">
        <v>97</v>
      </c>
      <c r="BM435" t="s">
        <v>97</v>
      </c>
      <c r="BN435" t="s">
        <v>104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X435">
        <v>0</v>
      </c>
      <c r="BY435">
        <v>7</v>
      </c>
      <c r="BZ435">
        <v>2008</v>
      </c>
      <c r="CA435" t="s">
        <v>109</v>
      </c>
      <c r="CB435" t="s">
        <v>110</v>
      </c>
      <c r="CC435">
        <v>181000</v>
      </c>
    </row>
    <row r="436" spans="1:81" x14ac:dyDescent="0.3">
      <c r="A436">
        <v>435</v>
      </c>
      <c r="B436">
        <v>180</v>
      </c>
      <c r="C436" t="s">
        <v>141</v>
      </c>
      <c r="D436">
        <v>21</v>
      </c>
      <c r="E436">
        <v>1890</v>
      </c>
      <c r="F436" t="s">
        <v>82</v>
      </c>
      <c r="H436" t="s">
        <v>83</v>
      </c>
      <c r="I436" t="s">
        <v>84</v>
      </c>
      <c r="J436" t="s">
        <v>85</v>
      </c>
      <c r="K436" t="s">
        <v>86</v>
      </c>
      <c r="L436" t="s">
        <v>87</v>
      </c>
      <c r="M436" t="s">
        <v>177</v>
      </c>
      <c r="N436" t="s">
        <v>89</v>
      </c>
      <c r="O436" t="s">
        <v>89</v>
      </c>
      <c r="P436" t="s">
        <v>197</v>
      </c>
      <c r="Q436" t="s">
        <v>190</v>
      </c>
      <c r="R436">
        <v>4</v>
      </c>
      <c r="S436">
        <v>7</v>
      </c>
      <c r="T436">
        <v>1972</v>
      </c>
      <c r="U436">
        <v>1972</v>
      </c>
      <c r="V436" t="s">
        <v>92</v>
      </c>
      <c r="W436" t="s">
        <v>93</v>
      </c>
      <c r="X436" t="s">
        <v>179</v>
      </c>
      <c r="Y436" t="s">
        <v>180</v>
      </c>
      <c r="Z436" t="s">
        <v>116</v>
      </c>
      <c r="AA436">
        <v>0</v>
      </c>
      <c r="AB436" t="s">
        <v>97</v>
      </c>
      <c r="AC436" t="s">
        <v>96</v>
      </c>
      <c r="AD436" t="s">
        <v>117</v>
      </c>
      <c r="AE436" t="s">
        <v>96</v>
      </c>
      <c r="AF436" t="s">
        <v>97</v>
      </c>
      <c r="AG436" t="s">
        <v>129</v>
      </c>
      <c r="AH436" t="s">
        <v>118</v>
      </c>
      <c r="AI436">
        <v>495</v>
      </c>
      <c r="AJ436" t="s">
        <v>101</v>
      </c>
      <c r="AK436">
        <v>0</v>
      </c>
      <c r="AL436">
        <v>135</v>
      </c>
      <c r="AM436">
        <v>630</v>
      </c>
      <c r="AN436" t="s">
        <v>102</v>
      </c>
      <c r="AO436" t="s">
        <v>96</v>
      </c>
      <c r="AP436" t="s">
        <v>104</v>
      </c>
      <c r="AQ436" t="s">
        <v>105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97</v>
      </c>
      <c r="BC436">
        <v>3</v>
      </c>
      <c r="BD436" t="s">
        <v>106</v>
      </c>
      <c r="BE436">
        <v>0</v>
      </c>
      <c r="BJ436">
        <v>0</v>
      </c>
      <c r="BK436">
        <v>0</v>
      </c>
      <c r="BN436" t="s">
        <v>104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X436">
        <v>0</v>
      </c>
      <c r="BY436">
        <v>6</v>
      </c>
      <c r="BZ436">
        <v>2008</v>
      </c>
      <c r="CA436" t="s">
        <v>109</v>
      </c>
      <c r="CB436" t="s">
        <v>110</v>
      </c>
      <c r="CC436">
        <v>81000</v>
      </c>
    </row>
    <row r="437" spans="1:81" x14ac:dyDescent="0.3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H437" t="s">
        <v>159</v>
      </c>
      <c r="I437" t="s">
        <v>84</v>
      </c>
      <c r="J437" t="s">
        <v>85</v>
      </c>
      <c r="K437" t="s">
        <v>165</v>
      </c>
      <c r="L437" t="s">
        <v>87</v>
      </c>
      <c r="M437" t="s">
        <v>88</v>
      </c>
      <c r="N437" t="s">
        <v>138</v>
      </c>
      <c r="O437" t="s">
        <v>89</v>
      </c>
      <c r="P437" t="s">
        <v>90</v>
      </c>
      <c r="Q437" t="s">
        <v>91</v>
      </c>
      <c r="R437">
        <v>7</v>
      </c>
      <c r="S437">
        <v>6</v>
      </c>
      <c r="T437">
        <v>1996</v>
      </c>
      <c r="U437">
        <v>1996</v>
      </c>
      <c r="V437" t="s">
        <v>92</v>
      </c>
      <c r="W437" t="s">
        <v>93</v>
      </c>
      <c r="X437" t="s">
        <v>94</v>
      </c>
      <c r="Y437" t="s">
        <v>94</v>
      </c>
      <c r="Z437" t="s">
        <v>116</v>
      </c>
      <c r="AA437">
        <v>0</v>
      </c>
      <c r="AB437" t="s">
        <v>96</v>
      </c>
      <c r="AC437" t="s">
        <v>97</v>
      </c>
      <c r="AD437" t="s">
        <v>98</v>
      </c>
      <c r="AE437" t="s">
        <v>96</v>
      </c>
      <c r="AF437" t="s">
        <v>97</v>
      </c>
      <c r="AG437" t="s">
        <v>129</v>
      </c>
      <c r="AH437" t="s">
        <v>100</v>
      </c>
      <c r="AI437">
        <v>385</v>
      </c>
      <c r="AJ437" t="s">
        <v>118</v>
      </c>
      <c r="AK437">
        <v>344</v>
      </c>
      <c r="AL437">
        <v>70</v>
      </c>
      <c r="AM437">
        <v>799</v>
      </c>
      <c r="AN437" t="s">
        <v>102</v>
      </c>
      <c r="AO437" t="s">
        <v>103</v>
      </c>
      <c r="AP437" t="s">
        <v>104</v>
      </c>
      <c r="AQ437" t="s">
        <v>105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96</v>
      </c>
      <c r="BC437">
        <v>6</v>
      </c>
      <c r="BD437" t="s">
        <v>106</v>
      </c>
      <c r="BE437">
        <v>1</v>
      </c>
      <c r="BF437" t="s">
        <v>97</v>
      </c>
      <c r="BG437" t="s">
        <v>107</v>
      </c>
      <c r="BH437">
        <v>1996</v>
      </c>
      <c r="BI437" t="s">
        <v>108</v>
      </c>
      <c r="BJ437">
        <v>2</v>
      </c>
      <c r="BK437">
        <v>550</v>
      </c>
      <c r="BL437" t="s">
        <v>97</v>
      </c>
      <c r="BM437" t="s">
        <v>97</v>
      </c>
      <c r="BN437" t="s">
        <v>104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X437">
        <v>0</v>
      </c>
      <c r="BY437">
        <v>4</v>
      </c>
      <c r="BZ437">
        <v>2009</v>
      </c>
      <c r="CA437" t="s">
        <v>234</v>
      </c>
      <c r="CB437" t="s">
        <v>110</v>
      </c>
      <c r="CC437">
        <v>212000</v>
      </c>
    </row>
    <row r="438" spans="1:81" x14ac:dyDescent="0.3">
      <c r="A438">
        <v>437</v>
      </c>
      <c r="B438">
        <v>50</v>
      </c>
      <c r="C438" t="s">
        <v>141</v>
      </c>
      <c r="D438">
        <v>40</v>
      </c>
      <c r="E438">
        <v>4400</v>
      </c>
      <c r="F438" t="s">
        <v>82</v>
      </c>
      <c r="H438" t="s">
        <v>83</v>
      </c>
      <c r="I438" t="s">
        <v>84</v>
      </c>
      <c r="J438" t="s">
        <v>85</v>
      </c>
      <c r="K438" t="s">
        <v>86</v>
      </c>
      <c r="L438" t="s">
        <v>87</v>
      </c>
      <c r="M438" t="s">
        <v>142</v>
      </c>
      <c r="N438" t="s">
        <v>89</v>
      </c>
      <c r="O438" t="s">
        <v>89</v>
      </c>
      <c r="P438" t="s">
        <v>90</v>
      </c>
      <c r="Q438" t="s">
        <v>131</v>
      </c>
      <c r="R438">
        <v>6</v>
      </c>
      <c r="S438">
        <v>8</v>
      </c>
      <c r="T438">
        <v>1920</v>
      </c>
      <c r="U438">
        <v>1950</v>
      </c>
      <c r="V438" t="s">
        <v>92</v>
      </c>
      <c r="W438" t="s">
        <v>93</v>
      </c>
      <c r="X438" t="s">
        <v>202</v>
      </c>
      <c r="Y438" t="s">
        <v>202</v>
      </c>
      <c r="Z438" t="s">
        <v>116</v>
      </c>
      <c r="AA438">
        <v>0</v>
      </c>
      <c r="AB438" t="s">
        <v>97</v>
      </c>
      <c r="AC438" t="s">
        <v>97</v>
      </c>
      <c r="AD438" t="s">
        <v>125</v>
      </c>
      <c r="AE438" t="s">
        <v>146</v>
      </c>
      <c r="AF438" t="s">
        <v>97</v>
      </c>
      <c r="AG438" t="s">
        <v>99</v>
      </c>
      <c r="AH438" t="s">
        <v>101</v>
      </c>
      <c r="AI438">
        <v>0</v>
      </c>
      <c r="AJ438" t="s">
        <v>101</v>
      </c>
      <c r="AK438">
        <v>0</v>
      </c>
      <c r="AL438">
        <v>648</v>
      </c>
      <c r="AM438">
        <v>648</v>
      </c>
      <c r="AN438" t="s">
        <v>102</v>
      </c>
      <c r="AO438" t="s">
        <v>97</v>
      </c>
      <c r="AP438" t="s">
        <v>104</v>
      </c>
      <c r="AQ438" t="s">
        <v>163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97</v>
      </c>
      <c r="BC438">
        <v>6</v>
      </c>
      <c r="BD438" t="s">
        <v>106</v>
      </c>
      <c r="BE438">
        <v>0</v>
      </c>
      <c r="BG438" t="s">
        <v>126</v>
      </c>
      <c r="BH438">
        <v>1990</v>
      </c>
      <c r="BI438" t="s">
        <v>101</v>
      </c>
      <c r="BJ438">
        <v>2</v>
      </c>
      <c r="BK438">
        <v>440</v>
      </c>
      <c r="BL438" t="s">
        <v>97</v>
      </c>
      <c r="BM438" t="s">
        <v>97</v>
      </c>
      <c r="BN438" t="s">
        <v>104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X438">
        <v>0</v>
      </c>
      <c r="BY438">
        <v>10</v>
      </c>
      <c r="BZ438">
        <v>2006</v>
      </c>
      <c r="CA438" t="s">
        <v>109</v>
      </c>
      <c r="CB438" t="s">
        <v>110</v>
      </c>
      <c r="CC438">
        <v>116000</v>
      </c>
    </row>
    <row r="439" spans="1:81" x14ac:dyDescent="0.3">
      <c r="A439">
        <v>438</v>
      </c>
      <c r="B439">
        <v>45</v>
      </c>
      <c r="C439" t="s">
        <v>141</v>
      </c>
      <c r="D439">
        <v>50</v>
      </c>
      <c r="E439">
        <v>6000</v>
      </c>
      <c r="F439" t="s">
        <v>82</v>
      </c>
      <c r="H439" t="s">
        <v>83</v>
      </c>
      <c r="I439" t="s">
        <v>84</v>
      </c>
      <c r="J439" t="s">
        <v>85</v>
      </c>
      <c r="K439" t="s">
        <v>86</v>
      </c>
      <c r="L439" t="s">
        <v>87</v>
      </c>
      <c r="M439" t="s">
        <v>147</v>
      </c>
      <c r="N439" t="s">
        <v>89</v>
      </c>
      <c r="O439" t="s">
        <v>89</v>
      </c>
      <c r="P439" t="s">
        <v>90</v>
      </c>
      <c r="Q439" t="s">
        <v>149</v>
      </c>
      <c r="R439">
        <v>6</v>
      </c>
      <c r="S439">
        <v>7</v>
      </c>
      <c r="T439">
        <v>1926</v>
      </c>
      <c r="U439">
        <v>2004</v>
      </c>
      <c r="V439" t="s">
        <v>92</v>
      </c>
      <c r="W439" t="s">
        <v>93</v>
      </c>
      <c r="X439" t="s">
        <v>123</v>
      </c>
      <c r="Y439" t="s">
        <v>123</v>
      </c>
      <c r="Z439" t="s">
        <v>116</v>
      </c>
      <c r="AA439">
        <v>0</v>
      </c>
      <c r="AB439" t="s">
        <v>96</v>
      </c>
      <c r="AC439" t="s">
        <v>97</v>
      </c>
      <c r="AD439" t="s">
        <v>98</v>
      </c>
      <c r="AE439" t="s">
        <v>97</v>
      </c>
      <c r="AF439" t="s">
        <v>97</v>
      </c>
      <c r="AG439" t="s">
        <v>99</v>
      </c>
      <c r="AH439" t="s">
        <v>101</v>
      </c>
      <c r="AI439">
        <v>0</v>
      </c>
      <c r="AJ439" t="s">
        <v>101</v>
      </c>
      <c r="AK439">
        <v>0</v>
      </c>
      <c r="AL439">
        <v>884</v>
      </c>
      <c r="AM439">
        <v>884</v>
      </c>
      <c r="AN439" t="s">
        <v>102</v>
      </c>
      <c r="AO439" t="s">
        <v>96</v>
      </c>
      <c r="AP439" t="s">
        <v>104</v>
      </c>
      <c r="AQ439" t="s">
        <v>105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97</v>
      </c>
      <c r="BC439">
        <v>4</v>
      </c>
      <c r="BD439" t="s">
        <v>106</v>
      </c>
      <c r="BE439">
        <v>0</v>
      </c>
      <c r="BG439" t="s">
        <v>126</v>
      </c>
      <c r="BH439">
        <v>1926</v>
      </c>
      <c r="BI439" t="s">
        <v>101</v>
      </c>
      <c r="BJ439">
        <v>1</v>
      </c>
      <c r="BK439">
        <v>180</v>
      </c>
      <c r="BL439" t="s">
        <v>97</v>
      </c>
      <c r="BM439" t="s">
        <v>97</v>
      </c>
      <c r="BN439" t="s">
        <v>104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X439">
        <v>0</v>
      </c>
      <c r="BY439">
        <v>1</v>
      </c>
      <c r="BZ439">
        <v>2009</v>
      </c>
      <c r="CA439" t="s">
        <v>109</v>
      </c>
      <c r="CB439" t="s">
        <v>110</v>
      </c>
      <c r="CC439">
        <v>119000</v>
      </c>
    </row>
    <row r="440" spans="1:81" x14ac:dyDescent="0.3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H440" t="s">
        <v>83</v>
      </c>
      <c r="I440" t="s">
        <v>84</v>
      </c>
      <c r="J440" t="s">
        <v>85</v>
      </c>
      <c r="K440" t="s">
        <v>86</v>
      </c>
      <c r="L440" t="s">
        <v>87</v>
      </c>
      <c r="M440" t="s">
        <v>122</v>
      </c>
      <c r="N440" t="s">
        <v>89</v>
      </c>
      <c r="O440" t="s">
        <v>89</v>
      </c>
      <c r="P440" t="s">
        <v>90</v>
      </c>
      <c r="Q440" t="s">
        <v>114</v>
      </c>
      <c r="R440">
        <v>5</v>
      </c>
      <c r="S440">
        <v>6</v>
      </c>
      <c r="T440">
        <v>1913</v>
      </c>
      <c r="U440">
        <v>2002</v>
      </c>
      <c r="V440" t="s">
        <v>92</v>
      </c>
      <c r="W440" t="s">
        <v>93</v>
      </c>
      <c r="X440" t="s">
        <v>154</v>
      </c>
      <c r="Y440" t="s">
        <v>202</v>
      </c>
      <c r="Z440" t="s">
        <v>116</v>
      </c>
      <c r="AA440">
        <v>0</v>
      </c>
      <c r="AB440" t="s">
        <v>97</v>
      </c>
      <c r="AC440" t="s">
        <v>97</v>
      </c>
      <c r="AD440" t="s">
        <v>98</v>
      </c>
      <c r="AE440" t="s">
        <v>97</v>
      </c>
      <c r="AF440" t="s">
        <v>97</v>
      </c>
      <c r="AG440" t="s">
        <v>99</v>
      </c>
      <c r="AH440" t="s">
        <v>171</v>
      </c>
      <c r="AI440">
        <v>365</v>
      </c>
      <c r="AJ440" t="s">
        <v>101</v>
      </c>
      <c r="AK440">
        <v>0</v>
      </c>
      <c r="AL440">
        <v>75</v>
      </c>
      <c r="AM440">
        <v>440</v>
      </c>
      <c r="AN440" t="s">
        <v>102</v>
      </c>
      <c r="AO440" t="s">
        <v>97</v>
      </c>
      <c r="AP440" t="s">
        <v>176</v>
      </c>
      <c r="AQ440" t="s">
        <v>105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96</v>
      </c>
      <c r="BC440">
        <v>4</v>
      </c>
      <c r="BD440" t="s">
        <v>106</v>
      </c>
      <c r="BE440">
        <v>1</v>
      </c>
      <c r="BF440" t="s">
        <v>96</v>
      </c>
      <c r="BG440" t="s">
        <v>126</v>
      </c>
      <c r="BH440">
        <v>1990</v>
      </c>
      <c r="BI440" t="s">
        <v>101</v>
      </c>
      <c r="BJ440">
        <v>1</v>
      </c>
      <c r="BK440">
        <v>352</v>
      </c>
      <c r="BL440" t="s">
        <v>96</v>
      </c>
      <c r="BM440" t="s">
        <v>97</v>
      </c>
      <c r="BN440" t="s">
        <v>189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V440" t="s">
        <v>133</v>
      </c>
      <c r="BX440">
        <v>0</v>
      </c>
      <c r="BY440">
        <v>3</v>
      </c>
      <c r="BZ440">
        <v>2007</v>
      </c>
      <c r="CA440" t="s">
        <v>109</v>
      </c>
      <c r="CB440" t="s">
        <v>110</v>
      </c>
      <c r="CC440">
        <v>90350</v>
      </c>
    </row>
    <row r="441" spans="1:81" x14ac:dyDescent="0.3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173</v>
      </c>
      <c r="H441" t="s">
        <v>83</v>
      </c>
      <c r="I441" t="s">
        <v>84</v>
      </c>
      <c r="J441" t="s">
        <v>85</v>
      </c>
      <c r="K441" t="s">
        <v>121</v>
      </c>
      <c r="L441" t="s">
        <v>87</v>
      </c>
      <c r="M441" t="s">
        <v>184</v>
      </c>
      <c r="N441" t="s">
        <v>89</v>
      </c>
      <c r="O441" t="s">
        <v>89</v>
      </c>
      <c r="P441" t="s">
        <v>90</v>
      </c>
      <c r="Q441" t="s">
        <v>131</v>
      </c>
      <c r="R441">
        <v>6</v>
      </c>
      <c r="S441">
        <v>8</v>
      </c>
      <c r="T441">
        <v>1920</v>
      </c>
      <c r="U441">
        <v>2000</v>
      </c>
      <c r="V441" t="s">
        <v>92</v>
      </c>
      <c r="W441" t="s">
        <v>93</v>
      </c>
      <c r="X441" t="s">
        <v>123</v>
      </c>
      <c r="Y441" t="s">
        <v>123</v>
      </c>
      <c r="Z441" t="s">
        <v>116</v>
      </c>
      <c r="AA441">
        <v>0</v>
      </c>
      <c r="AB441" t="s">
        <v>97</v>
      </c>
      <c r="AC441" t="s">
        <v>97</v>
      </c>
      <c r="AD441" t="s">
        <v>125</v>
      </c>
      <c r="AE441" t="s">
        <v>97</v>
      </c>
      <c r="AF441" t="s">
        <v>146</v>
      </c>
      <c r="AG441" t="s">
        <v>120</v>
      </c>
      <c r="AH441" t="s">
        <v>101</v>
      </c>
      <c r="AI441">
        <v>0</v>
      </c>
      <c r="AJ441" t="s">
        <v>101</v>
      </c>
      <c r="AK441">
        <v>0</v>
      </c>
      <c r="AL441">
        <v>684</v>
      </c>
      <c r="AM441">
        <v>684</v>
      </c>
      <c r="AN441" t="s">
        <v>102</v>
      </c>
      <c r="AO441" t="s">
        <v>96</v>
      </c>
      <c r="AP441" t="s">
        <v>104</v>
      </c>
      <c r="AQ441" t="s">
        <v>105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96</v>
      </c>
      <c r="BC441">
        <v>7</v>
      </c>
      <c r="BD441" t="s">
        <v>106</v>
      </c>
      <c r="BE441">
        <v>0</v>
      </c>
      <c r="BG441" t="s">
        <v>126</v>
      </c>
      <c r="BH441">
        <v>2005</v>
      </c>
      <c r="BI441" t="s">
        <v>101</v>
      </c>
      <c r="BJ441">
        <v>2</v>
      </c>
      <c r="BK441">
        <v>528</v>
      </c>
      <c r="BL441" t="s">
        <v>97</v>
      </c>
      <c r="BM441" t="s">
        <v>97</v>
      </c>
      <c r="BN441" t="s">
        <v>104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V441" t="s">
        <v>164</v>
      </c>
      <c r="BW441" t="s">
        <v>134</v>
      </c>
      <c r="BX441">
        <v>800</v>
      </c>
      <c r="BY441">
        <v>8</v>
      </c>
      <c r="BZ441">
        <v>2009</v>
      </c>
      <c r="CA441" t="s">
        <v>219</v>
      </c>
      <c r="CB441" t="s">
        <v>110</v>
      </c>
      <c r="CC441">
        <v>110000</v>
      </c>
    </row>
    <row r="442" spans="1:81" x14ac:dyDescent="0.3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H442" t="s">
        <v>83</v>
      </c>
      <c r="I442" t="s">
        <v>84</v>
      </c>
      <c r="J442" t="s">
        <v>85</v>
      </c>
      <c r="K442" t="s">
        <v>86</v>
      </c>
      <c r="L442" t="s">
        <v>87</v>
      </c>
      <c r="M442" t="s">
        <v>153</v>
      </c>
      <c r="N442" t="s">
        <v>89</v>
      </c>
      <c r="O442" t="s">
        <v>89</v>
      </c>
      <c r="P442" t="s">
        <v>90</v>
      </c>
      <c r="Q442" t="s">
        <v>114</v>
      </c>
      <c r="R442">
        <v>10</v>
      </c>
      <c r="S442">
        <v>5</v>
      </c>
      <c r="T442">
        <v>2008</v>
      </c>
      <c r="U442">
        <v>2008</v>
      </c>
      <c r="V442" t="s">
        <v>151</v>
      </c>
      <c r="W442" t="s">
        <v>93</v>
      </c>
      <c r="X442" t="s">
        <v>94</v>
      </c>
      <c r="Y442" t="s">
        <v>94</v>
      </c>
      <c r="Z442" t="s">
        <v>136</v>
      </c>
      <c r="AA442">
        <v>200</v>
      </c>
      <c r="AB442" t="s">
        <v>103</v>
      </c>
      <c r="AC442" t="s">
        <v>97</v>
      </c>
      <c r="AD442" t="s">
        <v>98</v>
      </c>
      <c r="AE442" t="s">
        <v>103</v>
      </c>
      <c r="AF442" t="s">
        <v>97</v>
      </c>
      <c r="AG442" t="s">
        <v>96</v>
      </c>
      <c r="AH442" t="s">
        <v>100</v>
      </c>
      <c r="AI442">
        <v>1767</v>
      </c>
      <c r="AJ442" t="s">
        <v>118</v>
      </c>
      <c r="AK442">
        <v>539</v>
      </c>
      <c r="AL442">
        <v>788</v>
      </c>
      <c r="AM442">
        <v>3094</v>
      </c>
      <c r="AN442" t="s">
        <v>102</v>
      </c>
      <c r="AO442" t="s">
        <v>103</v>
      </c>
      <c r="AP442" t="s">
        <v>104</v>
      </c>
      <c r="AQ442" t="s">
        <v>105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103</v>
      </c>
      <c r="BC442">
        <v>10</v>
      </c>
      <c r="BD442" t="s">
        <v>106</v>
      </c>
      <c r="BE442">
        <v>2</v>
      </c>
      <c r="BF442" t="s">
        <v>96</v>
      </c>
      <c r="BG442" t="s">
        <v>107</v>
      </c>
      <c r="BH442">
        <v>2008</v>
      </c>
      <c r="BI442" t="s">
        <v>156</v>
      </c>
      <c r="BJ442">
        <v>3</v>
      </c>
      <c r="BK442">
        <v>672</v>
      </c>
      <c r="BL442" t="s">
        <v>97</v>
      </c>
      <c r="BM442" t="s">
        <v>97</v>
      </c>
      <c r="BN442" t="s">
        <v>104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X442">
        <v>0</v>
      </c>
      <c r="BY442">
        <v>4</v>
      </c>
      <c r="BZ442">
        <v>2009</v>
      </c>
      <c r="CA442" t="s">
        <v>109</v>
      </c>
      <c r="CB442" t="s">
        <v>110</v>
      </c>
      <c r="CC442">
        <v>555000</v>
      </c>
    </row>
    <row r="443" spans="1:81" x14ac:dyDescent="0.3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H443" t="s">
        <v>83</v>
      </c>
      <c r="I443" t="s">
        <v>84</v>
      </c>
      <c r="J443" t="s">
        <v>85</v>
      </c>
      <c r="K443" t="s">
        <v>86</v>
      </c>
      <c r="L443" t="s">
        <v>87</v>
      </c>
      <c r="M443" t="s">
        <v>184</v>
      </c>
      <c r="N443" t="s">
        <v>89</v>
      </c>
      <c r="O443" t="s">
        <v>89</v>
      </c>
      <c r="P443" t="s">
        <v>166</v>
      </c>
      <c r="Q443" t="s">
        <v>114</v>
      </c>
      <c r="R443">
        <v>4</v>
      </c>
      <c r="S443">
        <v>4</v>
      </c>
      <c r="T443">
        <v>1955</v>
      </c>
      <c r="U443">
        <v>1955</v>
      </c>
      <c r="V443" t="s">
        <v>92</v>
      </c>
      <c r="W443" t="s">
        <v>93</v>
      </c>
      <c r="X443" t="s">
        <v>94</v>
      </c>
      <c r="Y443" t="s">
        <v>94</v>
      </c>
      <c r="Z443" t="s">
        <v>95</v>
      </c>
      <c r="AA443">
        <v>270</v>
      </c>
      <c r="AB443" t="s">
        <v>97</v>
      </c>
      <c r="AC443" t="s">
        <v>97</v>
      </c>
      <c r="AD443" t="s">
        <v>117</v>
      </c>
      <c r="AE443" t="s">
        <v>97</v>
      </c>
      <c r="AF443" t="s">
        <v>97</v>
      </c>
      <c r="AG443" t="s">
        <v>99</v>
      </c>
      <c r="AH443" t="s">
        <v>118</v>
      </c>
      <c r="AI443">
        <v>133</v>
      </c>
      <c r="AJ443" t="s">
        <v>101</v>
      </c>
      <c r="AK443">
        <v>0</v>
      </c>
      <c r="AL443">
        <v>1307</v>
      </c>
      <c r="AM443">
        <v>1440</v>
      </c>
      <c r="AN443" t="s">
        <v>102</v>
      </c>
      <c r="AO443" t="s">
        <v>97</v>
      </c>
      <c r="AP443" t="s">
        <v>176</v>
      </c>
      <c r="AQ443" t="s">
        <v>144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146</v>
      </c>
      <c r="BC443">
        <v>8</v>
      </c>
      <c r="BD443" t="s">
        <v>106</v>
      </c>
      <c r="BE443">
        <v>0</v>
      </c>
      <c r="BJ443">
        <v>0</v>
      </c>
      <c r="BK443">
        <v>0</v>
      </c>
      <c r="BN443" t="s">
        <v>104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X443">
        <v>0</v>
      </c>
      <c r="BY443">
        <v>9</v>
      </c>
      <c r="BZ443">
        <v>2008</v>
      </c>
      <c r="CA443" t="s">
        <v>109</v>
      </c>
      <c r="CB443" t="s">
        <v>110</v>
      </c>
      <c r="CC443">
        <v>118000</v>
      </c>
    </row>
    <row r="444" spans="1:81" x14ac:dyDescent="0.3">
      <c r="A444">
        <v>443</v>
      </c>
      <c r="B444">
        <v>50</v>
      </c>
      <c r="C444" t="s">
        <v>141</v>
      </c>
      <c r="D444">
        <v>52</v>
      </c>
      <c r="E444">
        <v>6240</v>
      </c>
      <c r="F444" t="s">
        <v>82</v>
      </c>
      <c r="H444" t="s">
        <v>83</v>
      </c>
      <c r="I444" t="s">
        <v>84</v>
      </c>
      <c r="J444" t="s">
        <v>85</v>
      </c>
      <c r="K444" t="s">
        <v>86</v>
      </c>
      <c r="L444" t="s">
        <v>87</v>
      </c>
      <c r="M444" t="s">
        <v>147</v>
      </c>
      <c r="N444" t="s">
        <v>89</v>
      </c>
      <c r="O444" t="s">
        <v>89</v>
      </c>
      <c r="P444" t="s">
        <v>90</v>
      </c>
      <c r="Q444" t="s">
        <v>131</v>
      </c>
      <c r="R444">
        <v>5</v>
      </c>
      <c r="S444">
        <v>7</v>
      </c>
      <c r="T444">
        <v>1930</v>
      </c>
      <c r="U444">
        <v>1992</v>
      </c>
      <c r="V444" t="s">
        <v>92</v>
      </c>
      <c r="W444" t="s">
        <v>93</v>
      </c>
      <c r="X444" t="s">
        <v>115</v>
      </c>
      <c r="Y444" t="s">
        <v>115</v>
      </c>
      <c r="Z444" t="s">
        <v>116</v>
      </c>
      <c r="AA444">
        <v>0</v>
      </c>
      <c r="AB444" t="s">
        <v>97</v>
      </c>
      <c r="AC444" t="s">
        <v>97</v>
      </c>
      <c r="AD444" t="s">
        <v>98</v>
      </c>
      <c r="AE444" t="s">
        <v>97</v>
      </c>
      <c r="AF444" t="s">
        <v>97</v>
      </c>
      <c r="AG444" t="s">
        <v>99</v>
      </c>
      <c r="AH444" t="s">
        <v>101</v>
      </c>
      <c r="AI444">
        <v>0</v>
      </c>
      <c r="AJ444" t="s">
        <v>101</v>
      </c>
      <c r="AK444">
        <v>0</v>
      </c>
      <c r="AL444">
        <v>1078</v>
      </c>
      <c r="AM444">
        <v>1078</v>
      </c>
      <c r="AN444" t="s">
        <v>102</v>
      </c>
      <c r="AO444" t="s">
        <v>97</v>
      </c>
      <c r="AP444" t="s">
        <v>104</v>
      </c>
      <c r="AQ444" t="s">
        <v>105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97</v>
      </c>
      <c r="BC444">
        <v>8</v>
      </c>
      <c r="BD444" t="s">
        <v>106</v>
      </c>
      <c r="BE444">
        <v>1</v>
      </c>
      <c r="BF444" t="s">
        <v>96</v>
      </c>
      <c r="BG444" t="s">
        <v>126</v>
      </c>
      <c r="BH444">
        <v>1930</v>
      </c>
      <c r="BI444" t="s">
        <v>101</v>
      </c>
      <c r="BJ444">
        <v>2</v>
      </c>
      <c r="BK444">
        <v>360</v>
      </c>
      <c r="BL444" t="s">
        <v>97</v>
      </c>
      <c r="BM444" t="s">
        <v>97</v>
      </c>
      <c r="BN444" t="s">
        <v>189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X444">
        <v>0</v>
      </c>
      <c r="BY444">
        <v>6</v>
      </c>
      <c r="BZ444">
        <v>2008</v>
      </c>
      <c r="CA444" t="s">
        <v>109</v>
      </c>
      <c r="CB444" t="s">
        <v>110</v>
      </c>
      <c r="CC444">
        <v>162900</v>
      </c>
    </row>
    <row r="445" spans="1:81" x14ac:dyDescent="0.3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H445" t="s">
        <v>83</v>
      </c>
      <c r="I445" t="s">
        <v>84</v>
      </c>
      <c r="J445" t="s">
        <v>85</v>
      </c>
      <c r="K445" t="s">
        <v>86</v>
      </c>
      <c r="L445" t="s">
        <v>87</v>
      </c>
      <c r="M445" t="s">
        <v>226</v>
      </c>
      <c r="N445" t="s">
        <v>89</v>
      </c>
      <c r="O445" t="s">
        <v>89</v>
      </c>
      <c r="P445" t="s">
        <v>178</v>
      </c>
      <c r="Q445" t="s">
        <v>114</v>
      </c>
      <c r="R445">
        <v>7</v>
      </c>
      <c r="S445">
        <v>5</v>
      </c>
      <c r="T445">
        <v>2006</v>
      </c>
      <c r="U445">
        <v>2007</v>
      </c>
      <c r="V445" t="s">
        <v>92</v>
      </c>
      <c r="W445" t="s">
        <v>93</v>
      </c>
      <c r="X445" t="s">
        <v>154</v>
      </c>
      <c r="Y445" t="s">
        <v>124</v>
      </c>
      <c r="Z445" t="s">
        <v>95</v>
      </c>
      <c r="AA445">
        <v>72</v>
      </c>
      <c r="AB445" t="s">
        <v>96</v>
      </c>
      <c r="AC445" t="s">
        <v>97</v>
      </c>
      <c r="AD445" t="s">
        <v>98</v>
      </c>
      <c r="AE445" t="s">
        <v>103</v>
      </c>
      <c r="AF445" t="s">
        <v>97</v>
      </c>
      <c r="AG445" t="s">
        <v>129</v>
      </c>
      <c r="AH445" t="s">
        <v>101</v>
      </c>
      <c r="AI445">
        <v>0</v>
      </c>
      <c r="AJ445" t="s">
        <v>101</v>
      </c>
      <c r="AK445">
        <v>0</v>
      </c>
      <c r="AL445">
        <v>1258</v>
      </c>
      <c r="AM445">
        <v>1258</v>
      </c>
      <c r="AN445" t="s">
        <v>102</v>
      </c>
      <c r="AO445" t="s">
        <v>103</v>
      </c>
      <c r="AP445" t="s">
        <v>104</v>
      </c>
      <c r="AQ445" t="s">
        <v>105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96</v>
      </c>
      <c r="BC445">
        <v>6</v>
      </c>
      <c r="BD445" t="s">
        <v>106</v>
      </c>
      <c r="BE445">
        <v>1</v>
      </c>
      <c r="BF445" t="s">
        <v>96</v>
      </c>
      <c r="BG445" t="s">
        <v>107</v>
      </c>
      <c r="BH445">
        <v>2007</v>
      </c>
      <c r="BI445" t="s">
        <v>156</v>
      </c>
      <c r="BJ445">
        <v>3</v>
      </c>
      <c r="BK445">
        <v>648</v>
      </c>
      <c r="BL445" t="s">
        <v>97</v>
      </c>
      <c r="BM445" t="s">
        <v>97</v>
      </c>
      <c r="BN445" t="s">
        <v>104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X445">
        <v>0</v>
      </c>
      <c r="BY445">
        <v>6</v>
      </c>
      <c r="BZ445">
        <v>2007</v>
      </c>
      <c r="CA445" t="s">
        <v>157</v>
      </c>
      <c r="CB445" t="s">
        <v>158</v>
      </c>
      <c r="CC445">
        <v>172500</v>
      </c>
    </row>
    <row r="446" spans="1:81" x14ac:dyDescent="0.3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H446" t="s">
        <v>83</v>
      </c>
      <c r="I446" t="s">
        <v>84</v>
      </c>
      <c r="J446" t="s">
        <v>85</v>
      </c>
      <c r="K446" t="s">
        <v>86</v>
      </c>
      <c r="L446" t="s">
        <v>87</v>
      </c>
      <c r="M446" t="s">
        <v>88</v>
      </c>
      <c r="N446" t="s">
        <v>89</v>
      </c>
      <c r="O446" t="s">
        <v>89</v>
      </c>
      <c r="P446" t="s">
        <v>90</v>
      </c>
      <c r="Q446" t="s">
        <v>91</v>
      </c>
      <c r="R446">
        <v>7</v>
      </c>
      <c r="S446">
        <v>5</v>
      </c>
      <c r="T446">
        <v>1994</v>
      </c>
      <c r="U446">
        <v>1995</v>
      </c>
      <c r="V446" t="s">
        <v>92</v>
      </c>
      <c r="W446" t="s">
        <v>93</v>
      </c>
      <c r="X446" t="s">
        <v>94</v>
      </c>
      <c r="Y446" t="s">
        <v>94</v>
      </c>
      <c r="Z446" t="s">
        <v>116</v>
      </c>
      <c r="AA446">
        <v>0</v>
      </c>
      <c r="AB446" t="s">
        <v>96</v>
      </c>
      <c r="AC446" t="s">
        <v>96</v>
      </c>
      <c r="AD446" t="s">
        <v>98</v>
      </c>
      <c r="AE446" t="s">
        <v>96</v>
      </c>
      <c r="AF446" t="s">
        <v>97</v>
      </c>
      <c r="AG446" t="s">
        <v>99</v>
      </c>
      <c r="AH446" t="s">
        <v>100</v>
      </c>
      <c r="AI446">
        <v>642</v>
      </c>
      <c r="AJ446" t="s">
        <v>101</v>
      </c>
      <c r="AK446">
        <v>0</v>
      </c>
      <c r="AL446">
        <v>273</v>
      </c>
      <c r="AM446">
        <v>915</v>
      </c>
      <c r="AN446" t="s">
        <v>102</v>
      </c>
      <c r="AO446" t="s">
        <v>103</v>
      </c>
      <c r="AP446" t="s">
        <v>104</v>
      </c>
      <c r="AQ446" t="s">
        <v>105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96</v>
      </c>
      <c r="BC446">
        <v>8</v>
      </c>
      <c r="BD446" t="s">
        <v>106</v>
      </c>
      <c r="BE446">
        <v>1</v>
      </c>
      <c r="BF446" t="s">
        <v>97</v>
      </c>
      <c r="BG446" t="s">
        <v>107</v>
      </c>
      <c r="BH446">
        <v>1994</v>
      </c>
      <c r="BI446" t="s">
        <v>101</v>
      </c>
      <c r="BJ446">
        <v>2</v>
      </c>
      <c r="BK446">
        <v>493</v>
      </c>
      <c r="BL446" t="s">
        <v>97</v>
      </c>
      <c r="BM446" t="s">
        <v>97</v>
      </c>
      <c r="BN446" t="s">
        <v>104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X446">
        <v>0</v>
      </c>
      <c r="BY446">
        <v>7</v>
      </c>
      <c r="BZ446">
        <v>2008</v>
      </c>
      <c r="CA446" t="s">
        <v>109</v>
      </c>
      <c r="CB446" t="s">
        <v>110</v>
      </c>
      <c r="CC446">
        <v>210000</v>
      </c>
    </row>
    <row r="447" spans="1:81" x14ac:dyDescent="0.3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H447" t="s">
        <v>83</v>
      </c>
      <c r="I447" t="s">
        <v>84</v>
      </c>
      <c r="J447" t="s">
        <v>85</v>
      </c>
      <c r="K447" t="s">
        <v>121</v>
      </c>
      <c r="L447" t="s">
        <v>87</v>
      </c>
      <c r="M447" t="s">
        <v>184</v>
      </c>
      <c r="N447" t="s">
        <v>89</v>
      </c>
      <c r="O447" t="s">
        <v>89</v>
      </c>
      <c r="P447" t="s">
        <v>90</v>
      </c>
      <c r="Q447" t="s">
        <v>114</v>
      </c>
      <c r="R447">
        <v>6</v>
      </c>
      <c r="S447">
        <v>5</v>
      </c>
      <c r="T447">
        <v>1956</v>
      </c>
      <c r="U447">
        <v>1956</v>
      </c>
      <c r="V447" t="s">
        <v>151</v>
      </c>
      <c r="W447" t="s">
        <v>93</v>
      </c>
      <c r="X447" t="s">
        <v>123</v>
      </c>
      <c r="Y447" t="s">
        <v>123</v>
      </c>
      <c r="Z447" t="s">
        <v>116</v>
      </c>
      <c r="AA447">
        <v>0</v>
      </c>
      <c r="AB447" t="s">
        <v>97</v>
      </c>
      <c r="AC447" t="s">
        <v>97</v>
      </c>
      <c r="AD447" t="s">
        <v>117</v>
      </c>
      <c r="AE447" t="s">
        <v>97</v>
      </c>
      <c r="AF447" t="s">
        <v>97</v>
      </c>
      <c r="AG447" t="s">
        <v>99</v>
      </c>
      <c r="AH447" t="s">
        <v>101</v>
      </c>
      <c r="AI447">
        <v>0</v>
      </c>
      <c r="AJ447" t="s">
        <v>101</v>
      </c>
      <c r="AK447">
        <v>0</v>
      </c>
      <c r="AL447">
        <v>1436</v>
      </c>
      <c r="AM447">
        <v>1436</v>
      </c>
      <c r="AN447" t="s">
        <v>102</v>
      </c>
      <c r="AO447" t="s">
        <v>146</v>
      </c>
      <c r="AP447" t="s">
        <v>104</v>
      </c>
      <c r="AQ447" t="s">
        <v>105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97</v>
      </c>
      <c r="BC447">
        <v>7</v>
      </c>
      <c r="BD447" t="s">
        <v>106</v>
      </c>
      <c r="BE447">
        <v>1</v>
      </c>
      <c r="BF447" t="s">
        <v>96</v>
      </c>
      <c r="BG447" t="s">
        <v>107</v>
      </c>
      <c r="BH447">
        <v>1956</v>
      </c>
      <c r="BI447" t="s">
        <v>101</v>
      </c>
      <c r="BJ447">
        <v>2</v>
      </c>
      <c r="BK447">
        <v>480</v>
      </c>
      <c r="BL447" t="s">
        <v>97</v>
      </c>
      <c r="BM447" t="s">
        <v>97</v>
      </c>
      <c r="BN447" t="s">
        <v>104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V447" t="s">
        <v>133</v>
      </c>
      <c r="BX447">
        <v>0</v>
      </c>
      <c r="BY447">
        <v>11</v>
      </c>
      <c r="BZ447">
        <v>2009</v>
      </c>
      <c r="CA447" t="s">
        <v>172</v>
      </c>
      <c r="CB447" t="s">
        <v>110</v>
      </c>
      <c r="CC447">
        <v>127500</v>
      </c>
    </row>
    <row r="448" spans="1:81" x14ac:dyDescent="0.3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H448" t="s">
        <v>119</v>
      </c>
      <c r="I448" t="s">
        <v>84</v>
      </c>
      <c r="J448" t="s">
        <v>85</v>
      </c>
      <c r="K448" t="s">
        <v>121</v>
      </c>
      <c r="L448" t="s">
        <v>87</v>
      </c>
      <c r="M448" t="s">
        <v>270</v>
      </c>
      <c r="N448" t="s">
        <v>203</v>
      </c>
      <c r="O448" t="s">
        <v>89</v>
      </c>
      <c r="P448" t="s">
        <v>90</v>
      </c>
      <c r="Q448" t="s">
        <v>114</v>
      </c>
      <c r="R448">
        <v>6</v>
      </c>
      <c r="S448">
        <v>6</v>
      </c>
      <c r="T448">
        <v>1966</v>
      </c>
      <c r="U448">
        <v>2002</v>
      </c>
      <c r="V448" t="s">
        <v>92</v>
      </c>
      <c r="W448" t="s">
        <v>93</v>
      </c>
      <c r="X448" t="s">
        <v>95</v>
      </c>
      <c r="Y448" t="s">
        <v>160</v>
      </c>
      <c r="Z448" t="s">
        <v>116</v>
      </c>
      <c r="AA448">
        <v>0</v>
      </c>
      <c r="AB448" t="s">
        <v>96</v>
      </c>
      <c r="AC448" t="s">
        <v>97</v>
      </c>
      <c r="AD448" t="s">
        <v>117</v>
      </c>
      <c r="AE448" t="s">
        <v>97</v>
      </c>
      <c r="AF448" t="s">
        <v>97</v>
      </c>
      <c r="AG448" t="s">
        <v>99</v>
      </c>
      <c r="AH448" t="s">
        <v>118</v>
      </c>
      <c r="AI448">
        <v>247</v>
      </c>
      <c r="AJ448" t="s">
        <v>152</v>
      </c>
      <c r="AK448">
        <v>713</v>
      </c>
      <c r="AL448">
        <v>557</v>
      </c>
      <c r="AM448">
        <v>1517</v>
      </c>
      <c r="AN448" t="s">
        <v>102</v>
      </c>
      <c r="AO448" t="s">
        <v>103</v>
      </c>
      <c r="AP448" t="s">
        <v>104</v>
      </c>
      <c r="AQ448" t="s">
        <v>105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96</v>
      </c>
      <c r="BC448">
        <v>6</v>
      </c>
      <c r="BD448" t="s">
        <v>193</v>
      </c>
      <c r="BE448">
        <v>1</v>
      </c>
      <c r="BF448" t="s">
        <v>96</v>
      </c>
      <c r="BG448" t="s">
        <v>107</v>
      </c>
      <c r="BH448">
        <v>1966</v>
      </c>
      <c r="BI448" t="s">
        <v>156</v>
      </c>
      <c r="BJ448">
        <v>2</v>
      </c>
      <c r="BK448">
        <v>578</v>
      </c>
      <c r="BL448" t="s">
        <v>97</v>
      </c>
      <c r="BM448" t="s">
        <v>97</v>
      </c>
      <c r="BN448" t="s">
        <v>104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X448">
        <v>0</v>
      </c>
      <c r="BY448">
        <v>6</v>
      </c>
      <c r="BZ448">
        <v>2010</v>
      </c>
      <c r="CA448" t="s">
        <v>109</v>
      </c>
      <c r="CB448" t="s">
        <v>110</v>
      </c>
      <c r="CC448">
        <v>190000</v>
      </c>
    </row>
    <row r="449" spans="1:81" x14ac:dyDescent="0.3">
      <c r="A449">
        <v>448</v>
      </c>
      <c r="B449">
        <v>60</v>
      </c>
      <c r="C449" t="s">
        <v>81</v>
      </c>
      <c r="E449">
        <v>11214</v>
      </c>
      <c r="F449" t="s">
        <v>82</v>
      </c>
      <c r="H449" t="s">
        <v>119</v>
      </c>
      <c r="I449" t="s">
        <v>84</v>
      </c>
      <c r="J449" t="s">
        <v>85</v>
      </c>
      <c r="K449" t="s">
        <v>121</v>
      </c>
      <c r="L449" t="s">
        <v>87</v>
      </c>
      <c r="M449" t="s">
        <v>192</v>
      </c>
      <c r="N449" t="s">
        <v>89</v>
      </c>
      <c r="O449" t="s">
        <v>89</v>
      </c>
      <c r="P449" t="s">
        <v>90</v>
      </c>
      <c r="Q449" t="s">
        <v>91</v>
      </c>
      <c r="R449">
        <v>7</v>
      </c>
      <c r="S449">
        <v>5</v>
      </c>
      <c r="T449">
        <v>1998</v>
      </c>
      <c r="U449">
        <v>1999</v>
      </c>
      <c r="V449" t="s">
        <v>92</v>
      </c>
      <c r="W449" t="s">
        <v>93</v>
      </c>
      <c r="X449" t="s">
        <v>94</v>
      </c>
      <c r="Y449" t="s">
        <v>94</v>
      </c>
      <c r="Z449" t="s">
        <v>116</v>
      </c>
      <c r="AA449">
        <v>0</v>
      </c>
      <c r="AB449" t="s">
        <v>96</v>
      </c>
      <c r="AC449" t="s">
        <v>97</v>
      </c>
      <c r="AD449" t="s">
        <v>98</v>
      </c>
      <c r="AE449" t="s">
        <v>96</v>
      </c>
      <c r="AF449" t="s">
        <v>97</v>
      </c>
      <c r="AG449" t="s">
        <v>99</v>
      </c>
      <c r="AH449" t="s">
        <v>101</v>
      </c>
      <c r="AI449">
        <v>0</v>
      </c>
      <c r="AJ449" t="s">
        <v>101</v>
      </c>
      <c r="AK449">
        <v>0</v>
      </c>
      <c r="AL449">
        <v>930</v>
      </c>
      <c r="AM449">
        <v>930</v>
      </c>
      <c r="AN449" t="s">
        <v>102</v>
      </c>
      <c r="AO449" t="s">
        <v>96</v>
      </c>
      <c r="AP449" t="s">
        <v>104</v>
      </c>
      <c r="AQ449" t="s">
        <v>105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96</v>
      </c>
      <c r="BC449">
        <v>10</v>
      </c>
      <c r="BD449" t="s">
        <v>106</v>
      </c>
      <c r="BE449">
        <v>1</v>
      </c>
      <c r="BF449" t="s">
        <v>97</v>
      </c>
      <c r="BG449" t="s">
        <v>107</v>
      </c>
      <c r="BH449">
        <v>1998</v>
      </c>
      <c r="BI449" t="s">
        <v>156</v>
      </c>
      <c r="BJ449">
        <v>2</v>
      </c>
      <c r="BK449">
        <v>431</v>
      </c>
      <c r="BL449" t="s">
        <v>97</v>
      </c>
      <c r="BM449" t="s">
        <v>97</v>
      </c>
      <c r="BN449" t="s">
        <v>104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X449">
        <v>0</v>
      </c>
      <c r="BY449">
        <v>7</v>
      </c>
      <c r="BZ449">
        <v>2006</v>
      </c>
      <c r="CA449" t="s">
        <v>109</v>
      </c>
      <c r="CB449" t="s">
        <v>110</v>
      </c>
      <c r="CC449">
        <v>199900</v>
      </c>
    </row>
    <row r="450" spans="1:81" x14ac:dyDescent="0.3">
      <c r="A450">
        <v>449</v>
      </c>
      <c r="B450">
        <v>50</v>
      </c>
      <c r="C450" t="s">
        <v>141</v>
      </c>
      <c r="D450">
        <v>50</v>
      </c>
      <c r="E450">
        <v>8600</v>
      </c>
      <c r="F450" t="s">
        <v>82</v>
      </c>
      <c r="H450" t="s">
        <v>83</v>
      </c>
      <c r="I450" t="s">
        <v>174</v>
      </c>
      <c r="J450" t="s">
        <v>85</v>
      </c>
      <c r="K450" t="s">
        <v>86</v>
      </c>
      <c r="L450" t="s">
        <v>87</v>
      </c>
      <c r="M450" t="s">
        <v>175</v>
      </c>
      <c r="N450" t="s">
        <v>89</v>
      </c>
      <c r="O450" t="s">
        <v>89</v>
      </c>
      <c r="P450" t="s">
        <v>90</v>
      </c>
      <c r="Q450" t="s">
        <v>131</v>
      </c>
      <c r="R450">
        <v>6</v>
      </c>
      <c r="S450">
        <v>6</v>
      </c>
      <c r="T450">
        <v>1937</v>
      </c>
      <c r="U450">
        <v>1950</v>
      </c>
      <c r="V450" t="s">
        <v>92</v>
      </c>
      <c r="W450" t="s">
        <v>93</v>
      </c>
      <c r="X450" t="s">
        <v>115</v>
      </c>
      <c r="Y450" t="s">
        <v>115</v>
      </c>
      <c r="Z450" t="s">
        <v>116</v>
      </c>
      <c r="AA450">
        <v>0</v>
      </c>
      <c r="AB450" t="s">
        <v>97</v>
      </c>
      <c r="AC450" t="s">
        <v>97</v>
      </c>
      <c r="AD450" t="s">
        <v>125</v>
      </c>
      <c r="AE450" t="s">
        <v>97</v>
      </c>
      <c r="AF450" t="s">
        <v>97</v>
      </c>
      <c r="AG450" t="s">
        <v>99</v>
      </c>
      <c r="AH450" t="s">
        <v>101</v>
      </c>
      <c r="AI450">
        <v>0</v>
      </c>
      <c r="AJ450" t="s">
        <v>101</v>
      </c>
      <c r="AK450">
        <v>0</v>
      </c>
      <c r="AL450">
        <v>780</v>
      </c>
      <c r="AM450">
        <v>780</v>
      </c>
      <c r="AN450" t="s">
        <v>102</v>
      </c>
      <c r="AO450" t="s">
        <v>97</v>
      </c>
      <c r="AP450" t="s">
        <v>104</v>
      </c>
      <c r="AQ450" t="s">
        <v>105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97</v>
      </c>
      <c r="BC450">
        <v>7</v>
      </c>
      <c r="BD450" t="s">
        <v>106</v>
      </c>
      <c r="BE450">
        <v>1</v>
      </c>
      <c r="BF450" t="s">
        <v>96</v>
      </c>
      <c r="BG450" t="s">
        <v>126</v>
      </c>
      <c r="BH450">
        <v>1937</v>
      </c>
      <c r="BI450" t="s">
        <v>101</v>
      </c>
      <c r="BJ450">
        <v>1</v>
      </c>
      <c r="BK450">
        <v>198</v>
      </c>
      <c r="BL450" t="s">
        <v>97</v>
      </c>
      <c r="BM450" t="s">
        <v>97</v>
      </c>
      <c r="BN450" t="s">
        <v>176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X450">
        <v>0</v>
      </c>
      <c r="BY450">
        <v>6</v>
      </c>
      <c r="BZ450">
        <v>2006</v>
      </c>
      <c r="CA450" t="s">
        <v>109</v>
      </c>
      <c r="CB450" t="s">
        <v>110</v>
      </c>
      <c r="CC450">
        <v>119500</v>
      </c>
    </row>
    <row r="451" spans="1:81" x14ac:dyDescent="0.3">
      <c r="A451">
        <v>450</v>
      </c>
      <c r="B451">
        <v>50</v>
      </c>
      <c r="C451" t="s">
        <v>141</v>
      </c>
      <c r="D451">
        <v>50</v>
      </c>
      <c r="E451">
        <v>6000</v>
      </c>
      <c r="F451" t="s">
        <v>82</v>
      </c>
      <c r="H451" t="s">
        <v>83</v>
      </c>
      <c r="I451" t="s">
        <v>84</v>
      </c>
      <c r="J451" t="s">
        <v>85</v>
      </c>
      <c r="K451" t="s">
        <v>86</v>
      </c>
      <c r="L451" t="s">
        <v>87</v>
      </c>
      <c r="M451" t="s">
        <v>142</v>
      </c>
      <c r="N451" t="s">
        <v>89</v>
      </c>
      <c r="O451" t="s">
        <v>89</v>
      </c>
      <c r="P451" t="s">
        <v>90</v>
      </c>
      <c r="Q451" t="s">
        <v>131</v>
      </c>
      <c r="R451">
        <v>3</v>
      </c>
      <c r="S451">
        <v>7</v>
      </c>
      <c r="T451">
        <v>1948</v>
      </c>
      <c r="U451">
        <v>2002</v>
      </c>
      <c r="V451" t="s">
        <v>92</v>
      </c>
      <c r="W451" t="s">
        <v>93</v>
      </c>
      <c r="X451" t="s">
        <v>115</v>
      </c>
      <c r="Y451" t="s">
        <v>115</v>
      </c>
      <c r="Z451" t="s">
        <v>116</v>
      </c>
      <c r="AA451">
        <v>0</v>
      </c>
      <c r="AB451" t="s">
        <v>97</v>
      </c>
      <c r="AC451" t="s">
        <v>96</v>
      </c>
      <c r="AD451" t="s">
        <v>117</v>
      </c>
      <c r="AE451" t="s">
        <v>97</v>
      </c>
      <c r="AF451" t="s">
        <v>97</v>
      </c>
      <c r="AG451" t="s">
        <v>99</v>
      </c>
      <c r="AH451" t="s">
        <v>118</v>
      </c>
      <c r="AI451">
        <v>331</v>
      </c>
      <c r="AJ451" t="s">
        <v>101</v>
      </c>
      <c r="AK451">
        <v>0</v>
      </c>
      <c r="AL451">
        <v>318</v>
      </c>
      <c r="AM451">
        <v>649</v>
      </c>
      <c r="AN451" t="s">
        <v>102</v>
      </c>
      <c r="AO451" t="s">
        <v>103</v>
      </c>
      <c r="AP451" t="s">
        <v>104</v>
      </c>
      <c r="AQ451" t="s">
        <v>105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97</v>
      </c>
      <c r="BC451">
        <v>6</v>
      </c>
      <c r="BD451" t="s">
        <v>106</v>
      </c>
      <c r="BE451">
        <v>0</v>
      </c>
      <c r="BG451" t="s">
        <v>126</v>
      </c>
      <c r="BH451">
        <v>1981</v>
      </c>
      <c r="BI451" t="s">
        <v>101</v>
      </c>
      <c r="BJ451">
        <v>1</v>
      </c>
      <c r="BK451">
        <v>308</v>
      </c>
      <c r="BL451" t="s">
        <v>97</v>
      </c>
      <c r="BM451" t="s">
        <v>97</v>
      </c>
      <c r="BN451" t="s">
        <v>104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X451">
        <v>0</v>
      </c>
      <c r="BY451">
        <v>6</v>
      </c>
      <c r="BZ451">
        <v>2007</v>
      </c>
      <c r="CA451" t="s">
        <v>109</v>
      </c>
      <c r="CB451" t="s">
        <v>110</v>
      </c>
      <c r="CC451">
        <v>120000</v>
      </c>
    </row>
    <row r="452" spans="1:81" x14ac:dyDescent="0.3">
      <c r="A452">
        <v>451</v>
      </c>
      <c r="B452">
        <v>30</v>
      </c>
      <c r="C452" t="s">
        <v>141</v>
      </c>
      <c r="D452">
        <v>70</v>
      </c>
      <c r="E452">
        <v>5684</v>
      </c>
      <c r="F452" t="s">
        <v>82</v>
      </c>
      <c r="H452" t="s">
        <v>83</v>
      </c>
      <c r="I452" t="s">
        <v>84</v>
      </c>
      <c r="J452" t="s">
        <v>85</v>
      </c>
      <c r="K452" t="s">
        <v>86</v>
      </c>
      <c r="L452" t="s">
        <v>87</v>
      </c>
      <c r="M452" t="s">
        <v>142</v>
      </c>
      <c r="N452" t="s">
        <v>89</v>
      </c>
      <c r="O452" t="s">
        <v>89</v>
      </c>
      <c r="P452" t="s">
        <v>90</v>
      </c>
      <c r="Q452" t="s">
        <v>114</v>
      </c>
      <c r="R452">
        <v>6</v>
      </c>
      <c r="S452">
        <v>8</v>
      </c>
      <c r="T452">
        <v>1930</v>
      </c>
      <c r="U452">
        <v>2005</v>
      </c>
      <c r="V452" t="s">
        <v>151</v>
      </c>
      <c r="W452" t="s">
        <v>93</v>
      </c>
      <c r="X452" t="s">
        <v>123</v>
      </c>
      <c r="Y452" t="s">
        <v>123</v>
      </c>
      <c r="Z452" t="s">
        <v>116</v>
      </c>
      <c r="AA452">
        <v>0</v>
      </c>
      <c r="AB452" t="s">
        <v>97</v>
      </c>
      <c r="AC452" t="s">
        <v>97</v>
      </c>
      <c r="AD452" t="s">
        <v>125</v>
      </c>
      <c r="AE452" t="s">
        <v>97</v>
      </c>
      <c r="AF452" t="s">
        <v>97</v>
      </c>
      <c r="AG452" t="s">
        <v>99</v>
      </c>
      <c r="AH452" t="s">
        <v>101</v>
      </c>
      <c r="AI452">
        <v>0</v>
      </c>
      <c r="AJ452" t="s">
        <v>101</v>
      </c>
      <c r="AK452">
        <v>0</v>
      </c>
      <c r="AL452">
        <v>813</v>
      </c>
      <c r="AM452">
        <v>813</v>
      </c>
      <c r="AN452" t="s">
        <v>102</v>
      </c>
      <c r="AO452" t="s">
        <v>103</v>
      </c>
      <c r="AP452" t="s">
        <v>104</v>
      </c>
      <c r="AQ452" t="s">
        <v>163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96</v>
      </c>
      <c r="BC452">
        <v>5</v>
      </c>
      <c r="BD452" t="s">
        <v>106</v>
      </c>
      <c r="BE452">
        <v>0</v>
      </c>
      <c r="BG452" t="s">
        <v>126</v>
      </c>
      <c r="BH452">
        <v>1932</v>
      </c>
      <c r="BI452" t="s">
        <v>101</v>
      </c>
      <c r="BJ452">
        <v>1</v>
      </c>
      <c r="BK452">
        <v>270</v>
      </c>
      <c r="BL452" t="s">
        <v>146</v>
      </c>
      <c r="BM452" t="s">
        <v>146</v>
      </c>
      <c r="BN452" t="s">
        <v>176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X452">
        <v>0</v>
      </c>
      <c r="BY452">
        <v>6</v>
      </c>
      <c r="BZ452">
        <v>2006</v>
      </c>
      <c r="CA452" t="s">
        <v>109</v>
      </c>
      <c r="CB452" t="s">
        <v>110</v>
      </c>
      <c r="CC452">
        <v>110000</v>
      </c>
    </row>
    <row r="453" spans="1:81" x14ac:dyDescent="0.3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H453" t="s">
        <v>119</v>
      </c>
      <c r="I453" t="s">
        <v>194</v>
      </c>
      <c r="J453" t="s">
        <v>85</v>
      </c>
      <c r="K453" t="s">
        <v>86</v>
      </c>
      <c r="L453" t="s">
        <v>193</v>
      </c>
      <c r="M453" t="s">
        <v>204</v>
      </c>
      <c r="N453" t="s">
        <v>89</v>
      </c>
      <c r="O453" t="s">
        <v>89</v>
      </c>
      <c r="P453" t="s">
        <v>90</v>
      </c>
      <c r="Q453" t="s">
        <v>114</v>
      </c>
      <c r="R453">
        <v>7</v>
      </c>
      <c r="S453">
        <v>5</v>
      </c>
      <c r="T453">
        <v>1975</v>
      </c>
      <c r="U453">
        <v>1975</v>
      </c>
      <c r="V453" t="s">
        <v>92</v>
      </c>
      <c r="W453" t="s">
        <v>195</v>
      </c>
      <c r="X453" t="s">
        <v>160</v>
      </c>
      <c r="Y453" t="s">
        <v>160</v>
      </c>
      <c r="Z453" t="s">
        <v>116</v>
      </c>
      <c r="AA453">
        <v>0</v>
      </c>
      <c r="AB453" t="s">
        <v>97</v>
      </c>
      <c r="AC453" t="s">
        <v>97</v>
      </c>
      <c r="AD453" t="s">
        <v>117</v>
      </c>
      <c r="AE453" t="s">
        <v>96</v>
      </c>
      <c r="AF453" t="s">
        <v>97</v>
      </c>
      <c r="AG453" t="s">
        <v>96</v>
      </c>
      <c r="AH453" t="s">
        <v>118</v>
      </c>
      <c r="AI453">
        <v>655</v>
      </c>
      <c r="AJ453" t="s">
        <v>101</v>
      </c>
      <c r="AK453">
        <v>0</v>
      </c>
      <c r="AL453">
        <v>878</v>
      </c>
      <c r="AM453">
        <v>1533</v>
      </c>
      <c r="AN453" t="s">
        <v>102</v>
      </c>
      <c r="AO453" t="s">
        <v>97</v>
      </c>
      <c r="AP453" t="s">
        <v>104</v>
      </c>
      <c r="AQ453" t="s">
        <v>105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96</v>
      </c>
      <c r="BC453">
        <v>5</v>
      </c>
      <c r="BD453" t="s">
        <v>106</v>
      </c>
      <c r="BE453">
        <v>2</v>
      </c>
      <c r="BF453" t="s">
        <v>97</v>
      </c>
      <c r="BG453" t="s">
        <v>107</v>
      </c>
      <c r="BH453">
        <v>1975</v>
      </c>
      <c r="BI453" t="s">
        <v>101</v>
      </c>
      <c r="BJ453">
        <v>2</v>
      </c>
      <c r="BK453">
        <v>576</v>
      </c>
      <c r="BL453" t="s">
        <v>97</v>
      </c>
      <c r="BM453" t="s">
        <v>97</v>
      </c>
      <c r="BN453" t="s">
        <v>104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X453">
        <v>0</v>
      </c>
      <c r="BY453">
        <v>12</v>
      </c>
      <c r="BZ453">
        <v>2006</v>
      </c>
      <c r="CA453" t="s">
        <v>109</v>
      </c>
      <c r="CB453" t="s">
        <v>110</v>
      </c>
      <c r="CC453">
        <v>280000</v>
      </c>
    </row>
    <row r="454" spans="1:81" x14ac:dyDescent="0.3">
      <c r="A454">
        <v>453</v>
      </c>
      <c r="B454">
        <v>60</v>
      </c>
      <c r="C454" t="s">
        <v>81</v>
      </c>
      <c r="E454">
        <v>9303</v>
      </c>
      <c r="F454" t="s">
        <v>82</v>
      </c>
      <c r="H454" t="s">
        <v>119</v>
      </c>
      <c r="I454" t="s">
        <v>84</v>
      </c>
      <c r="J454" t="s">
        <v>85</v>
      </c>
      <c r="K454" t="s">
        <v>121</v>
      </c>
      <c r="L454" t="s">
        <v>87</v>
      </c>
      <c r="M454" t="s">
        <v>188</v>
      </c>
      <c r="N454" t="s">
        <v>89</v>
      </c>
      <c r="O454" t="s">
        <v>89</v>
      </c>
      <c r="P454" t="s">
        <v>90</v>
      </c>
      <c r="Q454" t="s">
        <v>91</v>
      </c>
      <c r="R454">
        <v>6</v>
      </c>
      <c r="S454">
        <v>5</v>
      </c>
      <c r="T454">
        <v>1996</v>
      </c>
      <c r="U454">
        <v>1997</v>
      </c>
      <c r="V454" t="s">
        <v>151</v>
      </c>
      <c r="W454" t="s">
        <v>93</v>
      </c>
      <c r="X454" t="s">
        <v>94</v>
      </c>
      <c r="Y454" t="s">
        <v>94</v>
      </c>
      <c r="Z454" t="s">
        <v>95</v>
      </c>
      <c r="AA454">
        <v>42</v>
      </c>
      <c r="AB454" t="s">
        <v>96</v>
      </c>
      <c r="AC454" t="s">
        <v>97</v>
      </c>
      <c r="AD454" t="s">
        <v>98</v>
      </c>
      <c r="AE454" t="s">
        <v>103</v>
      </c>
      <c r="AF454" t="s">
        <v>97</v>
      </c>
      <c r="AG454" t="s">
        <v>99</v>
      </c>
      <c r="AH454" t="s">
        <v>118</v>
      </c>
      <c r="AI454">
        <v>742</v>
      </c>
      <c r="AJ454" t="s">
        <v>101</v>
      </c>
      <c r="AK454">
        <v>0</v>
      </c>
      <c r="AL454">
        <v>130</v>
      </c>
      <c r="AM454">
        <v>872</v>
      </c>
      <c r="AN454" t="s">
        <v>102</v>
      </c>
      <c r="AO454" t="s">
        <v>103</v>
      </c>
      <c r="AP454" t="s">
        <v>104</v>
      </c>
      <c r="AQ454" t="s">
        <v>105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97</v>
      </c>
      <c r="BC454">
        <v>7</v>
      </c>
      <c r="BD454" t="s">
        <v>106</v>
      </c>
      <c r="BE454">
        <v>0</v>
      </c>
      <c r="BG454" t="s">
        <v>107</v>
      </c>
      <c r="BH454">
        <v>1996</v>
      </c>
      <c r="BI454" t="s">
        <v>156</v>
      </c>
      <c r="BJ454">
        <v>2</v>
      </c>
      <c r="BK454">
        <v>422</v>
      </c>
      <c r="BL454" t="s">
        <v>97</v>
      </c>
      <c r="BM454" t="s">
        <v>97</v>
      </c>
      <c r="BN454" t="s">
        <v>104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X454">
        <v>0</v>
      </c>
      <c r="BY454">
        <v>7</v>
      </c>
      <c r="BZ454">
        <v>2007</v>
      </c>
      <c r="CA454" t="s">
        <v>109</v>
      </c>
      <c r="CB454" t="s">
        <v>110</v>
      </c>
      <c r="CC454">
        <v>204000</v>
      </c>
    </row>
    <row r="455" spans="1:81" x14ac:dyDescent="0.3">
      <c r="A455">
        <v>454</v>
      </c>
      <c r="B455">
        <v>60</v>
      </c>
      <c r="C455" t="s">
        <v>191</v>
      </c>
      <c r="D455">
        <v>75</v>
      </c>
      <c r="E455">
        <v>9000</v>
      </c>
      <c r="F455" t="s">
        <v>82</v>
      </c>
      <c r="H455" t="s">
        <v>83</v>
      </c>
      <c r="I455" t="s">
        <v>84</v>
      </c>
      <c r="J455" t="s">
        <v>85</v>
      </c>
      <c r="K455" t="s">
        <v>86</v>
      </c>
      <c r="L455" t="s">
        <v>87</v>
      </c>
      <c r="M455" t="s">
        <v>135</v>
      </c>
      <c r="N455" t="s">
        <v>89</v>
      </c>
      <c r="O455" t="s">
        <v>89</v>
      </c>
      <c r="P455" t="s">
        <v>90</v>
      </c>
      <c r="Q455" t="s">
        <v>91</v>
      </c>
      <c r="R455">
        <v>8</v>
      </c>
      <c r="S455">
        <v>5</v>
      </c>
      <c r="T455">
        <v>2008</v>
      </c>
      <c r="U455">
        <v>2008</v>
      </c>
      <c r="V455" t="s">
        <v>92</v>
      </c>
      <c r="W455" t="s">
        <v>93</v>
      </c>
      <c r="X455" t="s">
        <v>94</v>
      </c>
      <c r="Y455" t="s">
        <v>94</v>
      </c>
      <c r="Z455" t="s">
        <v>116</v>
      </c>
      <c r="AA455">
        <v>0</v>
      </c>
      <c r="AB455" t="s">
        <v>96</v>
      </c>
      <c r="AC455" t="s">
        <v>97</v>
      </c>
      <c r="AD455" t="s">
        <v>98</v>
      </c>
      <c r="AE455" t="s">
        <v>96</v>
      </c>
      <c r="AF455" t="s">
        <v>97</v>
      </c>
      <c r="AG455" t="s">
        <v>99</v>
      </c>
      <c r="AH455" t="s">
        <v>101</v>
      </c>
      <c r="AI455">
        <v>0</v>
      </c>
      <c r="AJ455" t="s">
        <v>101</v>
      </c>
      <c r="AK455">
        <v>0</v>
      </c>
      <c r="AL455">
        <v>768</v>
      </c>
      <c r="AM455">
        <v>768</v>
      </c>
      <c r="AN455" t="s">
        <v>102</v>
      </c>
      <c r="AO455" t="s">
        <v>103</v>
      </c>
      <c r="AP455" t="s">
        <v>104</v>
      </c>
      <c r="AQ455" t="s">
        <v>105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96</v>
      </c>
      <c r="BC455">
        <v>6</v>
      </c>
      <c r="BD455" t="s">
        <v>106</v>
      </c>
      <c r="BE455">
        <v>0</v>
      </c>
      <c r="BG455" t="s">
        <v>107</v>
      </c>
      <c r="BH455">
        <v>2008</v>
      </c>
      <c r="BI455" t="s">
        <v>108</v>
      </c>
      <c r="BJ455">
        <v>2</v>
      </c>
      <c r="BK455">
        <v>676</v>
      </c>
      <c r="BL455" t="s">
        <v>97</v>
      </c>
      <c r="BM455" t="s">
        <v>97</v>
      </c>
      <c r="BN455" t="s">
        <v>104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X455">
        <v>0</v>
      </c>
      <c r="BY455">
        <v>6</v>
      </c>
      <c r="BZ455">
        <v>2009</v>
      </c>
      <c r="CA455" t="s">
        <v>109</v>
      </c>
      <c r="CB455" t="s">
        <v>110</v>
      </c>
      <c r="CC455">
        <v>210000</v>
      </c>
    </row>
    <row r="456" spans="1:81" x14ac:dyDescent="0.3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H456" t="s">
        <v>83</v>
      </c>
      <c r="I456" t="s">
        <v>84</v>
      </c>
      <c r="J456" t="s">
        <v>85</v>
      </c>
      <c r="K456" t="s">
        <v>86</v>
      </c>
      <c r="L456" t="s">
        <v>87</v>
      </c>
      <c r="M456" t="s">
        <v>130</v>
      </c>
      <c r="N456" t="s">
        <v>89</v>
      </c>
      <c r="O456" t="s">
        <v>89</v>
      </c>
      <c r="P456" t="s">
        <v>166</v>
      </c>
      <c r="Q456" t="s">
        <v>114</v>
      </c>
      <c r="R456">
        <v>5</v>
      </c>
      <c r="S456">
        <v>5</v>
      </c>
      <c r="T456">
        <v>1976</v>
      </c>
      <c r="U456">
        <v>1976</v>
      </c>
      <c r="V456" t="s">
        <v>92</v>
      </c>
      <c r="W456" t="s">
        <v>93</v>
      </c>
      <c r="X456" t="s">
        <v>160</v>
      </c>
      <c r="Y456" t="s">
        <v>160</v>
      </c>
      <c r="Z456" t="s">
        <v>116</v>
      </c>
      <c r="AA456">
        <v>0</v>
      </c>
      <c r="AB456" t="s">
        <v>97</v>
      </c>
      <c r="AC456" t="s">
        <v>97</v>
      </c>
      <c r="AD456" t="s">
        <v>117</v>
      </c>
      <c r="AE456" t="s">
        <v>97</v>
      </c>
      <c r="AF456" t="s">
        <v>97</v>
      </c>
      <c r="AG456" t="s">
        <v>99</v>
      </c>
      <c r="AH456" t="s">
        <v>118</v>
      </c>
      <c r="AI456">
        <v>1606</v>
      </c>
      <c r="AJ456" t="s">
        <v>101</v>
      </c>
      <c r="AK456">
        <v>0</v>
      </c>
      <c r="AL456">
        <v>122</v>
      </c>
      <c r="AM456">
        <v>1728</v>
      </c>
      <c r="AN456" t="s">
        <v>102</v>
      </c>
      <c r="AO456" t="s">
        <v>97</v>
      </c>
      <c r="AP456" t="s">
        <v>104</v>
      </c>
      <c r="AQ456" t="s">
        <v>105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97</v>
      </c>
      <c r="BC456">
        <v>8</v>
      </c>
      <c r="BD456" t="s">
        <v>106</v>
      </c>
      <c r="BE456">
        <v>0</v>
      </c>
      <c r="BG456" t="s">
        <v>126</v>
      </c>
      <c r="BH456">
        <v>1976</v>
      </c>
      <c r="BI456" t="s">
        <v>101</v>
      </c>
      <c r="BJ456">
        <v>2</v>
      </c>
      <c r="BK456">
        <v>560</v>
      </c>
      <c r="BL456" t="s">
        <v>97</v>
      </c>
      <c r="BM456" t="s">
        <v>97</v>
      </c>
      <c r="BN456" t="s">
        <v>104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X456">
        <v>0</v>
      </c>
      <c r="BY456">
        <v>7</v>
      </c>
      <c r="BZ456">
        <v>2006</v>
      </c>
      <c r="CA456" t="s">
        <v>109</v>
      </c>
      <c r="CB456" t="s">
        <v>218</v>
      </c>
      <c r="CC456">
        <v>188000</v>
      </c>
    </row>
    <row r="457" spans="1:81" x14ac:dyDescent="0.3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H457" t="s">
        <v>83</v>
      </c>
      <c r="I457" t="s">
        <v>84</v>
      </c>
      <c r="J457" t="s">
        <v>85</v>
      </c>
      <c r="K457" t="s">
        <v>86</v>
      </c>
      <c r="L457" t="s">
        <v>87</v>
      </c>
      <c r="M457" t="s">
        <v>137</v>
      </c>
      <c r="N457" t="s">
        <v>89</v>
      </c>
      <c r="O457" t="s">
        <v>89</v>
      </c>
      <c r="P457" t="s">
        <v>90</v>
      </c>
      <c r="Q457" t="s">
        <v>114</v>
      </c>
      <c r="R457">
        <v>7</v>
      </c>
      <c r="S457">
        <v>6</v>
      </c>
      <c r="T457">
        <v>1973</v>
      </c>
      <c r="U457">
        <v>1973</v>
      </c>
      <c r="V457" t="s">
        <v>151</v>
      </c>
      <c r="W457" t="s">
        <v>93</v>
      </c>
      <c r="X457" t="s">
        <v>139</v>
      </c>
      <c r="Y457" t="s">
        <v>139</v>
      </c>
      <c r="Z457" t="s">
        <v>95</v>
      </c>
      <c r="AA457">
        <v>320</v>
      </c>
      <c r="AB457" t="s">
        <v>97</v>
      </c>
      <c r="AC457" t="s">
        <v>97</v>
      </c>
      <c r="AD457" t="s">
        <v>117</v>
      </c>
      <c r="AE457" t="s">
        <v>97</v>
      </c>
      <c r="AF457" t="s">
        <v>97</v>
      </c>
      <c r="AG457" t="s">
        <v>99</v>
      </c>
      <c r="AH457" t="s">
        <v>118</v>
      </c>
      <c r="AI457">
        <v>916</v>
      </c>
      <c r="AJ457" t="s">
        <v>101</v>
      </c>
      <c r="AK457">
        <v>0</v>
      </c>
      <c r="AL457">
        <v>326</v>
      </c>
      <c r="AM457">
        <v>1242</v>
      </c>
      <c r="AN457" t="s">
        <v>102</v>
      </c>
      <c r="AO457" t="s">
        <v>146</v>
      </c>
      <c r="AP457" t="s">
        <v>104</v>
      </c>
      <c r="AQ457" t="s">
        <v>105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97</v>
      </c>
      <c r="BC457">
        <v>6</v>
      </c>
      <c r="BD457" t="s">
        <v>106</v>
      </c>
      <c r="BE457">
        <v>1</v>
      </c>
      <c r="BF457" t="s">
        <v>97</v>
      </c>
      <c r="BG457" t="s">
        <v>107</v>
      </c>
      <c r="BH457">
        <v>1973</v>
      </c>
      <c r="BI457" t="s">
        <v>101</v>
      </c>
      <c r="BJ457">
        <v>2</v>
      </c>
      <c r="BK457">
        <v>528</v>
      </c>
      <c r="BL457" t="s">
        <v>97</v>
      </c>
      <c r="BM457" t="s">
        <v>97</v>
      </c>
      <c r="BN457" t="s">
        <v>104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X457">
        <v>0</v>
      </c>
      <c r="BY457">
        <v>9</v>
      </c>
      <c r="BZ457">
        <v>2007</v>
      </c>
      <c r="CA457" t="s">
        <v>109</v>
      </c>
      <c r="CB457" t="s">
        <v>110</v>
      </c>
      <c r="CC457">
        <v>175500</v>
      </c>
    </row>
    <row r="458" spans="1:81" x14ac:dyDescent="0.3">
      <c r="A458">
        <v>457</v>
      </c>
      <c r="B458">
        <v>70</v>
      </c>
      <c r="C458" t="s">
        <v>141</v>
      </c>
      <c r="D458">
        <v>34</v>
      </c>
      <c r="E458">
        <v>4571</v>
      </c>
      <c r="F458" t="s">
        <v>82</v>
      </c>
      <c r="G458" t="s">
        <v>173</v>
      </c>
      <c r="H458" t="s">
        <v>83</v>
      </c>
      <c r="I458" t="s">
        <v>84</v>
      </c>
      <c r="J458" t="s">
        <v>85</v>
      </c>
      <c r="K458" t="s">
        <v>86</v>
      </c>
      <c r="L458" t="s">
        <v>87</v>
      </c>
      <c r="M458" t="s">
        <v>142</v>
      </c>
      <c r="N458" t="s">
        <v>89</v>
      </c>
      <c r="O458" t="s">
        <v>89</v>
      </c>
      <c r="P458" t="s">
        <v>90</v>
      </c>
      <c r="Q458" t="s">
        <v>91</v>
      </c>
      <c r="R458">
        <v>5</v>
      </c>
      <c r="S458">
        <v>5</v>
      </c>
      <c r="T458">
        <v>1916</v>
      </c>
      <c r="U458">
        <v>1950</v>
      </c>
      <c r="V458" t="s">
        <v>92</v>
      </c>
      <c r="W458" t="s">
        <v>93</v>
      </c>
      <c r="X458" t="s">
        <v>185</v>
      </c>
      <c r="Y458" t="s">
        <v>185</v>
      </c>
      <c r="Z458" t="s">
        <v>116</v>
      </c>
      <c r="AA458">
        <v>0</v>
      </c>
      <c r="AB458" t="s">
        <v>97</v>
      </c>
      <c r="AC458" t="s">
        <v>97</v>
      </c>
      <c r="AD458" t="s">
        <v>125</v>
      </c>
      <c r="AE458" t="s">
        <v>97</v>
      </c>
      <c r="AF458" t="s">
        <v>97</v>
      </c>
      <c r="AG458" t="s">
        <v>99</v>
      </c>
      <c r="AH458" t="s">
        <v>101</v>
      </c>
      <c r="AI458">
        <v>0</v>
      </c>
      <c r="AJ458" t="s">
        <v>101</v>
      </c>
      <c r="AK458">
        <v>0</v>
      </c>
      <c r="AL458">
        <v>624</v>
      </c>
      <c r="AM458">
        <v>624</v>
      </c>
      <c r="AN458" t="s">
        <v>102</v>
      </c>
      <c r="AO458" t="s">
        <v>146</v>
      </c>
      <c r="AP458" t="s">
        <v>176</v>
      </c>
      <c r="AQ458" t="s">
        <v>105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97</v>
      </c>
      <c r="BC458">
        <v>7</v>
      </c>
      <c r="BD458" t="s">
        <v>106</v>
      </c>
      <c r="BE458">
        <v>0</v>
      </c>
      <c r="BG458" t="s">
        <v>126</v>
      </c>
      <c r="BH458">
        <v>1916</v>
      </c>
      <c r="BI458" t="s">
        <v>101</v>
      </c>
      <c r="BJ458">
        <v>3</v>
      </c>
      <c r="BK458">
        <v>513</v>
      </c>
      <c r="BL458" t="s">
        <v>146</v>
      </c>
      <c r="BM458" t="s">
        <v>146</v>
      </c>
      <c r="BN458" t="s">
        <v>104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X458">
        <v>0</v>
      </c>
      <c r="BY458">
        <v>5</v>
      </c>
      <c r="BZ458">
        <v>2008</v>
      </c>
      <c r="CA458" t="s">
        <v>172</v>
      </c>
      <c r="CB458" t="s">
        <v>127</v>
      </c>
      <c r="CC458">
        <v>98000</v>
      </c>
    </row>
    <row r="459" spans="1:81" x14ac:dyDescent="0.3">
      <c r="A459">
        <v>458</v>
      </c>
      <c r="B459">
        <v>20</v>
      </c>
      <c r="C459" t="s">
        <v>81</v>
      </c>
      <c r="E459">
        <v>53227</v>
      </c>
      <c r="F459" t="s">
        <v>82</v>
      </c>
      <c r="H459" t="s">
        <v>119</v>
      </c>
      <c r="I459" t="s">
        <v>194</v>
      </c>
      <c r="J459" t="s">
        <v>85</v>
      </c>
      <c r="K459" t="s">
        <v>165</v>
      </c>
      <c r="L459" t="s">
        <v>193</v>
      </c>
      <c r="M459" t="s">
        <v>204</v>
      </c>
      <c r="N459" t="s">
        <v>89</v>
      </c>
      <c r="O459" t="s">
        <v>89</v>
      </c>
      <c r="P459" t="s">
        <v>90</v>
      </c>
      <c r="Q459" t="s">
        <v>114</v>
      </c>
      <c r="R459">
        <v>4</v>
      </c>
      <c r="S459">
        <v>6</v>
      </c>
      <c r="T459">
        <v>1954</v>
      </c>
      <c r="U459">
        <v>1994</v>
      </c>
      <c r="V459" t="s">
        <v>213</v>
      </c>
      <c r="W459" t="s">
        <v>241</v>
      </c>
      <c r="X459" t="s">
        <v>160</v>
      </c>
      <c r="Y459" t="s">
        <v>160</v>
      </c>
      <c r="Z459" t="s">
        <v>116</v>
      </c>
      <c r="AA459">
        <v>0</v>
      </c>
      <c r="AB459" t="s">
        <v>97</v>
      </c>
      <c r="AC459" t="s">
        <v>97</v>
      </c>
      <c r="AD459" t="s">
        <v>117</v>
      </c>
      <c r="AE459" t="s">
        <v>96</v>
      </c>
      <c r="AF459" t="s">
        <v>97</v>
      </c>
      <c r="AG459" t="s">
        <v>96</v>
      </c>
      <c r="AH459" t="s">
        <v>140</v>
      </c>
      <c r="AI459">
        <v>1116</v>
      </c>
      <c r="AJ459" t="s">
        <v>101</v>
      </c>
      <c r="AK459">
        <v>0</v>
      </c>
      <c r="AL459">
        <v>248</v>
      </c>
      <c r="AM459">
        <v>1364</v>
      </c>
      <c r="AN459" t="s">
        <v>102</v>
      </c>
      <c r="AO459" t="s">
        <v>103</v>
      </c>
      <c r="AP459" t="s">
        <v>104</v>
      </c>
      <c r="AQ459" t="s">
        <v>105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96</v>
      </c>
      <c r="BC459">
        <v>6</v>
      </c>
      <c r="BD459" t="s">
        <v>145</v>
      </c>
      <c r="BE459">
        <v>2</v>
      </c>
      <c r="BF459" t="s">
        <v>96</v>
      </c>
      <c r="BG459" t="s">
        <v>107</v>
      </c>
      <c r="BH459">
        <v>1954</v>
      </c>
      <c r="BI459" t="s">
        <v>156</v>
      </c>
      <c r="BJ459">
        <v>2</v>
      </c>
      <c r="BK459">
        <v>529</v>
      </c>
      <c r="BL459" t="s">
        <v>97</v>
      </c>
      <c r="BM459" t="s">
        <v>97</v>
      </c>
      <c r="BN459" t="s">
        <v>104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X459">
        <v>0</v>
      </c>
      <c r="BY459">
        <v>3</v>
      </c>
      <c r="BZ459">
        <v>2008</v>
      </c>
      <c r="CA459" t="s">
        <v>109</v>
      </c>
      <c r="CB459" t="s">
        <v>110</v>
      </c>
      <c r="CC459">
        <v>256000</v>
      </c>
    </row>
    <row r="460" spans="1:81" x14ac:dyDescent="0.3">
      <c r="A460">
        <v>459</v>
      </c>
      <c r="B460">
        <v>70</v>
      </c>
      <c r="C460" t="s">
        <v>141</v>
      </c>
      <c r="E460">
        <v>5100</v>
      </c>
      <c r="F460" t="s">
        <v>82</v>
      </c>
      <c r="G460" t="s">
        <v>173</v>
      </c>
      <c r="H460" t="s">
        <v>83</v>
      </c>
      <c r="I460" t="s">
        <v>84</v>
      </c>
      <c r="J460" t="s">
        <v>85</v>
      </c>
      <c r="K460" t="s">
        <v>86</v>
      </c>
      <c r="L460" t="s">
        <v>87</v>
      </c>
      <c r="M460" t="s">
        <v>142</v>
      </c>
      <c r="N460" t="s">
        <v>89</v>
      </c>
      <c r="O460" t="s">
        <v>89</v>
      </c>
      <c r="P460" t="s">
        <v>90</v>
      </c>
      <c r="Q460" t="s">
        <v>91</v>
      </c>
      <c r="R460">
        <v>8</v>
      </c>
      <c r="S460">
        <v>7</v>
      </c>
      <c r="T460">
        <v>1925</v>
      </c>
      <c r="U460">
        <v>1996</v>
      </c>
      <c r="V460" t="s">
        <v>151</v>
      </c>
      <c r="W460" t="s">
        <v>93</v>
      </c>
      <c r="X460" t="s">
        <v>202</v>
      </c>
      <c r="Y460" t="s">
        <v>124</v>
      </c>
      <c r="Z460" t="s">
        <v>116</v>
      </c>
      <c r="AA460">
        <v>0</v>
      </c>
      <c r="AB460" t="s">
        <v>97</v>
      </c>
      <c r="AC460" t="s">
        <v>96</v>
      </c>
      <c r="AD460" t="s">
        <v>98</v>
      </c>
      <c r="AE460" t="s">
        <v>97</v>
      </c>
      <c r="AF460" t="s">
        <v>97</v>
      </c>
      <c r="AG460" t="s">
        <v>99</v>
      </c>
      <c r="AH460" t="s">
        <v>101</v>
      </c>
      <c r="AI460">
        <v>0</v>
      </c>
      <c r="AJ460" t="s">
        <v>101</v>
      </c>
      <c r="AK460">
        <v>0</v>
      </c>
      <c r="AL460">
        <v>588</v>
      </c>
      <c r="AM460">
        <v>588</v>
      </c>
      <c r="AN460" t="s">
        <v>102</v>
      </c>
      <c r="AO460" t="s">
        <v>146</v>
      </c>
      <c r="AP460" t="s">
        <v>104</v>
      </c>
      <c r="AQ460" t="s">
        <v>105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96</v>
      </c>
      <c r="BC460">
        <v>7</v>
      </c>
      <c r="BD460" t="s">
        <v>106</v>
      </c>
      <c r="BE460">
        <v>1</v>
      </c>
      <c r="BF460" t="s">
        <v>96</v>
      </c>
      <c r="BG460" t="s">
        <v>126</v>
      </c>
      <c r="BH460">
        <v>1925</v>
      </c>
      <c r="BI460" t="s">
        <v>101</v>
      </c>
      <c r="BJ460">
        <v>1</v>
      </c>
      <c r="BK460">
        <v>228</v>
      </c>
      <c r="BL460" t="s">
        <v>97</v>
      </c>
      <c r="BM460" t="s">
        <v>97</v>
      </c>
      <c r="BN460" t="s">
        <v>104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V460" t="s">
        <v>133</v>
      </c>
      <c r="BX460">
        <v>0</v>
      </c>
      <c r="BY460">
        <v>6</v>
      </c>
      <c r="BZ460">
        <v>2008</v>
      </c>
      <c r="CA460" t="s">
        <v>109</v>
      </c>
      <c r="CB460" t="s">
        <v>110</v>
      </c>
      <c r="CC460">
        <v>161000</v>
      </c>
    </row>
    <row r="461" spans="1:81" x14ac:dyDescent="0.3">
      <c r="A461">
        <v>460</v>
      </c>
      <c r="B461">
        <v>50</v>
      </c>
      <c r="C461" t="s">
        <v>81</v>
      </c>
      <c r="E461">
        <v>7015</v>
      </c>
      <c r="F461" t="s">
        <v>82</v>
      </c>
      <c r="H461" t="s">
        <v>119</v>
      </c>
      <c r="I461" t="s">
        <v>174</v>
      </c>
      <c r="J461" t="s">
        <v>85</v>
      </c>
      <c r="K461" t="s">
        <v>121</v>
      </c>
      <c r="L461" t="s">
        <v>87</v>
      </c>
      <c r="M461" t="s">
        <v>147</v>
      </c>
      <c r="N461" t="s">
        <v>89</v>
      </c>
      <c r="O461" t="s">
        <v>89</v>
      </c>
      <c r="P461" t="s">
        <v>90</v>
      </c>
      <c r="Q461" t="s">
        <v>131</v>
      </c>
      <c r="R461">
        <v>5</v>
      </c>
      <c r="S461">
        <v>4</v>
      </c>
      <c r="T461">
        <v>1950</v>
      </c>
      <c r="U461">
        <v>1950</v>
      </c>
      <c r="V461" t="s">
        <v>92</v>
      </c>
      <c r="W461" t="s">
        <v>93</v>
      </c>
      <c r="X461" t="s">
        <v>115</v>
      </c>
      <c r="Y461" t="s">
        <v>115</v>
      </c>
      <c r="Z461" t="s">
        <v>206</v>
      </c>
      <c r="AA461">
        <v>161</v>
      </c>
      <c r="AB461" t="s">
        <v>97</v>
      </c>
      <c r="AC461" t="s">
        <v>97</v>
      </c>
      <c r="AD461" t="s">
        <v>117</v>
      </c>
      <c r="AE461" t="s">
        <v>97</v>
      </c>
      <c r="AF461" t="s">
        <v>97</v>
      </c>
      <c r="AG461" t="s">
        <v>99</v>
      </c>
      <c r="AH461" t="s">
        <v>171</v>
      </c>
      <c r="AI461">
        <v>185</v>
      </c>
      <c r="AJ461" t="s">
        <v>101</v>
      </c>
      <c r="AK461">
        <v>0</v>
      </c>
      <c r="AL461">
        <v>524</v>
      </c>
      <c r="AM461">
        <v>709</v>
      </c>
      <c r="AN461" t="s">
        <v>102</v>
      </c>
      <c r="AO461" t="s">
        <v>97</v>
      </c>
      <c r="AP461" t="s">
        <v>104</v>
      </c>
      <c r="AQ461" t="s">
        <v>105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96</v>
      </c>
      <c r="BC461">
        <v>5</v>
      </c>
      <c r="BD461" t="s">
        <v>106</v>
      </c>
      <c r="BE461">
        <v>1</v>
      </c>
      <c r="BF461" t="s">
        <v>97</v>
      </c>
      <c r="BG461" t="s">
        <v>126</v>
      </c>
      <c r="BH461">
        <v>1950</v>
      </c>
      <c r="BI461" t="s">
        <v>101</v>
      </c>
      <c r="BJ461">
        <v>1</v>
      </c>
      <c r="BK461">
        <v>352</v>
      </c>
      <c r="BL461" t="s">
        <v>97</v>
      </c>
      <c r="BM461" t="s">
        <v>97</v>
      </c>
      <c r="BN461" t="s">
        <v>104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X461">
        <v>0</v>
      </c>
      <c r="BY461">
        <v>7</v>
      </c>
      <c r="BZ461">
        <v>2009</v>
      </c>
      <c r="CA461" t="s">
        <v>109</v>
      </c>
      <c r="CB461" t="s">
        <v>110</v>
      </c>
      <c r="CC461">
        <v>110000</v>
      </c>
    </row>
    <row r="462" spans="1:81" x14ac:dyDescent="0.3">
      <c r="A462">
        <v>461</v>
      </c>
      <c r="B462">
        <v>60</v>
      </c>
      <c r="C462" t="s">
        <v>191</v>
      </c>
      <c r="D462">
        <v>75</v>
      </c>
      <c r="E462">
        <v>8004</v>
      </c>
      <c r="F462" t="s">
        <v>82</v>
      </c>
      <c r="H462" t="s">
        <v>119</v>
      </c>
      <c r="I462" t="s">
        <v>84</v>
      </c>
      <c r="J462" t="s">
        <v>85</v>
      </c>
      <c r="K462" t="s">
        <v>86</v>
      </c>
      <c r="L462" t="s">
        <v>87</v>
      </c>
      <c r="M462" t="s">
        <v>135</v>
      </c>
      <c r="N462" t="s">
        <v>201</v>
      </c>
      <c r="O462" t="s">
        <v>89</v>
      </c>
      <c r="P462" t="s">
        <v>90</v>
      </c>
      <c r="Q462" t="s">
        <v>91</v>
      </c>
      <c r="R462">
        <v>8</v>
      </c>
      <c r="S462">
        <v>5</v>
      </c>
      <c r="T462">
        <v>2009</v>
      </c>
      <c r="U462">
        <v>2009</v>
      </c>
      <c r="V462" t="s">
        <v>92</v>
      </c>
      <c r="W462" t="s">
        <v>93</v>
      </c>
      <c r="X462" t="s">
        <v>94</v>
      </c>
      <c r="Y462" t="s">
        <v>94</v>
      </c>
      <c r="Z462" t="s">
        <v>136</v>
      </c>
      <c r="AA462">
        <v>110</v>
      </c>
      <c r="AB462" t="s">
        <v>96</v>
      </c>
      <c r="AC462" t="s">
        <v>97</v>
      </c>
      <c r="AD462" t="s">
        <v>98</v>
      </c>
      <c r="AE462" t="s">
        <v>96</v>
      </c>
      <c r="AF462" t="s">
        <v>97</v>
      </c>
      <c r="AG462" t="s">
        <v>99</v>
      </c>
      <c r="AH462" t="s">
        <v>100</v>
      </c>
      <c r="AI462">
        <v>544</v>
      </c>
      <c r="AJ462" t="s">
        <v>101</v>
      </c>
      <c r="AK462">
        <v>0</v>
      </c>
      <c r="AL462">
        <v>288</v>
      </c>
      <c r="AM462">
        <v>832</v>
      </c>
      <c r="AN462" t="s">
        <v>102</v>
      </c>
      <c r="AO462" t="s">
        <v>103</v>
      </c>
      <c r="AP462" t="s">
        <v>104</v>
      </c>
      <c r="AQ462" t="s">
        <v>105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97</v>
      </c>
      <c r="BC462">
        <v>8</v>
      </c>
      <c r="BD462" t="s">
        <v>106</v>
      </c>
      <c r="BE462">
        <v>0</v>
      </c>
      <c r="BG462" t="s">
        <v>155</v>
      </c>
      <c r="BH462">
        <v>2009</v>
      </c>
      <c r="BI462" t="s">
        <v>156</v>
      </c>
      <c r="BJ462">
        <v>2</v>
      </c>
      <c r="BK462">
        <v>552</v>
      </c>
      <c r="BL462" t="s">
        <v>97</v>
      </c>
      <c r="BM462" t="s">
        <v>97</v>
      </c>
      <c r="BN462" t="s">
        <v>104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X462">
        <v>0</v>
      </c>
      <c r="BY462">
        <v>12</v>
      </c>
      <c r="BZ462">
        <v>2009</v>
      </c>
      <c r="CA462" t="s">
        <v>157</v>
      </c>
      <c r="CB462" t="s">
        <v>158</v>
      </c>
      <c r="CC462">
        <v>263435</v>
      </c>
    </row>
    <row r="463" spans="1:81" x14ac:dyDescent="0.3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H463" t="s">
        <v>83</v>
      </c>
      <c r="I463" t="s">
        <v>84</v>
      </c>
      <c r="J463" t="s">
        <v>85</v>
      </c>
      <c r="K463" t="s">
        <v>86</v>
      </c>
      <c r="L463" t="s">
        <v>87</v>
      </c>
      <c r="M463" t="s">
        <v>231</v>
      </c>
      <c r="N463" t="s">
        <v>113</v>
      </c>
      <c r="O463" t="s">
        <v>89</v>
      </c>
      <c r="P463" t="s">
        <v>90</v>
      </c>
      <c r="Q463" t="s">
        <v>91</v>
      </c>
      <c r="R463">
        <v>7</v>
      </c>
      <c r="S463">
        <v>9</v>
      </c>
      <c r="T463">
        <v>1936</v>
      </c>
      <c r="U463">
        <v>2007</v>
      </c>
      <c r="V463" t="s">
        <v>92</v>
      </c>
      <c r="W463" t="s">
        <v>93</v>
      </c>
      <c r="X463" t="s">
        <v>123</v>
      </c>
      <c r="Y463" t="s">
        <v>123</v>
      </c>
      <c r="Z463" t="s">
        <v>116</v>
      </c>
      <c r="AA463">
        <v>0</v>
      </c>
      <c r="AB463" t="s">
        <v>96</v>
      </c>
      <c r="AC463" t="s">
        <v>96</v>
      </c>
      <c r="AD463" t="s">
        <v>98</v>
      </c>
      <c r="AE463" t="s">
        <v>96</v>
      </c>
      <c r="AF463" t="s">
        <v>96</v>
      </c>
      <c r="AG463" t="s">
        <v>99</v>
      </c>
      <c r="AH463" t="s">
        <v>118</v>
      </c>
      <c r="AI463">
        <v>350</v>
      </c>
      <c r="AJ463" t="s">
        <v>140</v>
      </c>
      <c r="AK463">
        <v>210</v>
      </c>
      <c r="AL463">
        <v>0</v>
      </c>
      <c r="AM463">
        <v>560</v>
      </c>
      <c r="AN463" t="s">
        <v>102</v>
      </c>
      <c r="AO463" t="s">
        <v>103</v>
      </c>
      <c r="AP463" t="s">
        <v>104</v>
      </c>
      <c r="AQ463" t="s">
        <v>105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96</v>
      </c>
      <c r="BC463">
        <v>6</v>
      </c>
      <c r="BD463" t="s">
        <v>106</v>
      </c>
      <c r="BE463">
        <v>0</v>
      </c>
      <c r="BG463" t="s">
        <v>126</v>
      </c>
      <c r="BH463">
        <v>1971</v>
      </c>
      <c r="BI463" t="s">
        <v>108</v>
      </c>
      <c r="BJ463">
        <v>2</v>
      </c>
      <c r="BK463">
        <v>576</v>
      </c>
      <c r="BL463" t="s">
        <v>97</v>
      </c>
      <c r="BM463" t="s">
        <v>97</v>
      </c>
      <c r="BN463" t="s">
        <v>104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V463" t="s">
        <v>133</v>
      </c>
      <c r="BX463">
        <v>0</v>
      </c>
      <c r="BY463">
        <v>4</v>
      </c>
      <c r="BZ463">
        <v>2009</v>
      </c>
      <c r="CA463" t="s">
        <v>109</v>
      </c>
      <c r="CB463" t="s">
        <v>110</v>
      </c>
      <c r="CC463">
        <v>155000</v>
      </c>
    </row>
    <row r="464" spans="1:81" x14ac:dyDescent="0.3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H464" t="s">
        <v>119</v>
      </c>
      <c r="I464" t="s">
        <v>84</v>
      </c>
      <c r="J464" t="s">
        <v>85</v>
      </c>
      <c r="K464" t="s">
        <v>86</v>
      </c>
      <c r="L464" t="s">
        <v>87</v>
      </c>
      <c r="M464" t="s">
        <v>150</v>
      </c>
      <c r="N464" t="s">
        <v>89</v>
      </c>
      <c r="O464" t="s">
        <v>89</v>
      </c>
      <c r="P464" t="s">
        <v>90</v>
      </c>
      <c r="Q464" t="s">
        <v>114</v>
      </c>
      <c r="R464">
        <v>5</v>
      </c>
      <c r="S464">
        <v>5</v>
      </c>
      <c r="T464">
        <v>1965</v>
      </c>
      <c r="U464">
        <v>1965</v>
      </c>
      <c r="V464" t="s">
        <v>92</v>
      </c>
      <c r="W464" t="s">
        <v>93</v>
      </c>
      <c r="X464" t="s">
        <v>115</v>
      </c>
      <c r="Y464" t="s">
        <v>115</v>
      </c>
      <c r="Z464" t="s">
        <v>116</v>
      </c>
      <c r="AA464">
        <v>0</v>
      </c>
      <c r="AB464" t="s">
        <v>97</v>
      </c>
      <c r="AC464" t="s">
        <v>97</v>
      </c>
      <c r="AD464" t="s">
        <v>117</v>
      </c>
      <c r="AE464" t="s">
        <v>97</v>
      </c>
      <c r="AF464" t="s">
        <v>97</v>
      </c>
      <c r="AG464" t="s">
        <v>99</v>
      </c>
      <c r="AH464" t="s">
        <v>152</v>
      </c>
      <c r="AI464">
        <v>553</v>
      </c>
      <c r="AJ464" t="s">
        <v>140</v>
      </c>
      <c r="AK464">
        <v>311</v>
      </c>
      <c r="AL464">
        <v>0</v>
      </c>
      <c r="AM464">
        <v>864</v>
      </c>
      <c r="AN464" t="s">
        <v>102</v>
      </c>
      <c r="AO464" t="s">
        <v>96</v>
      </c>
      <c r="AP464" t="s">
        <v>104</v>
      </c>
      <c r="AQ464" t="s">
        <v>105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97</v>
      </c>
      <c r="BC464">
        <v>5</v>
      </c>
      <c r="BD464" t="s">
        <v>106</v>
      </c>
      <c r="BE464">
        <v>1</v>
      </c>
      <c r="BF464" t="s">
        <v>211</v>
      </c>
      <c r="BG464" t="s">
        <v>126</v>
      </c>
      <c r="BH464">
        <v>1965</v>
      </c>
      <c r="BI464" t="s">
        <v>101</v>
      </c>
      <c r="BJ464">
        <v>1</v>
      </c>
      <c r="BK464">
        <v>360</v>
      </c>
      <c r="BL464" t="s">
        <v>97</v>
      </c>
      <c r="BM464" t="s">
        <v>97</v>
      </c>
      <c r="BN464" t="s">
        <v>104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V464" t="s">
        <v>162</v>
      </c>
      <c r="BX464">
        <v>0</v>
      </c>
      <c r="BY464">
        <v>12</v>
      </c>
      <c r="BZ464">
        <v>2009</v>
      </c>
      <c r="CA464" t="s">
        <v>109</v>
      </c>
      <c r="CB464" t="s">
        <v>110</v>
      </c>
      <c r="CC464">
        <v>62383</v>
      </c>
    </row>
    <row r="465" spans="1:81" x14ac:dyDescent="0.3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H465" t="s">
        <v>119</v>
      </c>
      <c r="I465" t="s">
        <v>198</v>
      </c>
      <c r="J465" t="s">
        <v>85</v>
      </c>
      <c r="K465" t="s">
        <v>86</v>
      </c>
      <c r="L465" t="s">
        <v>193</v>
      </c>
      <c r="M465" t="s">
        <v>122</v>
      </c>
      <c r="N465" t="s">
        <v>89</v>
      </c>
      <c r="O465" t="s">
        <v>89</v>
      </c>
      <c r="P465" t="s">
        <v>90</v>
      </c>
      <c r="Q465" t="s">
        <v>91</v>
      </c>
      <c r="R465">
        <v>6</v>
      </c>
      <c r="S465">
        <v>7</v>
      </c>
      <c r="T465">
        <v>1934</v>
      </c>
      <c r="U465">
        <v>1995</v>
      </c>
      <c r="V465" t="s">
        <v>151</v>
      </c>
      <c r="W465" t="s">
        <v>93</v>
      </c>
      <c r="X465" t="s">
        <v>202</v>
      </c>
      <c r="Y465" t="s">
        <v>202</v>
      </c>
      <c r="Z465" t="s">
        <v>116</v>
      </c>
      <c r="AA465">
        <v>0</v>
      </c>
      <c r="AB465" t="s">
        <v>97</v>
      </c>
      <c r="AC465" t="s">
        <v>97</v>
      </c>
      <c r="AD465" t="s">
        <v>117</v>
      </c>
      <c r="AE465" t="s">
        <v>97</v>
      </c>
      <c r="AF465" t="s">
        <v>97</v>
      </c>
      <c r="AG465" t="s">
        <v>99</v>
      </c>
      <c r="AH465" t="s">
        <v>171</v>
      </c>
      <c r="AI465">
        <v>326</v>
      </c>
      <c r="AJ465" t="s">
        <v>101</v>
      </c>
      <c r="AK465">
        <v>0</v>
      </c>
      <c r="AL465">
        <v>389</v>
      </c>
      <c r="AM465">
        <v>715</v>
      </c>
      <c r="AN465" t="s">
        <v>102</v>
      </c>
      <c r="AO465" t="s">
        <v>146</v>
      </c>
      <c r="AP465" t="s">
        <v>104</v>
      </c>
      <c r="AQ465" t="s">
        <v>163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97</v>
      </c>
      <c r="BC465">
        <v>6</v>
      </c>
      <c r="BD465" t="s">
        <v>106</v>
      </c>
      <c r="BE465">
        <v>1</v>
      </c>
      <c r="BF465" t="s">
        <v>96</v>
      </c>
      <c r="BG465" t="s">
        <v>126</v>
      </c>
      <c r="BH465">
        <v>1939</v>
      </c>
      <c r="BI465" t="s">
        <v>101</v>
      </c>
      <c r="BJ465">
        <v>1</v>
      </c>
      <c r="BK465">
        <v>240</v>
      </c>
      <c r="BL465" t="s">
        <v>97</v>
      </c>
      <c r="BM465" t="s">
        <v>97</v>
      </c>
      <c r="BN465" t="s">
        <v>104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X465">
        <v>0</v>
      </c>
      <c r="BY465">
        <v>8</v>
      </c>
      <c r="BZ465">
        <v>2008</v>
      </c>
      <c r="CA465" t="s">
        <v>109</v>
      </c>
      <c r="CB465" t="s">
        <v>110</v>
      </c>
      <c r="CC465">
        <v>188700</v>
      </c>
    </row>
    <row r="466" spans="1:81" x14ac:dyDescent="0.3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H466" t="s">
        <v>83</v>
      </c>
      <c r="I466" t="s">
        <v>198</v>
      </c>
      <c r="J466" t="s">
        <v>85</v>
      </c>
      <c r="K466" t="s">
        <v>86</v>
      </c>
      <c r="L466" t="s">
        <v>193</v>
      </c>
      <c r="M466" t="s">
        <v>88</v>
      </c>
      <c r="N466" t="s">
        <v>89</v>
      </c>
      <c r="O466" t="s">
        <v>89</v>
      </c>
      <c r="P466" t="s">
        <v>90</v>
      </c>
      <c r="Q466" t="s">
        <v>114</v>
      </c>
      <c r="R466">
        <v>5</v>
      </c>
      <c r="S466">
        <v>5</v>
      </c>
      <c r="T466">
        <v>1978</v>
      </c>
      <c r="U466">
        <v>1978</v>
      </c>
      <c r="V466" t="s">
        <v>92</v>
      </c>
      <c r="W466" t="s">
        <v>93</v>
      </c>
      <c r="X466" t="s">
        <v>139</v>
      </c>
      <c r="Y466" t="s">
        <v>139</v>
      </c>
      <c r="Z466" t="s">
        <v>95</v>
      </c>
      <c r="AA466">
        <v>136</v>
      </c>
      <c r="AB466" t="s">
        <v>97</v>
      </c>
      <c r="AC466" t="s">
        <v>97</v>
      </c>
      <c r="AD466" t="s">
        <v>117</v>
      </c>
      <c r="AE466" t="s">
        <v>96</v>
      </c>
      <c r="AF466" t="s">
        <v>97</v>
      </c>
      <c r="AG466" t="s">
        <v>99</v>
      </c>
      <c r="AH466" t="s">
        <v>152</v>
      </c>
      <c r="AI466">
        <v>616</v>
      </c>
      <c r="AJ466" t="s">
        <v>101</v>
      </c>
      <c r="AK466">
        <v>0</v>
      </c>
      <c r="AL466">
        <v>424</v>
      </c>
      <c r="AM466">
        <v>1040</v>
      </c>
      <c r="AN466" t="s">
        <v>102</v>
      </c>
      <c r="AO466" t="s">
        <v>97</v>
      </c>
      <c r="AP466" t="s">
        <v>104</v>
      </c>
      <c r="AQ466" t="s">
        <v>105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97</v>
      </c>
      <c r="BC466">
        <v>5</v>
      </c>
      <c r="BD466" t="s">
        <v>106</v>
      </c>
      <c r="BE466">
        <v>0</v>
      </c>
      <c r="BJ466">
        <v>0</v>
      </c>
      <c r="BK466">
        <v>0</v>
      </c>
      <c r="BN466" t="s">
        <v>104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X466">
        <v>0</v>
      </c>
      <c r="BY466">
        <v>8</v>
      </c>
      <c r="BZ466">
        <v>2009</v>
      </c>
      <c r="CA466" t="s">
        <v>109</v>
      </c>
      <c r="CB466" t="s">
        <v>110</v>
      </c>
      <c r="CC466">
        <v>124000</v>
      </c>
    </row>
    <row r="467" spans="1:81" x14ac:dyDescent="0.3">
      <c r="A467">
        <v>466</v>
      </c>
      <c r="B467">
        <v>120</v>
      </c>
      <c r="C467" t="s">
        <v>141</v>
      </c>
      <c r="E467">
        <v>3072</v>
      </c>
      <c r="F467" t="s">
        <v>82</v>
      </c>
      <c r="H467" t="s">
        <v>83</v>
      </c>
      <c r="I467" t="s">
        <v>84</v>
      </c>
      <c r="J467" t="s">
        <v>85</v>
      </c>
      <c r="K467" t="s">
        <v>86</v>
      </c>
      <c r="L467" t="s">
        <v>87</v>
      </c>
      <c r="M467" t="s">
        <v>226</v>
      </c>
      <c r="N467" t="s">
        <v>89</v>
      </c>
      <c r="O467" t="s">
        <v>89</v>
      </c>
      <c r="P467" t="s">
        <v>178</v>
      </c>
      <c r="Q467" t="s">
        <v>114</v>
      </c>
      <c r="R467">
        <v>7</v>
      </c>
      <c r="S467">
        <v>5</v>
      </c>
      <c r="T467">
        <v>2004</v>
      </c>
      <c r="U467">
        <v>2004</v>
      </c>
      <c r="V467" t="s">
        <v>151</v>
      </c>
      <c r="W467" t="s">
        <v>93</v>
      </c>
      <c r="X467" t="s">
        <v>94</v>
      </c>
      <c r="Y467" t="s">
        <v>94</v>
      </c>
      <c r="Z467" t="s">
        <v>95</v>
      </c>
      <c r="AA467">
        <v>18</v>
      </c>
      <c r="AB467" t="s">
        <v>96</v>
      </c>
      <c r="AC467" t="s">
        <v>97</v>
      </c>
      <c r="AD467" t="s">
        <v>98</v>
      </c>
      <c r="AE467" t="s">
        <v>96</v>
      </c>
      <c r="AF467" t="s">
        <v>97</v>
      </c>
      <c r="AG467" t="s">
        <v>99</v>
      </c>
      <c r="AH467" t="s">
        <v>101</v>
      </c>
      <c r="AI467">
        <v>0</v>
      </c>
      <c r="AJ467" t="s">
        <v>101</v>
      </c>
      <c r="AK467">
        <v>0</v>
      </c>
      <c r="AL467">
        <v>1375</v>
      </c>
      <c r="AM467">
        <v>1375</v>
      </c>
      <c r="AN467" t="s">
        <v>102</v>
      </c>
      <c r="AO467" t="s">
        <v>103</v>
      </c>
      <c r="AP467" t="s">
        <v>104</v>
      </c>
      <c r="AQ467" t="s">
        <v>105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96</v>
      </c>
      <c r="BC467">
        <v>6</v>
      </c>
      <c r="BD467" t="s">
        <v>106</v>
      </c>
      <c r="BE467">
        <v>1</v>
      </c>
      <c r="BF467" t="s">
        <v>97</v>
      </c>
      <c r="BG467" t="s">
        <v>107</v>
      </c>
      <c r="BH467">
        <v>2004</v>
      </c>
      <c r="BI467" t="s">
        <v>156</v>
      </c>
      <c r="BJ467">
        <v>2</v>
      </c>
      <c r="BK467">
        <v>398</v>
      </c>
      <c r="BL467" t="s">
        <v>97</v>
      </c>
      <c r="BM467" t="s">
        <v>97</v>
      </c>
      <c r="BN467" t="s">
        <v>104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X467">
        <v>0</v>
      </c>
      <c r="BY467">
        <v>5</v>
      </c>
      <c r="BZ467">
        <v>2006</v>
      </c>
      <c r="CA467" t="s">
        <v>109</v>
      </c>
      <c r="CB467" t="s">
        <v>110</v>
      </c>
      <c r="CC467">
        <v>178740</v>
      </c>
    </row>
    <row r="468" spans="1:81" x14ac:dyDescent="0.3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H468" t="s">
        <v>83</v>
      </c>
      <c r="I468" t="s">
        <v>84</v>
      </c>
      <c r="J468" t="s">
        <v>85</v>
      </c>
      <c r="K468" t="s">
        <v>86</v>
      </c>
      <c r="L468" t="s">
        <v>87</v>
      </c>
      <c r="M468" t="s">
        <v>270</v>
      </c>
      <c r="N468" t="s">
        <v>89</v>
      </c>
      <c r="O468" t="s">
        <v>89</v>
      </c>
      <c r="P468" t="s">
        <v>90</v>
      </c>
      <c r="Q468" t="s">
        <v>114</v>
      </c>
      <c r="R468">
        <v>7</v>
      </c>
      <c r="S468">
        <v>5</v>
      </c>
      <c r="T468">
        <v>1970</v>
      </c>
      <c r="U468">
        <v>1970</v>
      </c>
      <c r="V468" t="s">
        <v>213</v>
      </c>
      <c r="W468" t="s">
        <v>241</v>
      </c>
      <c r="X468" t="s">
        <v>160</v>
      </c>
      <c r="Y468" t="s">
        <v>160</v>
      </c>
      <c r="Z468" t="s">
        <v>116</v>
      </c>
      <c r="AA468">
        <v>0</v>
      </c>
      <c r="AB468" t="s">
        <v>97</v>
      </c>
      <c r="AC468" t="s">
        <v>96</v>
      </c>
      <c r="AD468" t="s">
        <v>117</v>
      </c>
      <c r="AE468" t="s">
        <v>97</v>
      </c>
      <c r="AF468" t="s">
        <v>96</v>
      </c>
      <c r="AG468" t="s">
        <v>96</v>
      </c>
      <c r="AH468" t="s">
        <v>100</v>
      </c>
      <c r="AI468">
        <v>778</v>
      </c>
      <c r="AJ468" t="s">
        <v>101</v>
      </c>
      <c r="AK468">
        <v>0</v>
      </c>
      <c r="AL468">
        <v>499</v>
      </c>
      <c r="AM468">
        <v>1277</v>
      </c>
      <c r="AN468" t="s">
        <v>102</v>
      </c>
      <c r="AO468" t="s">
        <v>97</v>
      </c>
      <c r="AP468" t="s">
        <v>104</v>
      </c>
      <c r="AQ468" t="s">
        <v>105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97</v>
      </c>
      <c r="BC468">
        <v>5</v>
      </c>
      <c r="BD468" t="s">
        <v>106</v>
      </c>
      <c r="BE468">
        <v>1</v>
      </c>
      <c r="BF468" t="s">
        <v>211</v>
      </c>
      <c r="BG468" t="s">
        <v>107</v>
      </c>
      <c r="BH468">
        <v>1970</v>
      </c>
      <c r="BI468" t="s">
        <v>101</v>
      </c>
      <c r="BJ468">
        <v>2</v>
      </c>
      <c r="BK468">
        <v>526</v>
      </c>
      <c r="BL468" t="s">
        <v>97</v>
      </c>
      <c r="BM468" t="s">
        <v>97</v>
      </c>
      <c r="BN468" t="s">
        <v>104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V468" t="s">
        <v>162</v>
      </c>
      <c r="BX468">
        <v>0</v>
      </c>
      <c r="BY468">
        <v>4</v>
      </c>
      <c r="BZ468">
        <v>2007</v>
      </c>
      <c r="CA468" t="s">
        <v>109</v>
      </c>
      <c r="CB468" t="s">
        <v>110</v>
      </c>
      <c r="CC468">
        <v>167000</v>
      </c>
    </row>
    <row r="469" spans="1:81" x14ac:dyDescent="0.3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H469" t="s">
        <v>83</v>
      </c>
      <c r="I469" t="s">
        <v>84</v>
      </c>
      <c r="J469" t="s">
        <v>85</v>
      </c>
      <c r="K469" t="s">
        <v>86</v>
      </c>
      <c r="L469" t="s">
        <v>87</v>
      </c>
      <c r="M469" t="s">
        <v>270</v>
      </c>
      <c r="N469" t="s">
        <v>143</v>
      </c>
      <c r="O469" t="s">
        <v>89</v>
      </c>
      <c r="P469" t="s">
        <v>90</v>
      </c>
      <c r="Q469" t="s">
        <v>91</v>
      </c>
      <c r="R469">
        <v>5</v>
      </c>
      <c r="S469">
        <v>7</v>
      </c>
      <c r="T469">
        <v>1942</v>
      </c>
      <c r="U469">
        <v>1995</v>
      </c>
      <c r="V469" t="s">
        <v>92</v>
      </c>
      <c r="W469" t="s">
        <v>93</v>
      </c>
      <c r="X469" t="s">
        <v>115</v>
      </c>
      <c r="Y469" t="s">
        <v>115</v>
      </c>
      <c r="Z469" t="s">
        <v>136</v>
      </c>
      <c r="AA469">
        <v>224</v>
      </c>
      <c r="AB469" t="s">
        <v>97</v>
      </c>
      <c r="AC469" t="s">
        <v>97</v>
      </c>
      <c r="AD469" t="s">
        <v>117</v>
      </c>
      <c r="AE469" t="s">
        <v>97</v>
      </c>
      <c r="AF469" t="s">
        <v>97</v>
      </c>
      <c r="AG469" t="s">
        <v>99</v>
      </c>
      <c r="AH469" t="s">
        <v>171</v>
      </c>
      <c r="AI469">
        <v>386</v>
      </c>
      <c r="AJ469" t="s">
        <v>101</v>
      </c>
      <c r="AK469">
        <v>0</v>
      </c>
      <c r="AL469">
        <v>342</v>
      </c>
      <c r="AM469">
        <v>728</v>
      </c>
      <c r="AN469" t="s">
        <v>102</v>
      </c>
      <c r="AO469" t="s">
        <v>103</v>
      </c>
      <c r="AP469" t="s">
        <v>104</v>
      </c>
      <c r="AQ469" t="s">
        <v>105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96</v>
      </c>
      <c r="BC469">
        <v>7</v>
      </c>
      <c r="BD469" t="s">
        <v>106</v>
      </c>
      <c r="BE469">
        <v>2</v>
      </c>
      <c r="BF469" t="s">
        <v>96</v>
      </c>
      <c r="BG469" t="s">
        <v>107</v>
      </c>
      <c r="BH469">
        <v>1942</v>
      </c>
      <c r="BI469" t="s">
        <v>101</v>
      </c>
      <c r="BJ469">
        <v>1</v>
      </c>
      <c r="BK469">
        <v>312</v>
      </c>
      <c r="BL469" t="s">
        <v>97</v>
      </c>
      <c r="BM469" t="s">
        <v>97</v>
      </c>
      <c r="BN469" t="s">
        <v>104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X469">
        <v>0</v>
      </c>
      <c r="BY469">
        <v>6</v>
      </c>
      <c r="BZ469">
        <v>2007</v>
      </c>
      <c r="CA469" t="s">
        <v>109</v>
      </c>
      <c r="CB469" t="s">
        <v>110</v>
      </c>
      <c r="CC469">
        <v>146500</v>
      </c>
    </row>
    <row r="470" spans="1:81" x14ac:dyDescent="0.3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H470" t="s">
        <v>119</v>
      </c>
      <c r="I470" t="s">
        <v>84</v>
      </c>
      <c r="J470" t="s">
        <v>85</v>
      </c>
      <c r="K470" t="s">
        <v>86</v>
      </c>
      <c r="L470" t="s">
        <v>87</v>
      </c>
      <c r="M470" t="s">
        <v>153</v>
      </c>
      <c r="N470" t="s">
        <v>89</v>
      </c>
      <c r="O470" t="s">
        <v>89</v>
      </c>
      <c r="P470" t="s">
        <v>90</v>
      </c>
      <c r="Q470" t="s">
        <v>114</v>
      </c>
      <c r="R470">
        <v>8</v>
      </c>
      <c r="S470">
        <v>5</v>
      </c>
      <c r="T470">
        <v>2006</v>
      </c>
      <c r="U470">
        <v>2006</v>
      </c>
      <c r="V470" t="s">
        <v>92</v>
      </c>
      <c r="W470" t="s">
        <v>93</v>
      </c>
      <c r="X470" t="s">
        <v>94</v>
      </c>
      <c r="Y470" t="s">
        <v>94</v>
      </c>
      <c r="Z470" t="s">
        <v>136</v>
      </c>
      <c r="AA470">
        <v>248</v>
      </c>
      <c r="AB470" t="s">
        <v>96</v>
      </c>
      <c r="AC470" t="s">
        <v>97</v>
      </c>
      <c r="AD470" t="s">
        <v>98</v>
      </c>
      <c r="AE470" t="s">
        <v>96</v>
      </c>
      <c r="AF470" t="s">
        <v>97</v>
      </c>
      <c r="AG470" t="s">
        <v>99</v>
      </c>
      <c r="AH470" t="s">
        <v>101</v>
      </c>
      <c r="AI470">
        <v>0</v>
      </c>
      <c r="AJ470" t="s">
        <v>101</v>
      </c>
      <c r="AK470">
        <v>0</v>
      </c>
      <c r="AL470">
        <v>1626</v>
      </c>
      <c r="AM470">
        <v>1626</v>
      </c>
      <c r="AN470" t="s">
        <v>102</v>
      </c>
      <c r="AO470" t="s">
        <v>103</v>
      </c>
      <c r="AP470" t="s">
        <v>104</v>
      </c>
      <c r="AQ470" t="s">
        <v>105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96</v>
      </c>
      <c r="BC470">
        <v>7</v>
      </c>
      <c r="BD470" t="s">
        <v>106</v>
      </c>
      <c r="BE470">
        <v>1</v>
      </c>
      <c r="BF470" t="s">
        <v>96</v>
      </c>
      <c r="BG470" t="s">
        <v>107</v>
      </c>
      <c r="BH470">
        <v>2006</v>
      </c>
      <c r="BI470" t="s">
        <v>108</v>
      </c>
      <c r="BJ470">
        <v>3</v>
      </c>
      <c r="BK470">
        <v>866</v>
      </c>
      <c r="BL470" t="s">
        <v>97</v>
      </c>
      <c r="BM470" t="s">
        <v>97</v>
      </c>
      <c r="BN470" t="s">
        <v>104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X470">
        <v>0</v>
      </c>
      <c r="BY470">
        <v>5</v>
      </c>
      <c r="BZ470">
        <v>2007</v>
      </c>
      <c r="CA470" t="s">
        <v>109</v>
      </c>
      <c r="CB470" t="s">
        <v>110</v>
      </c>
      <c r="CC470">
        <v>250000</v>
      </c>
    </row>
    <row r="471" spans="1:81" x14ac:dyDescent="0.3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H471" t="s">
        <v>119</v>
      </c>
      <c r="I471" t="s">
        <v>84</v>
      </c>
      <c r="J471" t="s">
        <v>85</v>
      </c>
      <c r="K471" t="s">
        <v>121</v>
      </c>
      <c r="L471" t="s">
        <v>87</v>
      </c>
      <c r="M471" t="s">
        <v>169</v>
      </c>
      <c r="N471" t="s">
        <v>228</v>
      </c>
      <c r="O471" t="s">
        <v>89</v>
      </c>
      <c r="P471" t="s">
        <v>90</v>
      </c>
      <c r="Q471" t="s">
        <v>91</v>
      </c>
      <c r="R471">
        <v>6</v>
      </c>
      <c r="S471">
        <v>5</v>
      </c>
      <c r="T471">
        <v>1993</v>
      </c>
      <c r="U471">
        <v>1993</v>
      </c>
      <c r="V471" t="s">
        <v>92</v>
      </c>
      <c r="W471" t="s">
        <v>93</v>
      </c>
      <c r="X471" t="s">
        <v>139</v>
      </c>
      <c r="Y471" t="s">
        <v>139</v>
      </c>
      <c r="Z471" t="s">
        <v>95</v>
      </c>
      <c r="AA471">
        <v>120</v>
      </c>
      <c r="AB471" t="s">
        <v>96</v>
      </c>
      <c r="AC471" t="s">
        <v>97</v>
      </c>
      <c r="AD471" t="s">
        <v>98</v>
      </c>
      <c r="AE471" t="s">
        <v>96</v>
      </c>
      <c r="AF471" t="s">
        <v>97</v>
      </c>
      <c r="AG471" t="s">
        <v>99</v>
      </c>
      <c r="AH471" t="s">
        <v>100</v>
      </c>
      <c r="AI471">
        <v>426</v>
      </c>
      <c r="AJ471" t="s">
        <v>101</v>
      </c>
      <c r="AK471">
        <v>0</v>
      </c>
      <c r="AL471">
        <v>406</v>
      </c>
      <c r="AM471">
        <v>832</v>
      </c>
      <c r="AN471" t="s">
        <v>102</v>
      </c>
      <c r="AO471" t="s">
        <v>103</v>
      </c>
      <c r="AP471" t="s">
        <v>104</v>
      </c>
      <c r="AQ471" t="s">
        <v>105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96</v>
      </c>
      <c r="BC471">
        <v>7</v>
      </c>
      <c r="BD471" t="s">
        <v>106</v>
      </c>
      <c r="BE471">
        <v>0</v>
      </c>
      <c r="BG471" t="s">
        <v>107</v>
      </c>
      <c r="BH471">
        <v>1993</v>
      </c>
      <c r="BI471" t="s">
        <v>108</v>
      </c>
      <c r="BJ471">
        <v>2</v>
      </c>
      <c r="BK471">
        <v>506</v>
      </c>
      <c r="BL471" t="s">
        <v>97</v>
      </c>
      <c r="BM471" t="s">
        <v>97</v>
      </c>
      <c r="BN471" t="s">
        <v>104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X471">
        <v>0</v>
      </c>
      <c r="BY471">
        <v>6</v>
      </c>
      <c r="BZ471">
        <v>2008</v>
      </c>
      <c r="CA471" t="s">
        <v>109</v>
      </c>
      <c r="CB471" t="s">
        <v>110</v>
      </c>
      <c r="CC471">
        <v>187000</v>
      </c>
    </row>
    <row r="472" spans="1:81" x14ac:dyDescent="0.3">
      <c r="A472">
        <v>471</v>
      </c>
      <c r="B472">
        <v>120</v>
      </c>
      <c r="C472" t="s">
        <v>81</v>
      </c>
      <c r="E472">
        <v>6820</v>
      </c>
      <c r="F472" t="s">
        <v>82</v>
      </c>
      <c r="H472" t="s">
        <v>119</v>
      </c>
      <c r="I472" t="s">
        <v>84</v>
      </c>
      <c r="J472" t="s">
        <v>85</v>
      </c>
      <c r="K472" t="s">
        <v>121</v>
      </c>
      <c r="L472" t="s">
        <v>87</v>
      </c>
      <c r="M472" t="s">
        <v>199</v>
      </c>
      <c r="N472" t="s">
        <v>89</v>
      </c>
      <c r="O472" t="s">
        <v>89</v>
      </c>
      <c r="P472" t="s">
        <v>178</v>
      </c>
      <c r="Q472" t="s">
        <v>114</v>
      </c>
      <c r="R472">
        <v>8</v>
      </c>
      <c r="S472">
        <v>5</v>
      </c>
      <c r="T472">
        <v>1985</v>
      </c>
      <c r="U472">
        <v>1985</v>
      </c>
      <c r="V472" t="s">
        <v>92</v>
      </c>
      <c r="W472" t="s">
        <v>93</v>
      </c>
      <c r="X472" t="s">
        <v>139</v>
      </c>
      <c r="Y472" t="s">
        <v>139</v>
      </c>
      <c r="Z472" t="s">
        <v>116</v>
      </c>
      <c r="AA472">
        <v>0</v>
      </c>
      <c r="AB472" t="s">
        <v>96</v>
      </c>
      <c r="AC472" t="s">
        <v>97</v>
      </c>
      <c r="AD472" t="s">
        <v>98</v>
      </c>
      <c r="AE472" t="s">
        <v>96</v>
      </c>
      <c r="AF472" t="s">
        <v>97</v>
      </c>
      <c r="AG472" t="s">
        <v>129</v>
      </c>
      <c r="AH472" t="s">
        <v>100</v>
      </c>
      <c r="AI472">
        <v>368</v>
      </c>
      <c r="AJ472" t="s">
        <v>140</v>
      </c>
      <c r="AK472">
        <v>1120</v>
      </c>
      <c r="AL472">
        <v>0</v>
      </c>
      <c r="AM472">
        <v>1488</v>
      </c>
      <c r="AN472" t="s">
        <v>102</v>
      </c>
      <c r="AO472" t="s">
        <v>97</v>
      </c>
      <c r="AP472" t="s">
        <v>104</v>
      </c>
      <c r="AQ472" t="s">
        <v>105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96</v>
      </c>
      <c r="BC472">
        <v>4</v>
      </c>
      <c r="BD472" t="s">
        <v>106</v>
      </c>
      <c r="BE472">
        <v>0</v>
      </c>
      <c r="BG472" t="s">
        <v>107</v>
      </c>
      <c r="BH472">
        <v>1985</v>
      </c>
      <c r="BI472" t="s">
        <v>108</v>
      </c>
      <c r="BJ472">
        <v>2</v>
      </c>
      <c r="BK472">
        <v>528</v>
      </c>
      <c r="BL472" t="s">
        <v>97</v>
      </c>
      <c r="BM472" t="s">
        <v>97</v>
      </c>
      <c r="BN472" t="s">
        <v>104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X472">
        <v>0</v>
      </c>
      <c r="BY472">
        <v>6</v>
      </c>
      <c r="BZ472">
        <v>2010</v>
      </c>
      <c r="CA472" t="s">
        <v>109</v>
      </c>
      <c r="CB472" t="s">
        <v>110</v>
      </c>
      <c r="CC472">
        <v>212000</v>
      </c>
    </row>
    <row r="473" spans="1:81" x14ac:dyDescent="0.3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H473" t="s">
        <v>83</v>
      </c>
      <c r="I473" t="s">
        <v>84</v>
      </c>
      <c r="J473" t="s">
        <v>85</v>
      </c>
      <c r="K473" t="s">
        <v>86</v>
      </c>
      <c r="L473" t="s">
        <v>87</v>
      </c>
      <c r="M473" t="s">
        <v>137</v>
      </c>
      <c r="N473" t="s">
        <v>203</v>
      </c>
      <c r="O473" t="s">
        <v>89</v>
      </c>
      <c r="P473" t="s">
        <v>90</v>
      </c>
      <c r="Q473" t="s">
        <v>91</v>
      </c>
      <c r="R473">
        <v>7</v>
      </c>
      <c r="S473">
        <v>6</v>
      </c>
      <c r="T473">
        <v>1977</v>
      </c>
      <c r="U473">
        <v>1977</v>
      </c>
      <c r="V473" t="s">
        <v>210</v>
      </c>
      <c r="W473" t="s">
        <v>222</v>
      </c>
      <c r="X473" t="s">
        <v>154</v>
      </c>
      <c r="Y473" t="s">
        <v>160</v>
      </c>
      <c r="Z473" t="s">
        <v>116</v>
      </c>
      <c r="AA473">
        <v>0</v>
      </c>
      <c r="AB473" t="s">
        <v>97</v>
      </c>
      <c r="AC473" t="s">
        <v>97</v>
      </c>
      <c r="AD473" t="s">
        <v>117</v>
      </c>
      <c r="AE473" t="s">
        <v>96</v>
      </c>
      <c r="AF473" t="s">
        <v>97</v>
      </c>
      <c r="AG473" t="s">
        <v>99</v>
      </c>
      <c r="AH473" t="s">
        <v>101</v>
      </c>
      <c r="AI473">
        <v>0</v>
      </c>
      <c r="AJ473" t="s">
        <v>101</v>
      </c>
      <c r="AK473">
        <v>0</v>
      </c>
      <c r="AL473">
        <v>808</v>
      </c>
      <c r="AM473">
        <v>808</v>
      </c>
      <c r="AN473" t="s">
        <v>102</v>
      </c>
      <c r="AO473" t="s">
        <v>97</v>
      </c>
      <c r="AP473" t="s">
        <v>104</v>
      </c>
      <c r="AQ473" t="s">
        <v>105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97</v>
      </c>
      <c r="BC473">
        <v>8</v>
      </c>
      <c r="BD473" t="s">
        <v>106</v>
      </c>
      <c r="BE473">
        <v>1</v>
      </c>
      <c r="BF473" t="s">
        <v>96</v>
      </c>
      <c r="BG473" t="s">
        <v>107</v>
      </c>
      <c r="BH473">
        <v>1977</v>
      </c>
      <c r="BI473" t="s">
        <v>108</v>
      </c>
      <c r="BJ473">
        <v>2</v>
      </c>
      <c r="BK473">
        <v>534</v>
      </c>
      <c r="BL473" t="s">
        <v>97</v>
      </c>
      <c r="BM473" t="s">
        <v>97</v>
      </c>
      <c r="BN473" t="s">
        <v>104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X473">
        <v>0</v>
      </c>
      <c r="BY473">
        <v>11</v>
      </c>
      <c r="BZ473">
        <v>2007</v>
      </c>
      <c r="CA473" t="s">
        <v>109</v>
      </c>
      <c r="CB473" t="s">
        <v>110</v>
      </c>
      <c r="CC473">
        <v>190000</v>
      </c>
    </row>
    <row r="474" spans="1:81" x14ac:dyDescent="0.3">
      <c r="A474">
        <v>473</v>
      </c>
      <c r="B474">
        <v>180</v>
      </c>
      <c r="C474" t="s">
        <v>141</v>
      </c>
      <c r="D474">
        <v>35</v>
      </c>
      <c r="E474">
        <v>3675</v>
      </c>
      <c r="F474" t="s">
        <v>82</v>
      </c>
      <c r="H474" t="s">
        <v>83</v>
      </c>
      <c r="I474" t="s">
        <v>84</v>
      </c>
      <c r="J474" t="s">
        <v>85</v>
      </c>
      <c r="K474" t="s">
        <v>86</v>
      </c>
      <c r="L474" t="s">
        <v>87</v>
      </c>
      <c r="M474" t="s">
        <v>184</v>
      </c>
      <c r="N474" t="s">
        <v>89</v>
      </c>
      <c r="O474" t="s">
        <v>89</v>
      </c>
      <c r="P474" t="s">
        <v>178</v>
      </c>
      <c r="Q474" t="s">
        <v>196</v>
      </c>
      <c r="R474">
        <v>6</v>
      </c>
      <c r="S474">
        <v>5</v>
      </c>
      <c r="T474">
        <v>2005</v>
      </c>
      <c r="U474">
        <v>2005</v>
      </c>
      <c r="V474" t="s">
        <v>92</v>
      </c>
      <c r="W474" t="s">
        <v>93</v>
      </c>
      <c r="X474" t="s">
        <v>94</v>
      </c>
      <c r="Y474" t="s">
        <v>94</v>
      </c>
      <c r="Z474" t="s">
        <v>95</v>
      </c>
      <c r="AA474">
        <v>80</v>
      </c>
      <c r="AB474" t="s">
        <v>97</v>
      </c>
      <c r="AC474" t="s">
        <v>97</v>
      </c>
      <c r="AD474" t="s">
        <v>98</v>
      </c>
      <c r="AE474" t="s">
        <v>96</v>
      </c>
      <c r="AF474" t="s">
        <v>97</v>
      </c>
      <c r="AG474" t="s">
        <v>96</v>
      </c>
      <c r="AH474" t="s">
        <v>100</v>
      </c>
      <c r="AI474">
        <v>459</v>
      </c>
      <c r="AJ474" t="s">
        <v>101</v>
      </c>
      <c r="AK474">
        <v>0</v>
      </c>
      <c r="AL474">
        <v>88</v>
      </c>
      <c r="AM474">
        <v>547</v>
      </c>
      <c r="AN474" t="s">
        <v>102</v>
      </c>
      <c r="AO474" t="s">
        <v>103</v>
      </c>
      <c r="AP474" t="s">
        <v>104</v>
      </c>
      <c r="AQ474" t="s">
        <v>105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97</v>
      </c>
      <c r="BC474">
        <v>5</v>
      </c>
      <c r="BD474" t="s">
        <v>106</v>
      </c>
      <c r="BE474">
        <v>0</v>
      </c>
      <c r="BG474" t="s">
        <v>208</v>
      </c>
      <c r="BH474">
        <v>2005</v>
      </c>
      <c r="BI474" t="s">
        <v>108</v>
      </c>
      <c r="BJ474">
        <v>2</v>
      </c>
      <c r="BK474">
        <v>525</v>
      </c>
      <c r="BL474" t="s">
        <v>97</v>
      </c>
      <c r="BM474" t="s">
        <v>97</v>
      </c>
      <c r="BN474" t="s">
        <v>104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X474">
        <v>0</v>
      </c>
      <c r="BY474">
        <v>6</v>
      </c>
      <c r="BZ474">
        <v>2008</v>
      </c>
      <c r="CA474" t="s">
        <v>109</v>
      </c>
      <c r="CB474" t="s">
        <v>110</v>
      </c>
      <c r="CC474">
        <v>148000</v>
      </c>
    </row>
    <row r="475" spans="1:81" x14ac:dyDescent="0.3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H475" t="s">
        <v>119</v>
      </c>
      <c r="I475" t="s">
        <v>84</v>
      </c>
      <c r="J475" t="s">
        <v>85</v>
      </c>
      <c r="K475" t="s">
        <v>86</v>
      </c>
      <c r="L475" t="s">
        <v>87</v>
      </c>
      <c r="M475" t="s">
        <v>153</v>
      </c>
      <c r="N475" t="s">
        <v>89</v>
      </c>
      <c r="O475" t="s">
        <v>89</v>
      </c>
      <c r="P475" t="s">
        <v>90</v>
      </c>
      <c r="Q475" t="s">
        <v>114</v>
      </c>
      <c r="R475">
        <v>8</v>
      </c>
      <c r="S475">
        <v>5</v>
      </c>
      <c r="T475">
        <v>2006</v>
      </c>
      <c r="U475">
        <v>2007</v>
      </c>
      <c r="V475" t="s">
        <v>92</v>
      </c>
      <c r="W475" t="s">
        <v>93</v>
      </c>
      <c r="X475" t="s">
        <v>94</v>
      </c>
      <c r="Y475" t="s">
        <v>94</v>
      </c>
      <c r="Z475" t="s">
        <v>95</v>
      </c>
      <c r="AA475">
        <v>304</v>
      </c>
      <c r="AB475" t="s">
        <v>96</v>
      </c>
      <c r="AC475" t="s">
        <v>97</v>
      </c>
      <c r="AD475" t="s">
        <v>98</v>
      </c>
      <c r="AE475" t="s">
        <v>103</v>
      </c>
      <c r="AF475" t="s">
        <v>97</v>
      </c>
      <c r="AG475" t="s">
        <v>96</v>
      </c>
      <c r="AH475" t="s">
        <v>100</v>
      </c>
      <c r="AI475">
        <v>1350</v>
      </c>
      <c r="AJ475" t="s">
        <v>101</v>
      </c>
      <c r="AK475">
        <v>0</v>
      </c>
      <c r="AL475">
        <v>626</v>
      </c>
      <c r="AM475">
        <v>1976</v>
      </c>
      <c r="AN475" t="s">
        <v>102</v>
      </c>
      <c r="AO475" t="s">
        <v>103</v>
      </c>
      <c r="AP475" t="s">
        <v>104</v>
      </c>
      <c r="AQ475" t="s">
        <v>105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96</v>
      </c>
      <c r="BC475">
        <v>7</v>
      </c>
      <c r="BD475" t="s">
        <v>106</v>
      </c>
      <c r="BE475">
        <v>1</v>
      </c>
      <c r="BF475" t="s">
        <v>103</v>
      </c>
      <c r="BG475" t="s">
        <v>107</v>
      </c>
      <c r="BH475">
        <v>2006</v>
      </c>
      <c r="BI475" t="s">
        <v>108</v>
      </c>
      <c r="BJ475">
        <v>3</v>
      </c>
      <c r="BK475">
        <v>908</v>
      </c>
      <c r="BL475" t="s">
        <v>97</v>
      </c>
      <c r="BM475" t="s">
        <v>97</v>
      </c>
      <c r="BN475" t="s">
        <v>104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X475">
        <v>0</v>
      </c>
      <c r="BY475">
        <v>7</v>
      </c>
      <c r="BZ475">
        <v>2007</v>
      </c>
      <c r="CA475" t="s">
        <v>157</v>
      </c>
      <c r="CB475" t="s">
        <v>158</v>
      </c>
      <c r="CC475">
        <v>440000</v>
      </c>
    </row>
    <row r="476" spans="1:81" x14ac:dyDescent="0.3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H476" t="s">
        <v>83</v>
      </c>
      <c r="I476" t="s">
        <v>84</v>
      </c>
      <c r="J476" t="s">
        <v>85</v>
      </c>
      <c r="K476" t="s">
        <v>86</v>
      </c>
      <c r="L476" t="s">
        <v>87</v>
      </c>
      <c r="M476" t="s">
        <v>199</v>
      </c>
      <c r="N476" t="s">
        <v>89</v>
      </c>
      <c r="O476" t="s">
        <v>89</v>
      </c>
      <c r="P476" t="s">
        <v>178</v>
      </c>
      <c r="Q476" t="s">
        <v>114</v>
      </c>
      <c r="R476">
        <v>8</v>
      </c>
      <c r="S476">
        <v>5</v>
      </c>
      <c r="T476">
        <v>2000</v>
      </c>
      <c r="U476">
        <v>2000</v>
      </c>
      <c r="V476" t="s">
        <v>92</v>
      </c>
      <c r="W476" t="s">
        <v>93</v>
      </c>
      <c r="X476" t="s">
        <v>179</v>
      </c>
      <c r="Y476" t="s">
        <v>180</v>
      </c>
      <c r="Z476" t="s">
        <v>116</v>
      </c>
      <c r="AA476">
        <v>0</v>
      </c>
      <c r="AB476" t="s">
        <v>96</v>
      </c>
      <c r="AC476" t="s">
        <v>97</v>
      </c>
      <c r="AD476" t="s">
        <v>98</v>
      </c>
      <c r="AE476" t="s">
        <v>96</v>
      </c>
      <c r="AF476" t="s">
        <v>97</v>
      </c>
      <c r="AG476" t="s">
        <v>129</v>
      </c>
      <c r="AH476" t="s">
        <v>100</v>
      </c>
      <c r="AI476">
        <v>1196</v>
      </c>
      <c r="AJ476" t="s">
        <v>101</v>
      </c>
      <c r="AK476">
        <v>0</v>
      </c>
      <c r="AL476">
        <v>298</v>
      </c>
      <c r="AM476">
        <v>1494</v>
      </c>
      <c r="AN476" t="s">
        <v>102</v>
      </c>
      <c r="AO476" t="s">
        <v>103</v>
      </c>
      <c r="AP476" t="s">
        <v>104</v>
      </c>
      <c r="AQ476" t="s">
        <v>105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103</v>
      </c>
      <c r="BC476">
        <v>6</v>
      </c>
      <c r="BD476" t="s">
        <v>106</v>
      </c>
      <c r="BE476">
        <v>0</v>
      </c>
      <c r="BG476" t="s">
        <v>107</v>
      </c>
      <c r="BH476">
        <v>2000</v>
      </c>
      <c r="BI476" t="s">
        <v>108</v>
      </c>
      <c r="BJ476">
        <v>2</v>
      </c>
      <c r="BK476">
        <v>499</v>
      </c>
      <c r="BL476" t="s">
        <v>97</v>
      </c>
      <c r="BM476" t="s">
        <v>97</v>
      </c>
      <c r="BN476" t="s">
        <v>104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X476">
        <v>0</v>
      </c>
      <c r="BY476">
        <v>8</v>
      </c>
      <c r="BZ476">
        <v>2007</v>
      </c>
      <c r="CA476" t="s">
        <v>109</v>
      </c>
      <c r="CB476" t="s">
        <v>110</v>
      </c>
      <c r="CC476">
        <v>251000</v>
      </c>
    </row>
    <row r="477" spans="1:81" x14ac:dyDescent="0.3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H477" t="s">
        <v>83</v>
      </c>
      <c r="I477" t="s">
        <v>84</v>
      </c>
      <c r="J477" t="s">
        <v>85</v>
      </c>
      <c r="K477" t="s">
        <v>121</v>
      </c>
      <c r="L477" t="s">
        <v>87</v>
      </c>
      <c r="M477" t="s">
        <v>150</v>
      </c>
      <c r="N477" t="s">
        <v>89</v>
      </c>
      <c r="O477" t="s">
        <v>89</v>
      </c>
      <c r="P477" t="s">
        <v>90</v>
      </c>
      <c r="Q477" t="s">
        <v>114</v>
      </c>
      <c r="R477">
        <v>5</v>
      </c>
      <c r="S477">
        <v>6</v>
      </c>
      <c r="T477">
        <v>1963</v>
      </c>
      <c r="U477">
        <v>1963</v>
      </c>
      <c r="V477" t="s">
        <v>151</v>
      </c>
      <c r="W477" t="s">
        <v>93</v>
      </c>
      <c r="X477" t="s">
        <v>139</v>
      </c>
      <c r="Y477" t="s">
        <v>139</v>
      </c>
      <c r="Z477" t="s">
        <v>116</v>
      </c>
      <c r="AA477">
        <v>0</v>
      </c>
      <c r="AB477" t="s">
        <v>97</v>
      </c>
      <c r="AC477" t="s">
        <v>97</v>
      </c>
      <c r="AD477" t="s">
        <v>117</v>
      </c>
      <c r="AE477" t="s">
        <v>97</v>
      </c>
      <c r="AF477" t="s">
        <v>97</v>
      </c>
      <c r="AG477" t="s">
        <v>99</v>
      </c>
      <c r="AH477" t="s">
        <v>100</v>
      </c>
      <c r="AI477">
        <v>630</v>
      </c>
      <c r="AJ477" t="s">
        <v>101</v>
      </c>
      <c r="AK477">
        <v>0</v>
      </c>
      <c r="AL477">
        <v>340</v>
      </c>
      <c r="AM477">
        <v>970</v>
      </c>
      <c r="AN477" t="s">
        <v>102</v>
      </c>
      <c r="AO477" t="s">
        <v>97</v>
      </c>
      <c r="AP477" t="s">
        <v>104</v>
      </c>
      <c r="AQ477" t="s">
        <v>105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97</v>
      </c>
      <c r="BC477">
        <v>5</v>
      </c>
      <c r="BD477" t="s">
        <v>106</v>
      </c>
      <c r="BE477">
        <v>0</v>
      </c>
      <c r="BG477" t="s">
        <v>126</v>
      </c>
      <c r="BH477">
        <v>1996</v>
      </c>
      <c r="BI477" t="s">
        <v>101</v>
      </c>
      <c r="BJ477">
        <v>2</v>
      </c>
      <c r="BK477">
        <v>624</v>
      </c>
      <c r="BL477" t="s">
        <v>97</v>
      </c>
      <c r="BM477" t="s">
        <v>97</v>
      </c>
      <c r="BN477" t="s">
        <v>104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X477">
        <v>0</v>
      </c>
      <c r="BY477">
        <v>7</v>
      </c>
      <c r="BZ477">
        <v>2007</v>
      </c>
      <c r="CA477" t="s">
        <v>109</v>
      </c>
      <c r="CB477" t="s">
        <v>110</v>
      </c>
      <c r="CC477">
        <v>132500</v>
      </c>
    </row>
    <row r="478" spans="1:81" x14ac:dyDescent="0.3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H478" t="s">
        <v>83</v>
      </c>
      <c r="I478" t="s">
        <v>84</v>
      </c>
      <c r="J478" t="s">
        <v>85</v>
      </c>
      <c r="K478" t="s">
        <v>86</v>
      </c>
      <c r="L478" t="s">
        <v>193</v>
      </c>
      <c r="M478" t="s">
        <v>88</v>
      </c>
      <c r="N478" t="s">
        <v>89</v>
      </c>
      <c r="O478" t="s">
        <v>89</v>
      </c>
      <c r="P478" t="s">
        <v>90</v>
      </c>
      <c r="Q478" t="s">
        <v>114</v>
      </c>
      <c r="R478">
        <v>6</v>
      </c>
      <c r="S478">
        <v>5</v>
      </c>
      <c r="T478">
        <v>1997</v>
      </c>
      <c r="U478">
        <v>1998</v>
      </c>
      <c r="V478" t="s">
        <v>92</v>
      </c>
      <c r="W478" t="s">
        <v>93</v>
      </c>
      <c r="X478" t="s">
        <v>94</v>
      </c>
      <c r="Y478" t="s">
        <v>94</v>
      </c>
      <c r="Z478" t="s">
        <v>95</v>
      </c>
      <c r="AA478">
        <v>215</v>
      </c>
      <c r="AB478" t="s">
        <v>97</v>
      </c>
      <c r="AC478" t="s">
        <v>97</v>
      </c>
      <c r="AD478" t="s">
        <v>98</v>
      </c>
      <c r="AE478" t="s">
        <v>96</v>
      </c>
      <c r="AF478" t="s">
        <v>97</v>
      </c>
      <c r="AG478" t="s">
        <v>96</v>
      </c>
      <c r="AH478" t="s">
        <v>100</v>
      </c>
      <c r="AI478">
        <v>994</v>
      </c>
      <c r="AJ478" t="s">
        <v>101</v>
      </c>
      <c r="AK478">
        <v>0</v>
      </c>
      <c r="AL478">
        <v>484</v>
      </c>
      <c r="AM478">
        <v>1478</v>
      </c>
      <c r="AN478" t="s">
        <v>102</v>
      </c>
      <c r="AO478" t="s">
        <v>103</v>
      </c>
      <c r="AP478" t="s">
        <v>104</v>
      </c>
      <c r="AQ478" t="s">
        <v>105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96</v>
      </c>
      <c r="BC478">
        <v>7</v>
      </c>
      <c r="BD478" t="s">
        <v>106</v>
      </c>
      <c r="BE478">
        <v>1</v>
      </c>
      <c r="BF478" t="s">
        <v>97</v>
      </c>
      <c r="BG478" t="s">
        <v>107</v>
      </c>
      <c r="BH478">
        <v>1997</v>
      </c>
      <c r="BI478" t="s">
        <v>156</v>
      </c>
      <c r="BJ478">
        <v>2</v>
      </c>
      <c r="BK478">
        <v>508</v>
      </c>
      <c r="BL478" t="s">
        <v>97</v>
      </c>
      <c r="BM478" t="s">
        <v>97</v>
      </c>
      <c r="BN478" t="s">
        <v>104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X478">
        <v>0</v>
      </c>
      <c r="BY478">
        <v>4</v>
      </c>
      <c r="BZ478">
        <v>2008</v>
      </c>
      <c r="CA478" t="s">
        <v>109</v>
      </c>
      <c r="CB478" t="s">
        <v>110</v>
      </c>
      <c r="CC478">
        <v>208900</v>
      </c>
    </row>
    <row r="479" spans="1:81" x14ac:dyDescent="0.3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H479" t="s">
        <v>83</v>
      </c>
      <c r="I479" t="s">
        <v>84</v>
      </c>
      <c r="J479" t="s">
        <v>85</v>
      </c>
      <c r="K479" t="s">
        <v>86</v>
      </c>
      <c r="L479" t="s">
        <v>87</v>
      </c>
      <c r="M479" t="s">
        <v>153</v>
      </c>
      <c r="N479" t="s">
        <v>89</v>
      </c>
      <c r="O479" t="s">
        <v>89</v>
      </c>
      <c r="P479" t="s">
        <v>90</v>
      </c>
      <c r="Q479" t="s">
        <v>91</v>
      </c>
      <c r="R479">
        <v>9</v>
      </c>
      <c r="S479">
        <v>5</v>
      </c>
      <c r="T479">
        <v>2006</v>
      </c>
      <c r="U479">
        <v>2006</v>
      </c>
      <c r="V479" t="s">
        <v>151</v>
      </c>
      <c r="W479" t="s">
        <v>93</v>
      </c>
      <c r="X479" t="s">
        <v>94</v>
      </c>
      <c r="Y479" t="s">
        <v>94</v>
      </c>
      <c r="Z479" t="s">
        <v>95</v>
      </c>
      <c r="AA479">
        <v>772</v>
      </c>
      <c r="AB479" t="s">
        <v>103</v>
      </c>
      <c r="AC479" t="s">
        <v>97</v>
      </c>
      <c r="AD479" t="s">
        <v>98</v>
      </c>
      <c r="AE479" t="s">
        <v>96</v>
      </c>
      <c r="AF479" t="s">
        <v>97</v>
      </c>
      <c r="AG479" t="s">
        <v>129</v>
      </c>
      <c r="AH479" t="s">
        <v>101</v>
      </c>
      <c r="AI479">
        <v>0</v>
      </c>
      <c r="AJ479" t="s">
        <v>101</v>
      </c>
      <c r="AK479">
        <v>0</v>
      </c>
      <c r="AL479">
        <v>2153</v>
      </c>
      <c r="AM479">
        <v>2153</v>
      </c>
      <c r="AN479" t="s">
        <v>102</v>
      </c>
      <c r="AO479" t="s">
        <v>103</v>
      </c>
      <c r="AP479" t="s">
        <v>104</v>
      </c>
      <c r="AQ479" t="s">
        <v>105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103</v>
      </c>
      <c r="BC479">
        <v>9</v>
      </c>
      <c r="BD479" t="s">
        <v>106</v>
      </c>
      <c r="BE479">
        <v>1</v>
      </c>
      <c r="BF479" t="s">
        <v>96</v>
      </c>
      <c r="BG479" t="s">
        <v>155</v>
      </c>
      <c r="BH479">
        <v>2006</v>
      </c>
      <c r="BI479" t="s">
        <v>156</v>
      </c>
      <c r="BJ479">
        <v>3</v>
      </c>
      <c r="BK479">
        <v>694</v>
      </c>
      <c r="BL479" t="s">
        <v>97</v>
      </c>
      <c r="BM479" t="s">
        <v>97</v>
      </c>
      <c r="BN479" t="s">
        <v>104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X479">
        <v>0</v>
      </c>
      <c r="BY479">
        <v>3</v>
      </c>
      <c r="BZ479">
        <v>2007</v>
      </c>
      <c r="CA479" t="s">
        <v>109</v>
      </c>
      <c r="CB479" t="s">
        <v>110</v>
      </c>
      <c r="CC479">
        <v>380000</v>
      </c>
    </row>
    <row r="480" spans="1:81" x14ac:dyDescent="0.3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H480" t="s">
        <v>83</v>
      </c>
      <c r="I480" t="s">
        <v>84</v>
      </c>
      <c r="J480" t="s">
        <v>85</v>
      </c>
      <c r="K480" t="s">
        <v>86</v>
      </c>
      <c r="L480" t="s">
        <v>87</v>
      </c>
      <c r="M480" t="s">
        <v>88</v>
      </c>
      <c r="N480" t="s">
        <v>89</v>
      </c>
      <c r="O480" t="s">
        <v>89</v>
      </c>
      <c r="P480" t="s">
        <v>90</v>
      </c>
      <c r="Q480" t="s">
        <v>114</v>
      </c>
      <c r="R480">
        <v>8</v>
      </c>
      <c r="S480">
        <v>5</v>
      </c>
      <c r="T480">
        <v>2007</v>
      </c>
      <c r="U480">
        <v>2008</v>
      </c>
      <c r="V480" t="s">
        <v>151</v>
      </c>
      <c r="W480" t="s">
        <v>93</v>
      </c>
      <c r="X480" t="s">
        <v>94</v>
      </c>
      <c r="Y480" t="s">
        <v>94</v>
      </c>
      <c r="Z480" t="s">
        <v>136</v>
      </c>
      <c r="AA480">
        <v>336</v>
      </c>
      <c r="AB480" t="s">
        <v>96</v>
      </c>
      <c r="AC480" t="s">
        <v>97</v>
      </c>
      <c r="AD480" t="s">
        <v>98</v>
      </c>
      <c r="AE480" t="s">
        <v>103</v>
      </c>
      <c r="AF480" t="s">
        <v>97</v>
      </c>
      <c r="AG480" t="s">
        <v>96</v>
      </c>
      <c r="AH480" t="s">
        <v>100</v>
      </c>
      <c r="AI480">
        <v>1288</v>
      </c>
      <c r="AJ480" t="s">
        <v>101</v>
      </c>
      <c r="AK480">
        <v>0</v>
      </c>
      <c r="AL480">
        <v>417</v>
      </c>
      <c r="AM480">
        <v>1705</v>
      </c>
      <c r="AN480" t="s">
        <v>102</v>
      </c>
      <c r="AO480" t="s">
        <v>103</v>
      </c>
      <c r="AP480" t="s">
        <v>104</v>
      </c>
      <c r="AQ480" t="s">
        <v>105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96</v>
      </c>
      <c r="BC480">
        <v>7</v>
      </c>
      <c r="BD480" t="s">
        <v>106</v>
      </c>
      <c r="BE480">
        <v>1</v>
      </c>
      <c r="BF480" t="s">
        <v>96</v>
      </c>
      <c r="BG480" t="s">
        <v>107</v>
      </c>
      <c r="BH480">
        <v>2007</v>
      </c>
      <c r="BI480" t="s">
        <v>108</v>
      </c>
      <c r="BJ480">
        <v>3</v>
      </c>
      <c r="BK480">
        <v>826</v>
      </c>
      <c r="BL480" t="s">
        <v>97</v>
      </c>
      <c r="BM480" t="s">
        <v>97</v>
      </c>
      <c r="BN480" t="s">
        <v>104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X480">
        <v>0</v>
      </c>
      <c r="BY480">
        <v>9</v>
      </c>
      <c r="BZ480">
        <v>2009</v>
      </c>
      <c r="CA480" t="s">
        <v>109</v>
      </c>
      <c r="CB480" t="s">
        <v>110</v>
      </c>
      <c r="CC480">
        <v>297000</v>
      </c>
    </row>
    <row r="481" spans="1:81" x14ac:dyDescent="0.3">
      <c r="A481">
        <v>480</v>
      </c>
      <c r="B481">
        <v>30</v>
      </c>
      <c r="C481" t="s">
        <v>141</v>
      </c>
      <c r="D481">
        <v>50</v>
      </c>
      <c r="E481">
        <v>5925</v>
      </c>
      <c r="F481" t="s">
        <v>82</v>
      </c>
      <c r="H481" t="s">
        <v>83</v>
      </c>
      <c r="I481" t="s">
        <v>174</v>
      </c>
      <c r="J481" t="s">
        <v>85</v>
      </c>
      <c r="K481" t="s">
        <v>86</v>
      </c>
      <c r="L481" t="s">
        <v>87</v>
      </c>
      <c r="M481" t="s">
        <v>142</v>
      </c>
      <c r="N481" t="s">
        <v>89</v>
      </c>
      <c r="O481" t="s">
        <v>89</v>
      </c>
      <c r="P481" t="s">
        <v>90</v>
      </c>
      <c r="Q481" t="s">
        <v>114</v>
      </c>
      <c r="R481">
        <v>4</v>
      </c>
      <c r="S481">
        <v>7</v>
      </c>
      <c r="T481">
        <v>1937</v>
      </c>
      <c r="U481">
        <v>2000</v>
      </c>
      <c r="V481" t="s">
        <v>151</v>
      </c>
      <c r="W481" t="s">
        <v>93</v>
      </c>
      <c r="X481" t="s">
        <v>202</v>
      </c>
      <c r="Y481" t="s">
        <v>202</v>
      </c>
      <c r="Z481" t="s">
        <v>206</v>
      </c>
      <c r="AA481">
        <v>435</v>
      </c>
      <c r="AB481" t="s">
        <v>97</v>
      </c>
      <c r="AC481" t="s">
        <v>97</v>
      </c>
      <c r="AD481" t="s">
        <v>125</v>
      </c>
      <c r="AE481" t="s">
        <v>146</v>
      </c>
      <c r="AF481" t="s">
        <v>97</v>
      </c>
      <c r="AG481" t="s">
        <v>99</v>
      </c>
      <c r="AH481" t="s">
        <v>152</v>
      </c>
      <c r="AI481">
        <v>168</v>
      </c>
      <c r="AJ481" t="s">
        <v>101</v>
      </c>
      <c r="AK481">
        <v>0</v>
      </c>
      <c r="AL481">
        <v>739</v>
      </c>
      <c r="AM481">
        <v>907</v>
      </c>
      <c r="AN481" t="s">
        <v>102</v>
      </c>
      <c r="AO481" t="s">
        <v>97</v>
      </c>
      <c r="AP481" t="s">
        <v>104</v>
      </c>
      <c r="AQ481" t="s">
        <v>105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97</v>
      </c>
      <c r="BC481">
        <v>7</v>
      </c>
      <c r="BD481" t="s">
        <v>106</v>
      </c>
      <c r="BE481">
        <v>0</v>
      </c>
      <c r="BG481" t="s">
        <v>126</v>
      </c>
      <c r="BH481">
        <v>1995</v>
      </c>
      <c r="BI481" t="s">
        <v>101</v>
      </c>
      <c r="BJ481">
        <v>2</v>
      </c>
      <c r="BK481">
        <v>672</v>
      </c>
      <c r="BL481" t="s">
        <v>97</v>
      </c>
      <c r="BM481" t="s">
        <v>97</v>
      </c>
      <c r="BN481" t="s">
        <v>104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V481" t="s">
        <v>133</v>
      </c>
      <c r="BX481">
        <v>0</v>
      </c>
      <c r="BY481">
        <v>3</v>
      </c>
      <c r="BZ481">
        <v>2007</v>
      </c>
      <c r="CA481" t="s">
        <v>109</v>
      </c>
      <c r="CB481" t="s">
        <v>209</v>
      </c>
      <c r="CC481">
        <v>89471</v>
      </c>
    </row>
    <row r="482" spans="1:81" x14ac:dyDescent="0.3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H482" t="s">
        <v>119</v>
      </c>
      <c r="I482" t="s">
        <v>84</v>
      </c>
      <c r="J482" t="s">
        <v>85</v>
      </c>
      <c r="K482" t="s">
        <v>111</v>
      </c>
      <c r="L482" t="s">
        <v>87</v>
      </c>
      <c r="M482" t="s">
        <v>153</v>
      </c>
      <c r="N482" t="s">
        <v>89</v>
      </c>
      <c r="O482" t="s">
        <v>89</v>
      </c>
      <c r="P482" t="s">
        <v>90</v>
      </c>
      <c r="Q482" t="s">
        <v>114</v>
      </c>
      <c r="R482">
        <v>9</v>
      </c>
      <c r="S482">
        <v>5</v>
      </c>
      <c r="T482">
        <v>2004</v>
      </c>
      <c r="U482">
        <v>2005</v>
      </c>
      <c r="V482" t="s">
        <v>151</v>
      </c>
      <c r="W482" t="s">
        <v>93</v>
      </c>
      <c r="X482" t="s">
        <v>94</v>
      </c>
      <c r="Y482" t="s">
        <v>94</v>
      </c>
      <c r="Z482" t="s">
        <v>95</v>
      </c>
      <c r="AA482">
        <v>378</v>
      </c>
      <c r="AB482" t="s">
        <v>96</v>
      </c>
      <c r="AC482" t="s">
        <v>97</v>
      </c>
      <c r="AD482" t="s">
        <v>98</v>
      </c>
      <c r="AE482" t="s">
        <v>103</v>
      </c>
      <c r="AF482" t="s">
        <v>97</v>
      </c>
      <c r="AG482" t="s">
        <v>96</v>
      </c>
      <c r="AH482" t="s">
        <v>100</v>
      </c>
      <c r="AI482">
        <v>1261</v>
      </c>
      <c r="AJ482" t="s">
        <v>101</v>
      </c>
      <c r="AK482">
        <v>0</v>
      </c>
      <c r="AL482">
        <v>572</v>
      </c>
      <c r="AM482">
        <v>1833</v>
      </c>
      <c r="AN482" t="s">
        <v>102</v>
      </c>
      <c r="AO482" t="s">
        <v>103</v>
      </c>
      <c r="AP482" t="s">
        <v>104</v>
      </c>
      <c r="AQ482" t="s">
        <v>105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96</v>
      </c>
      <c r="BC482">
        <v>8</v>
      </c>
      <c r="BD482" t="s">
        <v>106</v>
      </c>
      <c r="BE482">
        <v>1</v>
      </c>
      <c r="BF482" t="s">
        <v>96</v>
      </c>
      <c r="BG482" t="s">
        <v>107</v>
      </c>
      <c r="BH482">
        <v>2004</v>
      </c>
      <c r="BI482" t="s">
        <v>156</v>
      </c>
      <c r="BJ482">
        <v>3</v>
      </c>
      <c r="BK482">
        <v>772</v>
      </c>
      <c r="BL482" t="s">
        <v>97</v>
      </c>
      <c r="BM482" t="s">
        <v>97</v>
      </c>
      <c r="BN482" t="s">
        <v>104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X482">
        <v>0</v>
      </c>
      <c r="BY482">
        <v>3</v>
      </c>
      <c r="BZ482">
        <v>2006</v>
      </c>
      <c r="CA482" t="s">
        <v>109</v>
      </c>
      <c r="CB482" t="s">
        <v>110</v>
      </c>
      <c r="CC482">
        <v>326000</v>
      </c>
    </row>
    <row r="483" spans="1:81" x14ac:dyDescent="0.3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H483" t="s">
        <v>119</v>
      </c>
      <c r="I483" t="s">
        <v>198</v>
      </c>
      <c r="J483" t="s">
        <v>85</v>
      </c>
      <c r="K483" t="s">
        <v>86</v>
      </c>
      <c r="L483" t="s">
        <v>87</v>
      </c>
      <c r="M483" t="s">
        <v>153</v>
      </c>
      <c r="N483" t="s">
        <v>89</v>
      </c>
      <c r="O483" t="s">
        <v>89</v>
      </c>
      <c r="P483" t="s">
        <v>90</v>
      </c>
      <c r="Q483" t="s">
        <v>114</v>
      </c>
      <c r="R483">
        <v>9</v>
      </c>
      <c r="S483">
        <v>5</v>
      </c>
      <c r="T483">
        <v>2003</v>
      </c>
      <c r="U483">
        <v>2004</v>
      </c>
      <c r="V483" t="s">
        <v>151</v>
      </c>
      <c r="W483" t="s">
        <v>93</v>
      </c>
      <c r="X483" t="s">
        <v>94</v>
      </c>
      <c r="Y483" t="s">
        <v>94</v>
      </c>
      <c r="Z483" t="s">
        <v>95</v>
      </c>
      <c r="AA483">
        <v>562</v>
      </c>
      <c r="AB483" t="s">
        <v>96</v>
      </c>
      <c r="AC483" t="s">
        <v>97</v>
      </c>
      <c r="AD483" t="s">
        <v>98</v>
      </c>
      <c r="AE483" t="s">
        <v>103</v>
      </c>
      <c r="AF483" t="s">
        <v>97</v>
      </c>
      <c r="AG483" t="s">
        <v>96</v>
      </c>
      <c r="AH483" t="s">
        <v>100</v>
      </c>
      <c r="AI483">
        <v>1567</v>
      </c>
      <c r="AJ483" t="s">
        <v>101</v>
      </c>
      <c r="AK483">
        <v>0</v>
      </c>
      <c r="AL483">
        <v>225</v>
      </c>
      <c r="AM483">
        <v>1792</v>
      </c>
      <c r="AN483" t="s">
        <v>102</v>
      </c>
      <c r="AO483" t="s">
        <v>103</v>
      </c>
      <c r="AP483" t="s">
        <v>104</v>
      </c>
      <c r="AQ483" t="s">
        <v>105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103</v>
      </c>
      <c r="BC483">
        <v>6</v>
      </c>
      <c r="BD483" t="s">
        <v>106</v>
      </c>
      <c r="BE483">
        <v>1</v>
      </c>
      <c r="BF483" t="s">
        <v>96</v>
      </c>
      <c r="BG483" t="s">
        <v>107</v>
      </c>
      <c r="BH483">
        <v>2003</v>
      </c>
      <c r="BI483" t="s">
        <v>156</v>
      </c>
      <c r="BJ483">
        <v>3</v>
      </c>
      <c r="BK483">
        <v>874</v>
      </c>
      <c r="BL483" t="s">
        <v>97</v>
      </c>
      <c r="BM483" t="s">
        <v>97</v>
      </c>
      <c r="BN483" t="s">
        <v>104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X483">
        <v>0</v>
      </c>
      <c r="BY483">
        <v>8</v>
      </c>
      <c r="BZ483">
        <v>2006</v>
      </c>
      <c r="CA483" t="s">
        <v>109</v>
      </c>
      <c r="CB483" t="s">
        <v>110</v>
      </c>
      <c r="CC483">
        <v>374000</v>
      </c>
    </row>
    <row r="484" spans="1:81" x14ac:dyDescent="0.3">
      <c r="A484">
        <v>483</v>
      </c>
      <c r="B484">
        <v>70</v>
      </c>
      <c r="C484" t="s">
        <v>141</v>
      </c>
      <c r="D484">
        <v>50</v>
      </c>
      <c r="E484">
        <v>2500</v>
      </c>
      <c r="F484" t="s">
        <v>82</v>
      </c>
      <c r="G484" t="s">
        <v>82</v>
      </c>
      <c r="H484" t="s">
        <v>83</v>
      </c>
      <c r="I484" t="s">
        <v>84</v>
      </c>
      <c r="J484" t="s">
        <v>85</v>
      </c>
      <c r="K484" t="s">
        <v>121</v>
      </c>
      <c r="L484" t="s">
        <v>87</v>
      </c>
      <c r="M484" t="s">
        <v>142</v>
      </c>
      <c r="N484" t="s">
        <v>89</v>
      </c>
      <c r="O484" t="s">
        <v>89</v>
      </c>
      <c r="P484" t="s">
        <v>90</v>
      </c>
      <c r="Q484" t="s">
        <v>91</v>
      </c>
      <c r="R484">
        <v>7</v>
      </c>
      <c r="S484">
        <v>8</v>
      </c>
      <c r="T484">
        <v>1915</v>
      </c>
      <c r="U484">
        <v>2005</v>
      </c>
      <c r="V484" t="s">
        <v>92</v>
      </c>
      <c r="W484" t="s">
        <v>93</v>
      </c>
      <c r="X484" t="s">
        <v>202</v>
      </c>
      <c r="Y484" t="s">
        <v>202</v>
      </c>
      <c r="Z484" t="s">
        <v>116</v>
      </c>
      <c r="AA484">
        <v>0</v>
      </c>
      <c r="AB484" t="s">
        <v>96</v>
      </c>
      <c r="AC484" t="s">
        <v>97</v>
      </c>
      <c r="AD484" t="s">
        <v>98</v>
      </c>
      <c r="AE484" t="s">
        <v>97</v>
      </c>
      <c r="AF484" t="s">
        <v>97</v>
      </c>
      <c r="AG484" t="s">
        <v>99</v>
      </c>
      <c r="AH484" t="s">
        <v>118</v>
      </c>
      <c r="AI484">
        <v>299</v>
      </c>
      <c r="AJ484" t="s">
        <v>101</v>
      </c>
      <c r="AK484">
        <v>0</v>
      </c>
      <c r="AL484">
        <v>611</v>
      </c>
      <c r="AM484">
        <v>910</v>
      </c>
      <c r="AN484" t="s">
        <v>102</v>
      </c>
      <c r="AO484" t="s">
        <v>103</v>
      </c>
      <c r="AP484" t="s">
        <v>104</v>
      </c>
      <c r="AQ484" t="s">
        <v>105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103</v>
      </c>
      <c r="BC484">
        <v>7</v>
      </c>
      <c r="BD484" t="s">
        <v>223</v>
      </c>
      <c r="BE484">
        <v>1</v>
      </c>
      <c r="BF484" t="s">
        <v>96</v>
      </c>
      <c r="BG484" t="s">
        <v>107</v>
      </c>
      <c r="BH484">
        <v>1915</v>
      </c>
      <c r="BI484" t="s">
        <v>101</v>
      </c>
      <c r="BJ484">
        <v>1</v>
      </c>
      <c r="BK484">
        <v>164</v>
      </c>
      <c r="BL484" t="s">
        <v>146</v>
      </c>
      <c r="BM484" t="s">
        <v>146</v>
      </c>
      <c r="BN484" t="s">
        <v>104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X484">
        <v>0</v>
      </c>
      <c r="BY484">
        <v>6</v>
      </c>
      <c r="BZ484">
        <v>2009</v>
      </c>
      <c r="CA484" t="s">
        <v>109</v>
      </c>
      <c r="CB484" t="s">
        <v>110</v>
      </c>
      <c r="CC484">
        <v>155000</v>
      </c>
    </row>
    <row r="485" spans="1:81" x14ac:dyDescent="0.3">
      <c r="A485">
        <v>484</v>
      </c>
      <c r="B485">
        <v>120</v>
      </c>
      <c r="C485" t="s">
        <v>141</v>
      </c>
      <c r="D485">
        <v>32</v>
      </c>
      <c r="E485">
        <v>4500</v>
      </c>
      <c r="F485" t="s">
        <v>82</v>
      </c>
      <c r="H485" t="s">
        <v>83</v>
      </c>
      <c r="I485" t="s">
        <v>84</v>
      </c>
      <c r="J485" t="s">
        <v>85</v>
      </c>
      <c r="K485" t="s">
        <v>111</v>
      </c>
      <c r="L485" t="s">
        <v>87</v>
      </c>
      <c r="M485" t="s">
        <v>130</v>
      </c>
      <c r="N485" t="s">
        <v>89</v>
      </c>
      <c r="O485" t="s">
        <v>89</v>
      </c>
      <c r="P485" t="s">
        <v>197</v>
      </c>
      <c r="Q485" t="s">
        <v>114</v>
      </c>
      <c r="R485">
        <v>6</v>
      </c>
      <c r="S485">
        <v>5</v>
      </c>
      <c r="T485">
        <v>1998</v>
      </c>
      <c r="U485">
        <v>1998</v>
      </c>
      <c r="V485" t="s">
        <v>151</v>
      </c>
      <c r="W485" t="s">
        <v>93</v>
      </c>
      <c r="X485" t="s">
        <v>94</v>
      </c>
      <c r="Y485" t="s">
        <v>94</v>
      </c>
      <c r="Z485" t="s">
        <v>95</v>
      </c>
      <c r="AA485">
        <v>116</v>
      </c>
      <c r="AB485" t="s">
        <v>97</v>
      </c>
      <c r="AC485" t="s">
        <v>97</v>
      </c>
      <c r="AD485" t="s">
        <v>98</v>
      </c>
      <c r="AE485" t="s">
        <v>103</v>
      </c>
      <c r="AF485" t="s">
        <v>97</v>
      </c>
      <c r="AG485" t="s">
        <v>99</v>
      </c>
      <c r="AH485" t="s">
        <v>100</v>
      </c>
      <c r="AI485">
        <v>897</v>
      </c>
      <c r="AJ485" t="s">
        <v>101</v>
      </c>
      <c r="AK485">
        <v>0</v>
      </c>
      <c r="AL485">
        <v>319</v>
      </c>
      <c r="AM485">
        <v>1216</v>
      </c>
      <c r="AN485" t="s">
        <v>102</v>
      </c>
      <c r="AO485" t="s">
        <v>103</v>
      </c>
      <c r="AP485" t="s">
        <v>104</v>
      </c>
      <c r="AQ485" t="s">
        <v>105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97</v>
      </c>
      <c r="BC485">
        <v>5</v>
      </c>
      <c r="BD485" t="s">
        <v>106</v>
      </c>
      <c r="BE485">
        <v>0</v>
      </c>
      <c r="BG485" t="s">
        <v>107</v>
      </c>
      <c r="BH485">
        <v>1998</v>
      </c>
      <c r="BI485" t="s">
        <v>101</v>
      </c>
      <c r="BJ485">
        <v>2</v>
      </c>
      <c r="BK485">
        <v>402</v>
      </c>
      <c r="BL485" t="s">
        <v>97</v>
      </c>
      <c r="BM485" t="s">
        <v>97</v>
      </c>
      <c r="BN485" t="s">
        <v>104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X485">
        <v>0</v>
      </c>
      <c r="BY485">
        <v>5</v>
      </c>
      <c r="BZ485">
        <v>2006</v>
      </c>
      <c r="CA485" t="s">
        <v>109</v>
      </c>
      <c r="CB485" t="s">
        <v>110</v>
      </c>
      <c r="CC485">
        <v>164000</v>
      </c>
    </row>
    <row r="486" spans="1:81" x14ac:dyDescent="0.3">
      <c r="A486">
        <v>485</v>
      </c>
      <c r="B486">
        <v>20</v>
      </c>
      <c r="C486" t="s">
        <v>81</v>
      </c>
      <c r="E486">
        <v>7758</v>
      </c>
      <c r="F486" t="s">
        <v>82</v>
      </c>
      <c r="H486" t="s">
        <v>119</v>
      </c>
      <c r="I486" t="s">
        <v>84</v>
      </c>
      <c r="J486" t="s">
        <v>85</v>
      </c>
      <c r="K486" t="s">
        <v>121</v>
      </c>
      <c r="L486" t="s">
        <v>87</v>
      </c>
      <c r="M486" t="s">
        <v>150</v>
      </c>
      <c r="N486" t="s">
        <v>89</v>
      </c>
      <c r="O486" t="s">
        <v>89</v>
      </c>
      <c r="P486" t="s">
        <v>90</v>
      </c>
      <c r="Q486" t="s">
        <v>114</v>
      </c>
      <c r="R486">
        <v>5</v>
      </c>
      <c r="S486">
        <v>7</v>
      </c>
      <c r="T486">
        <v>1962</v>
      </c>
      <c r="U486">
        <v>2001</v>
      </c>
      <c r="V486" t="s">
        <v>92</v>
      </c>
      <c r="W486" t="s">
        <v>93</v>
      </c>
      <c r="X486" t="s">
        <v>139</v>
      </c>
      <c r="Y486" t="s">
        <v>160</v>
      </c>
      <c r="Z486" t="s">
        <v>116</v>
      </c>
      <c r="AA486">
        <v>0</v>
      </c>
      <c r="AB486" t="s">
        <v>97</v>
      </c>
      <c r="AC486" t="s">
        <v>96</v>
      </c>
      <c r="AD486" t="s">
        <v>117</v>
      </c>
      <c r="AE486" t="s">
        <v>97</v>
      </c>
      <c r="AF486" t="s">
        <v>97</v>
      </c>
      <c r="AG486" t="s">
        <v>99</v>
      </c>
      <c r="AH486" t="s">
        <v>118</v>
      </c>
      <c r="AI486">
        <v>588</v>
      </c>
      <c r="AJ486" t="s">
        <v>101</v>
      </c>
      <c r="AK486">
        <v>0</v>
      </c>
      <c r="AL486">
        <v>411</v>
      </c>
      <c r="AM486">
        <v>999</v>
      </c>
      <c r="AN486" t="s">
        <v>102</v>
      </c>
      <c r="AO486" t="s">
        <v>96</v>
      </c>
      <c r="AP486" t="s">
        <v>104</v>
      </c>
      <c r="AQ486" t="s">
        <v>105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96</v>
      </c>
      <c r="BC486">
        <v>6</v>
      </c>
      <c r="BD486" t="s">
        <v>106</v>
      </c>
      <c r="BE486">
        <v>0</v>
      </c>
      <c r="BG486" t="s">
        <v>126</v>
      </c>
      <c r="BH486">
        <v>1963</v>
      </c>
      <c r="BI486" t="s">
        <v>101</v>
      </c>
      <c r="BJ486">
        <v>1</v>
      </c>
      <c r="BK486">
        <v>264</v>
      </c>
      <c r="BL486" t="s">
        <v>97</v>
      </c>
      <c r="BM486" t="s">
        <v>97</v>
      </c>
      <c r="BN486" t="s">
        <v>104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X486">
        <v>0</v>
      </c>
      <c r="BY486">
        <v>3</v>
      </c>
      <c r="BZ486">
        <v>2007</v>
      </c>
      <c r="CA486" t="s">
        <v>109</v>
      </c>
      <c r="CB486" t="s">
        <v>110</v>
      </c>
      <c r="CC486">
        <v>132500</v>
      </c>
    </row>
    <row r="487" spans="1:81" x14ac:dyDescent="0.3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H487" t="s">
        <v>83</v>
      </c>
      <c r="I487" t="s">
        <v>84</v>
      </c>
      <c r="J487" t="s">
        <v>85</v>
      </c>
      <c r="K487" t="s">
        <v>86</v>
      </c>
      <c r="L487" t="s">
        <v>87</v>
      </c>
      <c r="M487" t="s">
        <v>270</v>
      </c>
      <c r="N487" t="s">
        <v>89</v>
      </c>
      <c r="O487" t="s">
        <v>89</v>
      </c>
      <c r="P487" t="s">
        <v>90</v>
      </c>
      <c r="Q487" t="s">
        <v>114</v>
      </c>
      <c r="R487">
        <v>5</v>
      </c>
      <c r="S487">
        <v>7</v>
      </c>
      <c r="T487">
        <v>1950</v>
      </c>
      <c r="U487">
        <v>2007</v>
      </c>
      <c r="V487" t="s">
        <v>92</v>
      </c>
      <c r="W487" t="s">
        <v>93</v>
      </c>
      <c r="X487" t="s">
        <v>115</v>
      </c>
      <c r="Y487" t="s">
        <v>115</v>
      </c>
      <c r="Z487" t="s">
        <v>116</v>
      </c>
      <c r="AA487">
        <v>0</v>
      </c>
      <c r="AB487" t="s">
        <v>96</v>
      </c>
      <c r="AC487" t="s">
        <v>97</v>
      </c>
      <c r="AD487" t="s">
        <v>117</v>
      </c>
      <c r="AE487" t="s">
        <v>97</v>
      </c>
      <c r="AF487" t="s">
        <v>97</v>
      </c>
      <c r="AG487" t="s">
        <v>99</v>
      </c>
      <c r="AH487" t="s">
        <v>118</v>
      </c>
      <c r="AI487">
        <v>607</v>
      </c>
      <c r="AJ487" t="s">
        <v>101</v>
      </c>
      <c r="AK487">
        <v>0</v>
      </c>
      <c r="AL487">
        <v>506</v>
      </c>
      <c r="AM487">
        <v>1113</v>
      </c>
      <c r="AN487" t="s">
        <v>102</v>
      </c>
      <c r="AO487" t="s">
        <v>96</v>
      </c>
      <c r="AP487" t="s">
        <v>104</v>
      </c>
      <c r="AQ487" t="s">
        <v>105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96</v>
      </c>
      <c r="BC487">
        <v>5</v>
      </c>
      <c r="BD487" t="s">
        <v>106</v>
      </c>
      <c r="BE487">
        <v>1</v>
      </c>
      <c r="BF487" t="s">
        <v>96</v>
      </c>
      <c r="BG487" t="s">
        <v>107</v>
      </c>
      <c r="BH487">
        <v>1950</v>
      </c>
      <c r="BI487" t="s">
        <v>101</v>
      </c>
      <c r="BJ487">
        <v>1</v>
      </c>
      <c r="BK487">
        <v>264</v>
      </c>
      <c r="BL487" t="s">
        <v>97</v>
      </c>
      <c r="BM487" t="s">
        <v>97</v>
      </c>
      <c r="BN487" t="s">
        <v>104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X487">
        <v>0</v>
      </c>
      <c r="BY487">
        <v>7</v>
      </c>
      <c r="BZ487">
        <v>2009</v>
      </c>
      <c r="CA487" t="s">
        <v>109</v>
      </c>
      <c r="CB487" t="s">
        <v>110</v>
      </c>
      <c r="CC487">
        <v>147000</v>
      </c>
    </row>
    <row r="488" spans="1:81" x14ac:dyDescent="0.3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H488" t="s">
        <v>83</v>
      </c>
      <c r="I488" t="s">
        <v>84</v>
      </c>
      <c r="J488" t="s">
        <v>85</v>
      </c>
      <c r="K488" t="s">
        <v>86</v>
      </c>
      <c r="L488" t="s">
        <v>87</v>
      </c>
      <c r="M488" t="s">
        <v>270</v>
      </c>
      <c r="N488" t="s">
        <v>89</v>
      </c>
      <c r="O488" t="s">
        <v>89</v>
      </c>
      <c r="P488" t="s">
        <v>90</v>
      </c>
      <c r="Q488" t="s">
        <v>114</v>
      </c>
      <c r="R488">
        <v>5</v>
      </c>
      <c r="S488">
        <v>7</v>
      </c>
      <c r="T488">
        <v>1965</v>
      </c>
      <c r="U488">
        <v>1965</v>
      </c>
      <c r="V488" t="s">
        <v>151</v>
      </c>
      <c r="W488" t="s">
        <v>93</v>
      </c>
      <c r="X488" t="s">
        <v>115</v>
      </c>
      <c r="Y488" t="s">
        <v>115</v>
      </c>
      <c r="Z488" t="s">
        <v>95</v>
      </c>
      <c r="AA488">
        <v>168</v>
      </c>
      <c r="AB488" t="s">
        <v>97</v>
      </c>
      <c r="AC488" t="s">
        <v>97</v>
      </c>
      <c r="AD488" t="s">
        <v>117</v>
      </c>
      <c r="AE488" t="s">
        <v>97</v>
      </c>
      <c r="AF488" t="s">
        <v>97</v>
      </c>
      <c r="AG488" t="s">
        <v>99</v>
      </c>
      <c r="AH488" t="s">
        <v>118</v>
      </c>
      <c r="AI488">
        <v>836</v>
      </c>
      <c r="AJ488" t="s">
        <v>101</v>
      </c>
      <c r="AK488">
        <v>0</v>
      </c>
      <c r="AL488">
        <v>237</v>
      </c>
      <c r="AM488">
        <v>1073</v>
      </c>
      <c r="AN488" t="s">
        <v>102</v>
      </c>
      <c r="AO488" t="s">
        <v>97</v>
      </c>
      <c r="AP488" t="s">
        <v>104</v>
      </c>
      <c r="AQ488" t="s">
        <v>105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97</v>
      </c>
      <c r="BC488">
        <v>6</v>
      </c>
      <c r="BD488" t="s">
        <v>106</v>
      </c>
      <c r="BE488">
        <v>0</v>
      </c>
      <c r="BG488" t="s">
        <v>107</v>
      </c>
      <c r="BH488">
        <v>1965</v>
      </c>
      <c r="BI488" t="s">
        <v>108</v>
      </c>
      <c r="BJ488">
        <v>2</v>
      </c>
      <c r="BK488">
        <v>515</v>
      </c>
      <c r="BL488" t="s">
        <v>97</v>
      </c>
      <c r="BM488" t="s">
        <v>97</v>
      </c>
      <c r="BN488" t="s">
        <v>104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X488">
        <v>0</v>
      </c>
      <c r="BY488">
        <v>6</v>
      </c>
      <c r="BZ488">
        <v>2007</v>
      </c>
      <c r="CA488" t="s">
        <v>109</v>
      </c>
      <c r="CB488" t="s">
        <v>110</v>
      </c>
      <c r="CC488">
        <v>156000</v>
      </c>
    </row>
    <row r="489" spans="1:81" x14ac:dyDescent="0.3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H489" t="s">
        <v>119</v>
      </c>
      <c r="I489" t="s">
        <v>84</v>
      </c>
      <c r="J489" t="s">
        <v>85</v>
      </c>
      <c r="K489" t="s">
        <v>86</v>
      </c>
      <c r="L489" t="s">
        <v>87</v>
      </c>
      <c r="M489" t="s">
        <v>137</v>
      </c>
      <c r="N489" t="s">
        <v>89</v>
      </c>
      <c r="O489" t="s">
        <v>89</v>
      </c>
      <c r="P489" t="s">
        <v>90</v>
      </c>
      <c r="Q489" t="s">
        <v>114</v>
      </c>
      <c r="R489">
        <v>5</v>
      </c>
      <c r="S489">
        <v>6</v>
      </c>
      <c r="T489">
        <v>1971</v>
      </c>
      <c r="U489">
        <v>1971</v>
      </c>
      <c r="V489" t="s">
        <v>92</v>
      </c>
      <c r="W489" t="s">
        <v>93</v>
      </c>
      <c r="X489" t="s">
        <v>160</v>
      </c>
      <c r="Y489" t="s">
        <v>160</v>
      </c>
      <c r="Z489" t="s">
        <v>116</v>
      </c>
      <c r="AA489">
        <v>0</v>
      </c>
      <c r="AB489" t="s">
        <v>97</v>
      </c>
      <c r="AC489" t="s">
        <v>97</v>
      </c>
      <c r="AD489" t="s">
        <v>117</v>
      </c>
      <c r="AE489" t="s">
        <v>96</v>
      </c>
      <c r="AF489" t="s">
        <v>97</v>
      </c>
      <c r="AG489" t="s">
        <v>129</v>
      </c>
      <c r="AH489" t="s">
        <v>118</v>
      </c>
      <c r="AI489">
        <v>998</v>
      </c>
      <c r="AJ489" t="s">
        <v>101</v>
      </c>
      <c r="AK489">
        <v>0</v>
      </c>
      <c r="AL489">
        <v>486</v>
      </c>
      <c r="AM489">
        <v>1484</v>
      </c>
      <c r="AN489" t="s">
        <v>102</v>
      </c>
      <c r="AO489" t="s">
        <v>96</v>
      </c>
      <c r="AP489" t="s">
        <v>104</v>
      </c>
      <c r="AQ489" t="s">
        <v>105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97</v>
      </c>
      <c r="BC489">
        <v>7</v>
      </c>
      <c r="BD489" t="s">
        <v>106</v>
      </c>
      <c r="BE489">
        <v>1</v>
      </c>
      <c r="BF489" t="s">
        <v>97</v>
      </c>
      <c r="BG489" t="s">
        <v>107</v>
      </c>
      <c r="BH489">
        <v>1971</v>
      </c>
      <c r="BI489" t="s">
        <v>101</v>
      </c>
      <c r="BJ489">
        <v>2</v>
      </c>
      <c r="BK489">
        <v>487</v>
      </c>
      <c r="BL489" t="s">
        <v>97</v>
      </c>
      <c r="BM489" t="s">
        <v>97</v>
      </c>
      <c r="BN489" t="s">
        <v>104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X489">
        <v>0</v>
      </c>
      <c r="BY489">
        <v>2</v>
      </c>
      <c r="BZ489">
        <v>2007</v>
      </c>
      <c r="CA489" t="s">
        <v>109</v>
      </c>
      <c r="CB489" t="s">
        <v>110</v>
      </c>
      <c r="CC489">
        <v>175000</v>
      </c>
    </row>
    <row r="490" spans="1:81" x14ac:dyDescent="0.3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H490" t="s">
        <v>83</v>
      </c>
      <c r="I490" t="s">
        <v>84</v>
      </c>
      <c r="J490" t="s">
        <v>85</v>
      </c>
      <c r="K490" t="s">
        <v>121</v>
      </c>
      <c r="L490" t="s">
        <v>87</v>
      </c>
      <c r="M490" t="s">
        <v>142</v>
      </c>
      <c r="N490" t="s">
        <v>89</v>
      </c>
      <c r="O490" t="s">
        <v>89</v>
      </c>
      <c r="P490" t="s">
        <v>148</v>
      </c>
      <c r="Q490" t="s">
        <v>131</v>
      </c>
      <c r="R490">
        <v>5</v>
      </c>
      <c r="S490">
        <v>4</v>
      </c>
      <c r="T490">
        <v>1900</v>
      </c>
      <c r="U490">
        <v>1970</v>
      </c>
      <c r="V490" t="s">
        <v>92</v>
      </c>
      <c r="W490" t="s">
        <v>93</v>
      </c>
      <c r="X490" t="s">
        <v>123</v>
      </c>
      <c r="Y490" t="s">
        <v>123</v>
      </c>
      <c r="Z490" t="s">
        <v>116</v>
      </c>
      <c r="AA490">
        <v>0</v>
      </c>
      <c r="AB490" t="s">
        <v>97</v>
      </c>
      <c r="AC490" t="s">
        <v>146</v>
      </c>
      <c r="AD490" t="s">
        <v>117</v>
      </c>
      <c r="AE490" t="s">
        <v>97</v>
      </c>
      <c r="AF490" t="s">
        <v>146</v>
      </c>
      <c r="AG490" t="s">
        <v>99</v>
      </c>
      <c r="AH490" t="s">
        <v>140</v>
      </c>
      <c r="AI490">
        <v>664</v>
      </c>
      <c r="AJ490" t="s">
        <v>101</v>
      </c>
      <c r="AK490">
        <v>0</v>
      </c>
      <c r="AL490">
        <v>290</v>
      </c>
      <c r="AM490">
        <v>954</v>
      </c>
      <c r="AN490" t="s">
        <v>102</v>
      </c>
      <c r="AO490" t="s">
        <v>97</v>
      </c>
      <c r="AP490" t="s">
        <v>176</v>
      </c>
      <c r="AQ490" t="s">
        <v>163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97</v>
      </c>
      <c r="BC490">
        <v>10</v>
      </c>
      <c r="BD490" t="s">
        <v>193</v>
      </c>
      <c r="BE490">
        <v>1</v>
      </c>
      <c r="BF490" t="s">
        <v>96</v>
      </c>
      <c r="BG490" t="s">
        <v>107</v>
      </c>
      <c r="BH490">
        <v>1970</v>
      </c>
      <c r="BI490" t="s">
        <v>101</v>
      </c>
      <c r="BJ490">
        <v>2</v>
      </c>
      <c r="BK490">
        <v>520</v>
      </c>
      <c r="BL490" t="s">
        <v>97</v>
      </c>
      <c r="BM490" t="s">
        <v>146</v>
      </c>
      <c r="BN490" t="s">
        <v>176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X490">
        <v>0</v>
      </c>
      <c r="BY490">
        <v>5</v>
      </c>
      <c r="BZ490">
        <v>2006</v>
      </c>
      <c r="CA490" t="s">
        <v>207</v>
      </c>
      <c r="CB490" t="s">
        <v>110</v>
      </c>
      <c r="CC490">
        <v>160000</v>
      </c>
    </row>
    <row r="491" spans="1:81" x14ac:dyDescent="0.3">
      <c r="A491">
        <v>490</v>
      </c>
      <c r="B491">
        <v>180</v>
      </c>
      <c r="C491" t="s">
        <v>141</v>
      </c>
      <c r="D491">
        <v>21</v>
      </c>
      <c r="E491">
        <v>1526</v>
      </c>
      <c r="F491" t="s">
        <v>82</v>
      </c>
      <c r="H491" t="s">
        <v>83</v>
      </c>
      <c r="I491" t="s">
        <v>84</v>
      </c>
      <c r="J491" t="s">
        <v>85</v>
      </c>
      <c r="K491" t="s">
        <v>86</v>
      </c>
      <c r="L491" t="s">
        <v>87</v>
      </c>
      <c r="M491" t="s">
        <v>177</v>
      </c>
      <c r="N491" t="s">
        <v>89</v>
      </c>
      <c r="O491" t="s">
        <v>89</v>
      </c>
      <c r="P491" t="s">
        <v>197</v>
      </c>
      <c r="Q491" t="s">
        <v>190</v>
      </c>
      <c r="R491">
        <v>4</v>
      </c>
      <c r="S491">
        <v>8</v>
      </c>
      <c r="T491">
        <v>1970</v>
      </c>
      <c r="U491">
        <v>2002</v>
      </c>
      <c r="V491" t="s">
        <v>92</v>
      </c>
      <c r="W491" t="s">
        <v>93</v>
      </c>
      <c r="X491" t="s">
        <v>179</v>
      </c>
      <c r="Y491" t="s">
        <v>180</v>
      </c>
      <c r="Z491" t="s">
        <v>116</v>
      </c>
      <c r="AA491">
        <v>0</v>
      </c>
      <c r="AB491" t="s">
        <v>97</v>
      </c>
      <c r="AC491" t="s">
        <v>96</v>
      </c>
      <c r="AD491" t="s">
        <v>117</v>
      </c>
      <c r="AE491" t="s">
        <v>96</v>
      </c>
      <c r="AF491" t="s">
        <v>97</v>
      </c>
      <c r="AG491" t="s">
        <v>129</v>
      </c>
      <c r="AH491" t="s">
        <v>100</v>
      </c>
      <c r="AI491">
        <v>515</v>
      </c>
      <c r="AJ491" t="s">
        <v>101</v>
      </c>
      <c r="AK491">
        <v>0</v>
      </c>
      <c r="AL491">
        <v>115</v>
      </c>
      <c r="AM491">
        <v>630</v>
      </c>
      <c r="AN491" t="s">
        <v>102</v>
      </c>
      <c r="AO491" t="s">
        <v>97</v>
      </c>
      <c r="AP491" t="s">
        <v>104</v>
      </c>
      <c r="AQ491" t="s">
        <v>105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96</v>
      </c>
      <c r="BC491">
        <v>3</v>
      </c>
      <c r="BD491" t="s">
        <v>106</v>
      </c>
      <c r="BE491">
        <v>0</v>
      </c>
      <c r="BG491" t="s">
        <v>107</v>
      </c>
      <c r="BH491">
        <v>1970</v>
      </c>
      <c r="BI491" t="s">
        <v>101</v>
      </c>
      <c r="BJ491">
        <v>1</v>
      </c>
      <c r="BK491">
        <v>286</v>
      </c>
      <c r="BL491" t="s">
        <v>97</v>
      </c>
      <c r="BM491" t="s">
        <v>97</v>
      </c>
      <c r="BN491" t="s">
        <v>104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X491">
        <v>0</v>
      </c>
      <c r="BY491">
        <v>5</v>
      </c>
      <c r="BZ491">
        <v>2009</v>
      </c>
      <c r="CA491" t="s">
        <v>109</v>
      </c>
      <c r="CB491" t="s">
        <v>110</v>
      </c>
      <c r="CC491">
        <v>86000</v>
      </c>
    </row>
    <row r="492" spans="1:81" x14ac:dyDescent="0.3">
      <c r="A492">
        <v>491</v>
      </c>
      <c r="B492">
        <v>160</v>
      </c>
      <c r="C492" t="s">
        <v>141</v>
      </c>
      <c r="E492">
        <v>2665</v>
      </c>
      <c r="F492" t="s">
        <v>82</v>
      </c>
      <c r="H492" t="s">
        <v>83</v>
      </c>
      <c r="I492" t="s">
        <v>84</v>
      </c>
      <c r="J492" t="s">
        <v>85</v>
      </c>
      <c r="K492" t="s">
        <v>86</v>
      </c>
      <c r="L492" t="s">
        <v>87</v>
      </c>
      <c r="M492" t="s">
        <v>177</v>
      </c>
      <c r="N492" t="s">
        <v>89</v>
      </c>
      <c r="O492" t="s">
        <v>89</v>
      </c>
      <c r="P492" t="s">
        <v>178</v>
      </c>
      <c r="Q492" t="s">
        <v>91</v>
      </c>
      <c r="R492">
        <v>5</v>
      </c>
      <c r="S492">
        <v>6</v>
      </c>
      <c r="T492">
        <v>1976</v>
      </c>
      <c r="U492">
        <v>1976</v>
      </c>
      <c r="V492" t="s">
        <v>92</v>
      </c>
      <c r="W492" t="s">
        <v>93</v>
      </c>
      <c r="X492" t="s">
        <v>179</v>
      </c>
      <c r="Y492" t="s">
        <v>180</v>
      </c>
      <c r="Z492" t="s">
        <v>116</v>
      </c>
      <c r="AA492">
        <v>0</v>
      </c>
      <c r="AB492" t="s">
        <v>97</v>
      </c>
      <c r="AC492" t="s">
        <v>97</v>
      </c>
      <c r="AD492" t="s">
        <v>98</v>
      </c>
      <c r="AE492" t="s">
        <v>96</v>
      </c>
      <c r="AF492" t="s">
        <v>97</v>
      </c>
      <c r="AG492" t="s">
        <v>120</v>
      </c>
      <c r="AH492" t="s">
        <v>101</v>
      </c>
      <c r="AI492">
        <v>0</v>
      </c>
      <c r="AJ492" t="s">
        <v>101</v>
      </c>
      <c r="AK492">
        <v>0</v>
      </c>
      <c r="AL492">
        <v>264</v>
      </c>
      <c r="AM492">
        <v>264</v>
      </c>
      <c r="AN492" t="s">
        <v>102</v>
      </c>
      <c r="AO492" t="s">
        <v>97</v>
      </c>
      <c r="AP492" t="s">
        <v>104</v>
      </c>
      <c r="AQ492" t="s">
        <v>105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97</v>
      </c>
      <c r="BC492">
        <v>4</v>
      </c>
      <c r="BD492" t="s">
        <v>106</v>
      </c>
      <c r="BE492">
        <v>1</v>
      </c>
      <c r="BF492" t="s">
        <v>96</v>
      </c>
      <c r="BG492" t="s">
        <v>155</v>
      </c>
      <c r="BH492">
        <v>1976</v>
      </c>
      <c r="BI492" t="s">
        <v>156</v>
      </c>
      <c r="BJ492">
        <v>1</v>
      </c>
      <c r="BK492">
        <v>336</v>
      </c>
      <c r="BL492" t="s">
        <v>97</v>
      </c>
      <c r="BM492" t="s">
        <v>97</v>
      </c>
      <c r="BN492" t="s">
        <v>104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X492">
        <v>0</v>
      </c>
      <c r="BY492">
        <v>6</v>
      </c>
      <c r="BZ492">
        <v>2008</v>
      </c>
      <c r="CA492" t="s">
        <v>109</v>
      </c>
      <c r="CB492" t="s">
        <v>110</v>
      </c>
      <c r="CC492">
        <v>115000</v>
      </c>
    </row>
    <row r="493" spans="1:81" x14ac:dyDescent="0.3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H493" t="s">
        <v>83</v>
      </c>
      <c r="I493" t="s">
        <v>84</v>
      </c>
      <c r="J493" t="s">
        <v>85</v>
      </c>
      <c r="K493" t="s">
        <v>86</v>
      </c>
      <c r="L493" t="s">
        <v>87</v>
      </c>
      <c r="M493" t="s">
        <v>270</v>
      </c>
      <c r="N493" t="s">
        <v>143</v>
      </c>
      <c r="O493" t="s">
        <v>89</v>
      </c>
      <c r="P493" t="s">
        <v>90</v>
      </c>
      <c r="Q493" t="s">
        <v>131</v>
      </c>
      <c r="R493">
        <v>6</v>
      </c>
      <c r="S493">
        <v>7</v>
      </c>
      <c r="T493">
        <v>1941</v>
      </c>
      <c r="U493">
        <v>1950</v>
      </c>
      <c r="V493" t="s">
        <v>92</v>
      </c>
      <c r="W493" t="s">
        <v>93</v>
      </c>
      <c r="X493" t="s">
        <v>123</v>
      </c>
      <c r="Y493" t="s">
        <v>123</v>
      </c>
      <c r="Z493" t="s">
        <v>116</v>
      </c>
      <c r="AA493">
        <v>0</v>
      </c>
      <c r="AB493" t="s">
        <v>97</v>
      </c>
      <c r="AC493" t="s">
        <v>97</v>
      </c>
      <c r="AD493" t="s">
        <v>117</v>
      </c>
      <c r="AE493" t="s">
        <v>97</v>
      </c>
      <c r="AF493" t="s">
        <v>97</v>
      </c>
      <c r="AG493" t="s">
        <v>99</v>
      </c>
      <c r="AH493" t="s">
        <v>140</v>
      </c>
      <c r="AI493">
        <v>403</v>
      </c>
      <c r="AJ493" t="s">
        <v>152</v>
      </c>
      <c r="AK493">
        <v>165</v>
      </c>
      <c r="AL493">
        <v>238</v>
      </c>
      <c r="AM493">
        <v>806</v>
      </c>
      <c r="AN493" t="s">
        <v>102</v>
      </c>
      <c r="AO493" t="s">
        <v>97</v>
      </c>
      <c r="AP493" t="s">
        <v>104</v>
      </c>
      <c r="AQ493" t="s">
        <v>163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146</v>
      </c>
      <c r="BC493">
        <v>5</v>
      </c>
      <c r="BD493" t="s">
        <v>106</v>
      </c>
      <c r="BE493">
        <v>2</v>
      </c>
      <c r="BF493" t="s">
        <v>97</v>
      </c>
      <c r="BG493" t="s">
        <v>107</v>
      </c>
      <c r="BH493">
        <v>1941</v>
      </c>
      <c r="BI493" t="s">
        <v>101</v>
      </c>
      <c r="BJ493">
        <v>1</v>
      </c>
      <c r="BK493">
        <v>240</v>
      </c>
      <c r="BL493" t="s">
        <v>97</v>
      </c>
      <c r="BM493" t="s">
        <v>97</v>
      </c>
      <c r="BN493" t="s">
        <v>104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V493" t="s">
        <v>133</v>
      </c>
      <c r="BX493">
        <v>0</v>
      </c>
      <c r="BY493">
        <v>8</v>
      </c>
      <c r="BZ493">
        <v>2006</v>
      </c>
      <c r="CA493" t="s">
        <v>109</v>
      </c>
      <c r="CB493" t="s">
        <v>110</v>
      </c>
      <c r="CC493">
        <v>133000</v>
      </c>
    </row>
    <row r="494" spans="1:81" x14ac:dyDescent="0.3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H494" t="s">
        <v>119</v>
      </c>
      <c r="I494" t="s">
        <v>84</v>
      </c>
      <c r="J494" t="s">
        <v>85</v>
      </c>
      <c r="K494" t="s">
        <v>121</v>
      </c>
      <c r="L494" t="s">
        <v>87</v>
      </c>
      <c r="M494" t="s">
        <v>192</v>
      </c>
      <c r="N494" t="s">
        <v>89</v>
      </c>
      <c r="O494" t="s">
        <v>89</v>
      </c>
      <c r="P494" t="s">
        <v>90</v>
      </c>
      <c r="Q494" t="s">
        <v>91</v>
      </c>
      <c r="R494">
        <v>6</v>
      </c>
      <c r="S494">
        <v>5</v>
      </c>
      <c r="T494">
        <v>2006</v>
      </c>
      <c r="U494">
        <v>2006</v>
      </c>
      <c r="V494" t="s">
        <v>92</v>
      </c>
      <c r="W494" t="s">
        <v>93</v>
      </c>
      <c r="X494" t="s">
        <v>94</v>
      </c>
      <c r="Y494" t="s">
        <v>94</v>
      </c>
      <c r="Z494" t="s">
        <v>116</v>
      </c>
      <c r="AA494">
        <v>0</v>
      </c>
      <c r="AB494" t="s">
        <v>96</v>
      </c>
      <c r="AC494" t="s">
        <v>97</v>
      </c>
      <c r="AD494" t="s">
        <v>98</v>
      </c>
      <c r="AE494" t="s">
        <v>96</v>
      </c>
      <c r="AF494" t="s">
        <v>97</v>
      </c>
      <c r="AG494" t="s">
        <v>99</v>
      </c>
      <c r="AH494" t="s">
        <v>101</v>
      </c>
      <c r="AI494">
        <v>0</v>
      </c>
      <c r="AJ494" t="s">
        <v>101</v>
      </c>
      <c r="AK494">
        <v>0</v>
      </c>
      <c r="AL494">
        <v>728</v>
      </c>
      <c r="AM494">
        <v>728</v>
      </c>
      <c r="AN494" t="s">
        <v>102</v>
      </c>
      <c r="AO494" t="s">
        <v>96</v>
      </c>
      <c r="AP494" t="s">
        <v>104</v>
      </c>
      <c r="AQ494" t="s">
        <v>105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97</v>
      </c>
      <c r="BC494">
        <v>8</v>
      </c>
      <c r="BD494" t="s">
        <v>106</v>
      </c>
      <c r="BE494">
        <v>0</v>
      </c>
      <c r="BG494" t="s">
        <v>107</v>
      </c>
      <c r="BH494">
        <v>2006</v>
      </c>
      <c r="BI494" t="s">
        <v>108</v>
      </c>
      <c r="BJ494">
        <v>2</v>
      </c>
      <c r="BK494">
        <v>429</v>
      </c>
      <c r="BL494" t="s">
        <v>97</v>
      </c>
      <c r="BM494" t="s">
        <v>97</v>
      </c>
      <c r="BN494" t="s">
        <v>104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X494">
        <v>0</v>
      </c>
      <c r="BY494">
        <v>5</v>
      </c>
      <c r="BZ494">
        <v>2006</v>
      </c>
      <c r="CA494" t="s">
        <v>157</v>
      </c>
      <c r="CB494" t="s">
        <v>158</v>
      </c>
      <c r="CC494">
        <v>172785</v>
      </c>
    </row>
    <row r="495" spans="1:81" x14ac:dyDescent="0.3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H495" t="s">
        <v>83</v>
      </c>
      <c r="I495" t="s">
        <v>84</v>
      </c>
      <c r="J495" t="s">
        <v>85</v>
      </c>
      <c r="K495" t="s">
        <v>86</v>
      </c>
      <c r="L495" t="s">
        <v>87</v>
      </c>
      <c r="M495" t="s">
        <v>270</v>
      </c>
      <c r="N495" t="s">
        <v>89</v>
      </c>
      <c r="O495" t="s">
        <v>89</v>
      </c>
      <c r="P495" t="s">
        <v>90</v>
      </c>
      <c r="Q495" t="s">
        <v>114</v>
      </c>
      <c r="R495">
        <v>5</v>
      </c>
      <c r="S495">
        <v>6</v>
      </c>
      <c r="T495">
        <v>1960</v>
      </c>
      <c r="U495">
        <v>1960</v>
      </c>
      <c r="V495" t="s">
        <v>92</v>
      </c>
      <c r="W495" t="s">
        <v>93</v>
      </c>
      <c r="X495" t="s">
        <v>95</v>
      </c>
      <c r="Y495" t="s">
        <v>123</v>
      </c>
      <c r="Z495" t="s">
        <v>116</v>
      </c>
      <c r="AA495">
        <v>0</v>
      </c>
      <c r="AB495" t="s">
        <v>97</v>
      </c>
      <c r="AC495" t="s">
        <v>97</v>
      </c>
      <c r="AD495" t="s">
        <v>117</v>
      </c>
      <c r="AE495" t="s">
        <v>97</v>
      </c>
      <c r="AF495" t="s">
        <v>97</v>
      </c>
      <c r="AG495" t="s">
        <v>99</v>
      </c>
      <c r="AH495" t="s">
        <v>140</v>
      </c>
      <c r="AI495">
        <v>374</v>
      </c>
      <c r="AJ495" t="s">
        <v>171</v>
      </c>
      <c r="AK495">
        <v>532</v>
      </c>
      <c r="AL495">
        <v>363</v>
      </c>
      <c r="AM495">
        <v>1269</v>
      </c>
      <c r="AN495" t="s">
        <v>102</v>
      </c>
      <c r="AO495" t="s">
        <v>97</v>
      </c>
      <c r="AP495" t="s">
        <v>104</v>
      </c>
      <c r="AQ495" t="s">
        <v>163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97</v>
      </c>
      <c r="BC495">
        <v>6</v>
      </c>
      <c r="BD495" t="s">
        <v>106</v>
      </c>
      <c r="BE495">
        <v>1</v>
      </c>
      <c r="BF495" t="s">
        <v>146</v>
      </c>
      <c r="BG495" t="s">
        <v>126</v>
      </c>
      <c r="BH495">
        <v>1964</v>
      </c>
      <c r="BI495" t="s">
        <v>101</v>
      </c>
      <c r="BJ495">
        <v>1</v>
      </c>
      <c r="BK495">
        <v>308</v>
      </c>
      <c r="BL495" t="s">
        <v>97</v>
      </c>
      <c r="BM495" t="s">
        <v>97</v>
      </c>
      <c r="BN495" t="s">
        <v>104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X495">
        <v>0</v>
      </c>
      <c r="BY495">
        <v>6</v>
      </c>
      <c r="BZ495">
        <v>2008</v>
      </c>
      <c r="CA495" t="s">
        <v>109</v>
      </c>
      <c r="CB495" t="s">
        <v>110</v>
      </c>
      <c r="CC495">
        <v>155000</v>
      </c>
    </row>
    <row r="496" spans="1:81" x14ac:dyDescent="0.3">
      <c r="A496">
        <v>495</v>
      </c>
      <c r="B496">
        <v>30</v>
      </c>
      <c r="C496" t="s">
        <v>141</v>
      </c>
      <c r="D496">
        <v>50</v>
      </c>
      <c r="E496">
        <v>5784</v>
      </c>
      <c r="F496" t="s">
        <v>82</v>
      </c>
      <c r="H496" t="s">
        <v>83</v>
      </c>
      <c r="I496" t="s">
        <v>84</v>
      </c>
      <c r="J496" t="s">
        <v>85</v>
      </c>
      <c r="K496" t="s">
        <v>86</v>
      </c>
      <c r="L496" t="s">
        <v>87</v>
      </c>
      <c r="M496" t="s">
        <v>142</v>
      </c>
      <c r="N496" t="s">
        <v>143</v>
      </c>
      <c r="O496" t="s">
        <v>89</v>
      </c>
      <c r="P496" t="s">
        <v>90</v>
      </c>
      <c r="Q496" t="s">
        <v>114</v>
      </c>
      <c r="R496">
        <v>5</v>
      </c>
      <c r="S496">
        <v>8</v>
      </c>
      <c r="T496">
        <v>1938</v>
      </c>
      <c r="U496">
        <v>1996</v>
      </c>
      <c r="V496" t="s">
        <v>92</v>
      </c>
      <c r="W496" t="s">
        <v>93</v>
      </c>
      <c r="X496" t="s">
        <v>115</v>
      </c>
      <c r="Y496" t="s">
        <v>115</v>
      </c>
      <c r="Z496" t="s">
        <v>116</v>
      </c>
      <c r="AA496">
        <v>0</v>
      </c>
      <c r="AB496" t="s">
        <v>97</v>
      </c>
      <c r="AC496" t="s">
        <v>97</v>
      </c>
      <c r="AD496" t="s">
        <v>125</v>
      </c>
      <c r="AE496" t="s">
        <v>146</v>
      </c>
      <c r="AF496" t="s">
        <v>97</v>
      </c>
      <c r="AG496" t="s">
        <v>99</v>
      </c>
      <c r="AH496" t="s">
        <v>101</v>
      </c>
      <c r="AI496">
        <v>0</v>
      </c>
      <c r="AJ496" t="s">
        <v>101</v>
      </c>
      <c r="AK496">
        <v>0</v>
      </c>
      <c r="AL496">
        <v>190</v>
      </c>
      <c r="AM496">
        <v>190</v>
      </c>
      <c r="AN496" t="s">
        <v>102</v>
      </c>
      <c r="AO496" t="s">
        <v>96</v>
      </c>
      <c r="AP496" t="s">
        <v>104</v>
      </c>
      <c r="AQ496" t="s">
        <v>163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97</v>
      </c>
      <c r="BC496">
        <v>4</v>
      </c>
      <c r="BD496" t="s">
        <v>106</v>
      </c>
      <c r="BE496">
        <v>0</v>
      </c>
      <c r="BG496" t="s">
        <v>107</v>
      </c>
      <c r="BH496">
        <v>1938</v>
      </c>
      <c r="BI496" t="s">
        <v>101</v>
      </c>
      <c r="BJ496">
        <v>1</v>
      </c>
      <c r="BK496">
        <v>273</v>
      </c>
      <c r="BL496" t="s">
        <v>97</v>
      </c>
      <c r="BM496" t="s">
        <v>97</v>
      </c>
      <c r="BN496" t="s">
        <v>104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X496">
        <v>0</v>
      </c>
      <c r="BY496">
        <v>12</v>
      </c>
      <c r="BZ496">
        <v>2009</v>
      </c>
      <c r="CA496" t="s">
        <v>109</v>
      </c>
      <c r="CB496" t="s">
        <v>110</v>
      </c>
      <c r="CC496">
        <v>91300</v>
      </c>
    </row>
    <row r="497" spans="1:81" x14ac:dyDescent="0.3">
      <c r="A497">
        <v>496</v>
      </c>
      <c r="B497">
        <v>30</v>
      </c>
      <c r="C497" t="s">
        <v>182</v>
      </c>
      <c r="D497">
        <v>60</v>
      </c>
      <c r="E497">
        <v>7879</v>
      </c>
      <c r="F497" t="s">
        <v>82</v>
      </c>
      <c r="H497" t="s">
        <v>83</v>
      </c>
      <c r="I497" t="s">
        <v>84</v>
      </c>
      <c r="J497" t="s">
        <v>85</v>
      </c>
      <c r="K497" t="s">
        <v>86</v>
      </c>
      <c r="L497" t="s">
        <v>87</v>
      </c>
      <c r="M497" t="s">
        <v>175</v>
      </c>
      <c r="N497" t="s">
        <v>89</v>
      </c>
      <c r="O497" t="s">
        <v>89</v>
      </c>
      <c r="P497" t="s">
        <v>90</v>
      </c>
      <c r="Q497" t="s">
        <v>114</v>
      </c>
      <c r="R497">
        <v>4</v>
      </c>
      <c r="S497">
        <v>5</v>
      </c>
      <c r="T497">
        <v>1920</v>
      </c>
      <c r="U497">
        <v>1950</v>
      </c>
      <c r="V497" t="s">
        <v>92</v>
      </c>
      <c r="W497" t="s">
        <v>93</v>
      </c>
      <c r="X497" t="s">
        <v>123</v>
      </c>
      <c r="Y497" t="s">
        <v>123</v>
      </c>
      <c r="Z497" t="s">
        <v>116</v>
      </c>
      <c r="AA497">
        <v>0</v>
      </c>
      <c r="AB497" t="s">
        <v>97</v>
      </c>
      <c r="AC497" t="s">
        <v>97</v>
      </c>
      <c r="AD497" t="s">
        <v>117</v>
      </c>
      <c r="AE497" t="s">
        <v>97</v>
      </c>
      <c r="AF497" t="s">
        <v>97</v>
      </c>
      <c r="AG497" t="s">
        <v>99</v>
      </c>
      <c r="AH497" t="s">
        <v>152</v>
      </c>
      <c r="AI497">
        <v>495</v>
      </c>
      <c r="AJ497" t="s">
        <v>101</v>
      </c>
      <c r="AK497">
        <v>0</v>
      </c>
      <c r="AL497">
        <v>225</v>
      </c>
      <c r="AM497">
        <v>720</v>
      </c>
      <c r="AN497" t="s">
        <v>102</v>
      </c>
      <c r="AO497" t="s">
        <v>97</v>
      </c>
      <c r="AP497" t="s">
        <v>176</v>
      </c>
      <c r="AQ497" t="s">
        <v>163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97</v>
      </c>
      <c r="BC497">
        <v>4</v>
      </c>
      <c r="BD497" t="s">
        <v>106</v>
      </c>
      <c r="BE497">
        <v>0</v>
      </c>
      <c r="BJ497">
        <v>0</v>
      </c>
      <c r="BK497">
        <v>0</v>
      </c>
      <c r="BN497" t="s">
        <v>176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V497" t="s">
        <v>162</v>
      </c>
      <c r="BX497">
        <v>0</v>
      </c>
      <c r="BY497">
        <v>11</v>
      </c>
      <c r="BZ497">
        <v>2009</v>
      </c>
      <c r="CA497" t="s">
        <v>109</v>
      </c>
      <c r="CB497" t="s">
        <v>127</v>
      </c>
      <c r="CC497">
        <v>34900</v>
      </c>
    </row>
    <row r="498" spans="1:81" x14ac:dyDescent="0.3">
      <c r="A498">
        <v>497</v>
      </c>
      <c r="B498">
        <v>20</v>
      </c>
      <c r="C498" t="s">
        <v>81</v>
      </c>
      <c r="E498">
        <v>12692</v>
      </c>
      <c r="F498" t="s">
        <v>82</v>
      </c>
      <c r="H498" t="s">
        <v>119</v>
      </c>
      <c r="I498" t="s">
        <v>84</v>
      </c>
      <c r="J498" t="s">
        <v>85</v>
      </c>
      <c r="K498" t="s">
        <v>86</v>
      </c>
      <c r="L498" t="s">
        <v>87</v>
      </c>
      <c r="M498" t="s">
        <v>128</v>
      </c>
      <c r="N498" t="s">
        <v>89</v>
      </c>
      <c r="O498" t="s">
        <v>89</v>
      </c>
      <c r="P498" t="s">
        <v>90</v>
      </c>
      <c r="Q498" t="s">
        <v>114</v>
      </c>
      <c r="R498">
        <v>8</v>
      </c>
      <c r="S498">
        <v>5</v>
      </c>
      <c r="T498">
        <v>1992</v>
      </c>
      <c r="U498">
        <v>1993</v>
      </c>
      <c r="V498" t="s">
        <v>151</v>
      </c>
      <c r="W498" t="s">
        <v>93</v>
      </c>
      <c r="X498" t="s">
        <v>95</v>
      </c>
      <c r="Y498" t="s">
        <v>95</v>
      </c>
      <c r="Z498" t="s">
        <v>116</v>
      </c>
      <c r="AA498">
        <v>0</v>
      </c>
      <c r="AB498" t="s">
        <v>96</v>
      </c>
      <c r="AC498" t="s">
        <v>97</v>
      </c>
      <c r="AD498" t="s">
        <v>98</v>
      </c>
      <c r="AE498" t="s">
        <v>96</v>
      </c>
      <c r="AF498" t="s">
        <v>97</v>
      </c>
      <c r="AG498" t="s">
        <v>99</v>
      </c>
      <c r="AH498" t="s">
        <v>100</v>
      </c>
      <c r="AI498">
        <v>1231</v>
      </c>
      <c r="AJ498" t="s">
        <v>101</v>
      </c>
      <c r="AK498">
        <v>0</v>
      </c>
      <c r="AL498">
        <v>1969</v>
      </c>
      <c r="AM498">
        <v>3200</v>
      </c>
      <c r="AN498" t="s">
        <v>102</v>
      </c>
      <c r="AO498" t="s">
        <v>103</v>
      </c>
      <c r="AP498" t="s">
        <v>104</v>
      </c>
      <c r="AQ498" t="s">
        <v>105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96</v>
      </c>
      <c r="BC498">
        <v>10</v>
      </c>
      <c r="BD498" t="s">
        <v>106</v>
      </c>
      <c r="BE498">
        <v>1</v>
      </c>
      <c r="BF498" t="s">
        <v>96</v>
      </c>
      <c r="BG498" t="s">
        <v>107</v>
      </c>
      <c r="BH498">
        <v>1992</v>
      </c>
      <c r="BI498" t="s">
        <v>108</v>
      </c>
      <c r="BJ498">
        <v>2</v>
      </c>
      <c r="BK498">
        <v>546</v>
      </c>
      <c r="BL498" t="s">
        <v>97</v>
      </c>
      <c r="BM498" t="s">
        <v>97</v>
      </c>
      <c r="BN498" t="s">
        <v>104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X498">
        <v>0</v>
      </c>
      <c r="BY498">
        <v>5</v>
      </c>
      <c r="BZ498">
        <v>2007</v>
      </c>
      <c r="CA498" t="s">
        <v>109</v>
      </c>
      <c r="CB498" t="s">
        <v>110</v>
      </c>
      <c r="CC498">
        <v>430000</v>
      </c>
    </row>
    <row r="499" spans="1:81" x14ac:dyDescent="0.3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83</v>
      </c>
      <c r="I499" t="s">
        <v>84</v>
      </c>
      <c r="J499" t="s">
        <v>85</v>
      </c>
      <c r="K499" t="s">
        <v>86</v>
      </c>
      <c r="L499" t="s">
        <v>87</v>
      </c>
      <c r="M499" t="s">
        <v>147</v>
      </c>
      <c r="N499" t="s">
        <v>89</v>
      </c>
      <c r="O499" t="s">
        <v>89</v>
      </c>
      <c r="P499" t="s">
        <v>90</v>
      </c>
      <c r="Q499" t="s">
        <v>131</v>
      </c>
      <c r="R499">
        <v>7</v>
      </c>
      <c r="S499">
        <v>6</v>
      </c>
      <c r="T499">
        <v>1925</v>
      </c>
      <c r="U499">
        <v>1950</v>
      </c>
      <c r="V499" t="s">
        <v>92</v>
      </c>
      <c r="W499" t="s">
        <v>93</v>
      </c>
      <c r="X499" t="s">
        <v>123</v>
      </c>
      <c r="Y499" t="s">
        <v>123</v>
      </c>
      <c r="Z499" t="s">
        <v>116</v>
      </c>
      <c r="AA499">
        <v>0</v>
      </c>
      <c r="AB499" t="s">
        <v>97</v>
      </c>
      <c r="AC499" t="s">
        <v>96</v>
      </c>
      <c r="AD499" t="s">
        <v>98</v>
      </c>
      <c r="AE499" t="s">
        <v>97</v>
      </c>
      <c r="AF499" t="s">
        <v>97</v>
      </c>
      <c r="AG499" t="s">
        <v>99</v>
      </c>
      <c r="AH499" t="s">
        <v>152</v>
      </c>
      <c r="AI499">
        <v>329</v>
      </c>
      <c r="AJ499" t="s">
        <v>101</v>
      </c>
      <c r="AK499">
        <v>0</v>
      </c>
      <c r="AL499">
        <v>697</v>
      </c>
      <c r="AM499">
        <v>1026</v>
      </c>
      <c r="AN499" t="s">
        <v>102</v>
      </c>
      <c r="AO499" t="s">
        <v>103</v>
      </c>
      <c r="AP499" t="s">
        <v>104</v>
      </c>
      <c r="AQ499" t="s">
        <v>105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97</v>
      </c>
      <c r="BC499">
        <v>8</v>
      </c>
      <c r="BD499" t="s">
        <v>106</v>
      </c>
      <c r="BE499">
        <v>0</v>
      </c>
      <c r="BG499" t="s">
        <v>126</v>
      </c>
      <c r="BH499">
        <v>1925</v>
      </c>
      <c r="BI499" t="s">
        <v>101</v>
      </c>
      <c r="BJ499">
        <v>1</v>
      </c>
      <c r="BK499">
        <v>240</v>
      </c>
      <c r="BL499" t="s">
        <v>97</v>
      </c>
      <c r="BM499" t="s">
        <v>97</v>
      </c>
      <c r="BN499" t="s">
        <v>176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V499" t="s">
        <v>164</v>
      </c>
      <c r="BX499">
        <v>0</v>
      </c>
      <c r="BY499">
        <v>6</v>
      </c>
      <c r="BZ499">
        <v>2008</v>
      </c>
      <c r="CA499" t="s">
        <v>109</v>
      </c>
      <c r="CB499" t="s">
        <v>110</v>
      </c>
      <c r="CC499">
        <v>184000</v>
      </c>
    </row>
    <row r="500" spans="1:81" x14ac:dyDescent="0.3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H500" t="s">
        <v>83</v>
      </c>
      <c r="I500" t="s">
        <v>84</v>
      </c>
      <c r="J500" t="s">
        <v>85</v>
      </c>
      <c r="K500" t="s">
        <v>86</v>
      </c>
      <c r="L500" t="s">
        <v>87</v>
      </c>
      <c r="M500" t="s">
        <v>150</v>
      </c>
      <c r="N500" t="s">
        <v>89</v>
      </c>
      <c r="O500" t="s">
        <v>89</v>
      </c>
      <c r="P500" t="s">
        <v>90</v>
      </c>
      <c r="Q500" t="s">
        <v>114</v>
      </c>
      <c r="R500">
        <v>5</v>
      </c>
      <c r="S500">
        <v>7</v>
      </c>
      <c r="T500">
        <v>1967</v>
      </c>
      <c r="U500">
        <v>2004</v>
      </c>
      <c r="V500" t="s">
        <v>151</v>
      </c>
      <c r="W500" t="s">
        <v>93</v>
      </c>
      <c r="X500" t="s">
        <v>139</v>
      </c>
      <c r="Y500" t="s">
        <v>139</v>
      </c>
      <c r="Z500" t="s">
        <v>95</v>
      </c>
      <c r="AA500">
        <v>89</v>
      </c>
      <c r="AB500" t="s">
        <v>97</v>
      </c>
      <c r="AC500" t="s">
        <v>97</v>
      </c>
      <c r="AD500" t="s">
        <v>98</v>
      </c>
      <c r="AE500" t="s">
        <v>97</v>
      </c>
      <c r="AF500" t="s">
        <v>97</v>
      </c>
      <c r="AG500" t="s">
        <v>99</v>
      </c>
      <c r="AH500" t="s">
        <v>118</v>
      </c>
      <c r="AI500">
        <v>450</v>
      </c>
      <c r="AJ500" t="s">
        <v>101</v>
      </c>
      <c r="AK500">
        <v>0</v>
      </c>
      <c r="AL500">
        <v>414</v>
      </c>
      <c r="AM500">
        <v>864</v>
      </c>
      <c r="AN500" t="s">
        <v>102</v>
      </c>
      <c r="AO500" t="s">
        <v>103</v>
      </c>
      <c r="AP500" t="s">
        <v>104</v>
      </c>
      <c r="AQ500" t="s">
        <v>105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96</v>
      </c>
      <c r="BC500">
        <v>5</v>
      </c>
      <c r="BD500" t="s">
        <v>106</v>
      </c>
      <c r="BE500">
        <v>0</v>
      </c>
      <c r="BG500" t="s">
        <v>107</v>
      </c>
      <c r="BH500">
        <v>1967</v>
      </c>
      <c r="BI500" t="s">
        <v>156</v>
      </c>
      <c r="BJ500">
        <v>1</v>
      </c>
      <c r="BK500">
        <v>288</v>
      </c>
      <c r="BL500" t="s">
        <v>97</v>
      </c>
      <c r="BM500" t="s">
        <v>97</v>
      </c>
      <c r="BN500" t="s">
        <v>104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V500" t="s">
        <v>133</v>
      </c>
      <c r="BX500">
        <v>0</v>
      </c>
      <c r="BY500">
        <v>6</v>
      </c>
      <c r="BZ500">
        <v>2009</v>
      </c>
      <c r="CA500" t="s">
        <v>109</v>
      </c>
      <c r="CB500" t="s">
        <v>110</v>
      </c>
      <c r="CC500">
        <v>130000</v>
      </c>
    </row>
    <row r="501" spans="1:81" x14ac:dyDescent="0.3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H501" t="s">
        <v>119</v>
      </c>
      <c r="I501" t="s">
        <v>84</v>
      </c>
      <c r="J501" t="s">
        <v>85</v>
      </c>
      <c r="K501" t="s">
        <v>86</v>
      </c>
      <c r="L501" t="s">
        <v>87</v>
      </c>
      <c r="M501" t="s">
        <v>270</v>
      </c>
      <c r="N501" t="s">
        <v>89</v>
      </c>
      <c r="O501" t="s">
        <v>89</v>
      </c>
      <c r="P501" t="s">
        <v>90</v>
      </c>
      <c r="Q501" t="s">
        <v>114</v>
      </c>
      <c r="R501">
        <v>5</v>
      </c>
      <c r="S501">
        <v>7</v>
      </c>
      <c r="T501">
        <v>1958</v>
      </c>
      <c r="U501">
        <v>1985</v>
      </c>
      <c r="V501" t="s">
        <v>92</v>
      </c>
      <c r="W501" t="s">
        <v>93</v>
      </c>
      <c r="X501" t="s">
        <v>115</v>
      </c>
      <c r="Y501" t="s">
        <v>115</v>
      </c>
      <c r="Z501" t="s">
        <v>116</v>
      </c>
      <c r="AA501">
        <v>0</v>
      </c>
      <c r="AB501" t="s">
        <v>97</v>
      </c>
      <c r="AC501" t="s">
        <v>97</v>
      </c>
      <c r="AD501" t="s">
        <v>117</v>
      </c>
      <c r="AE501" t="s">
        <v>97</v>
      </c>
      <c r="AF501" t="s">
        <v>97</v>
      </c>
      <c r="AG501" t="s">
        <v>99</v>
      </c>
      <c r="AH501" t="s">
        <v>140</v>
      </c>
      <c r="AI501">
        <v>111</v>
      </c>
      <c r="AJ501" t="s">
        <v>171</v>
      </c>
      <c r="AK501">
        <v>279</v>
      </c>
      <c r="AL501">
        <v>522</v>
      </c>
      <c r="AM501">
        <v>912</v>
      </c>
      <c r="AN501" t="s">
        <v>102</v>
      </c>
      <c r="AO501" t="s">
        <v>146</v>
      </c>
      <c r="AP501" t="s">
        <v>104</v>
      </c>
      <c r="AQ501" t="s">
        <v>105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97</v>
      </c>
      <c r="BC501">
        <v>5</v>
      </c>
      <c r="BD501" t="s">
        <v>106</v>
      </c>
      <c r="BE501">
        <v>0</v>
      </c>
      <c r="BG501" t="s">
        <v>107</v>
      </c>
      <c r="BH501">
        <v>1958</v>
      </c>
      <c r="BI501" t="s">
        <v>156</v>
      </c>
      <c r="BJ501">
        <v>1</v>
      </c>
      <c r="BK501">
        <v>297</v>
      </c>
      <c r="BL501" t="s">
        <v>97</v>
      </c>
      <c r="BM501" t="s">
        <v>97</v>
      </c>
      <c r="BN501" t="s">
        <v>104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V501" t="s">
        <v>217</v>
      </c>
      <c r="BW501" t="s">
        <v>134</v>
      </c>
      <c r="BX501">
        <v>480</v>
      </c>
      <c r="BY501">
        <v>6</v>
      </c>
      <c r="BZ501">
        <v>2007</v>
      </c>
      <c r="CA501" t="s">
        <v>109</v>
      </c>
      <c r="CB501" t="s">
        <v>110</v>
      </c>
      <c r="CC501">
        <v>120000</v>
      </c>
    </row>
    <row r="502" spans="1:81" x14ac:dyDescent="0.3">
      <c r="A502">
        <v>501</v>
      </c>
      <c r="B502">
        <v>160</v>
      </c>
      <c r="C502" t="s">
        <v>141</v>
      </c>
      <c r="D502">
        <v>21</v>
      </c>
      <c r="E502">
        <v>1890</v>
      </c>
      <c r="F502" t="s">
        <v>82</v>
      </c>
      <c r="H502" t="s">
        <v>83</v>
      </c>
      <c r="I502" t="s">
        <v>84</v>
      </c>
      <c r="J502" t="s">
        <v>85</v>
      </c>
      <c r="K502" t="s">
        <v>86</v>
      </c>
      <c r="L502" t="s">
        <v>87</v>
      </c>
      <c r="M502" t="s">
        <v>227</v>
      </c>
      <c r="N502" t="s">
        <v>89</v>
      </c>
      <c r="O502" t="s">
        <v>89</v>
      </c>
      <c r="P502" t="s">
        <v>197</v>
      </c>
      <c r="Q502" t="s">
        <v>91</v>
      </c>
      <c r="R502">
        <v>6</v>
      </c>
      <c r="S502">
        <v>5</v>
      </c>
      <c r="T502">
        <v>1973</v>
      </c>
      <c r="U502">
        <v>1973</v>
      </c>
      <c r="V502" t="s">
        <v>92</v>
      </c>
      <c r="W502" t="s">
        <v>93</v>
      </c>
      <c r="X502" t="s">
        <v>139</v>
      </c>
      <c r="Y502" t="s">
        <v>139</v>
      </c>
      <c r="Z502" t="s">
        <v>95</v>
      </c>
      <c r="AA502">
        <v>285</v>
      </c>
      <c r="AB502" t="s">
        <v>97</v>
      </c>
      <c r="AC502" t="s">
        <v>97</v>
      </c>
      <c r="AD502" t="s">
        <v>117</v>
      </c>
      <c r="AE502" t="s">
        <v>97</v>
      </c>
      <c r="AF502" t="s">
        <v>97</v>
      </c>
      <c r="AG502" t="s">
        <v>99</v>
      </c>
      <c r="AH502" t="s">
        <v>140</v>
      </c>
      <c r="AI502">
        <v>356</v>
      </c>
      <c r="AJ502" t="s">
        <v>101</v>
      </c>
      <c r="AK502">
        <v>0</v>
      </c>
      <c r="AL502">
        <v>316</v>
      </c>
      <c r="AM502">
        <v>672</v>
      </c>
      <c r="AN502" t="s">
        <v>102</v>
      </c>
      <c r="AO502" t="s">
        <v>97</v>
      </c>
      <c r="AP502" t="s">
        <v>104</v>
      </c>
      <c r="AQ502" t="s">
        <v>105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97</v>
      </c>
      <c r="BC502">
        <v>7</v>
      </c>
      <c r="BD502" t="s">
        <v>106</v>
      </c>
      <c r="BE502">
        <v>0</v>
      </c>
      <c r="BG502" t="s">
        <v>126</v>
      </c>
      <c r="BH502">
        <v>1973</v>
      </c>
      <c r="BI502" t="s">
        <v>101</v>
      </c>
      <c r="BJ502">
        <v>1</v>
      </c>
      <c r="BK502">
        <v>264</v>
      </c>
      <c r="BL502" t="s">
        <v>97</v>
      </c>
      <c r="BM502" t="s">
        <v>97</v>
      </c>
      <c r="BN502" t="s">
        <v>104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X502">
        <v>0</v>
      </c>
      <c r="BY502">
        <v>5</v>
      </c>
      <c r="BZ502">
        <v>2007</v>
      </c>
      <c r="CA502" t="s">
        <v>109</v>
      </c>
      <c r="CB502" t="s">
        <v>110</v>
      </c>
      <c r="CC502">
        <v>113000</v>
      </c>
    </row>
    <row r="503" spans="1:81" x14ac:dyDescent="0.3">
      <c r="A503">
        <v>502</v>
      </c>
      <c r="B503">
        <v>60</v>
      </c>
      <c r="C503" t="s">
        <v>191</v>
      </c>
      <c r="D503">
        <v>75</v>
      </c>
      <c r="E503">
        <v>9803</v>
      </c>
      <c r="F503" t="s">
        <v>82</v>
      </c>
      <c r="H503" t="s">
        <v>83</v>
      </c>
      <c r="I503" t="s">
        <v>84</v>
      </c>
      <c r="J503" t="s">
        <v>85</v>
      </c>
      <c r="K503" t="s">
        <v>86</v>
      </c>
      <c r="L503" t="s">
        <v>87</v>
      </c>
      <c r="M503" t="s">
        <v>135</v>
      </c>
      <c r="N503" t="s">
        <v>89</v>
      </c>
      <c r="O503" t="s">
        <v>89</v>
      </c>
      <c r="P503" t="s">
        <v>90</v>
      </c>
      <c r="Q503" t="s">
        <v>91</v>
      </c>
      <c r="R503">
        <v>7</v>
      </c>
      <c r="S503">
        <v>5</v>
      </c>
      <c r="T503">
        <v>2005</v>
      </c>
      <c r="U503">
        <v>2005</v>
      </c>
      <c r="V503" t="s">
        <v>92</v>
      </c>
      <c r="W503" t="s">
        <v>93</v>
      </c>
      <c r="X503" t="s">
        <v>94</v>
      </c>
      <c r="Y503" t="s">
        <v>94</v>
      </c>
      <c r="Z503" t="s">
        <v>116</v>
      </c>
      <c r="AA503">
        <v>0</v>
      </c>
      <c r="AB503" t="s">
        <v>96</v>
      </c>
      <c r="AC503" t="s">
        <v>97</v>
      </c>
      <c r="AD503" t="s">
        <v>98</v>
      </c>
      <c r="AE503" t="s">
        <v>96</v>
      </c>
      <c r="AF503" t="s">
        <v>97</v>
      </c>
      <c r="AG503" t="s">
        <v>99</v>
      </c>
      <c r="AH503" t="s">
        <v>100</v>
      </c>
      <c r="AI503">
        <v>400</v>
      </c>
      <c r="AJ503" t="s">
        <v>101</v>
      </c>
      <c r="AK503">
        <v>0</v>
      </c>
      <c r="AL503">
        <v>466</v>
      </c>
      <c r="AM503">
        <v>866</v>
      </c>
      <c r="AN503" t="s">
        <v>102</v>
      </c>
      <c r="AO503" t="s">
        <v>96</v>
      </c>
      <c r="AP503" t="s">
        <v>104</v>
      </c>
      <c r="AQ503" t="s">
        <v>105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96</v>
      </c>
      <c r="BC503">
        <v>7</v>
      </c>
      <c r="BD503" t="s">
        <v>106</v>
      </c>
      <c r="BE503">
        <v>0</v>
      </c>
      <c r="BG503" t="s">
        <v>107</v>
      </c>
      <c r="BH503">
        <v>2005</v>
      </c>
      <c r="BI503" t="s">
        <v>108</v>
      </c>
      <c r="BJ503">
        <v>2</v>
      </c>
      <c r="BK503">
        <v>603</v>
      </c>
      <c r="BL503" t="s">
        <v>97</v>
      </c>
      <c r="BM503" t="s">
        <v>97</v>
      </c>
      <c r="BN503" t="s">
        <v>104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X503">
        <v>0</v>
      </c>
      <c r="BY503">
        <v>2</v>
      </c>
      <c r="BZ503">
        <v>2008</v>
      </c>
      <c r="CA503" t="s">
        <v>109</v>
      </c>
      <c r="CB503" t="s">
        <v>110</v>
      </c>
      <c r="CC503">
        <v>226700</v>
      </c>
    </row>
    <row r="504" spans="1:81" x14ac:dyDescent="0.3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H504" t="s">
        <v>83</v>
      </c>
      <c r="I504" t="s">
        <v>84</v>
      </c>
      <c r="J504" t="s">
        <v>85</v>
      </c>
      <c r="K504" t="s">
        <v>121</v>
      </c>
      <c r="L504" t="s">
        <v>87</v>
      </c>
      <c r="M504" t="s">
        <v>184</v>
      </c>
      <c r="N504" t="s">
        <v>113</v>
      </c>
      <c r="O504" t="s">
        <v>89</v>
      </c>
      <c r="P504" t="s">
        <v>90</v>
      </c>
      <c r="Q504" t="s">
        <v>114</v>
      </c>
      <c r="R504">
        <v>5</v>
      </c>
      <c r="S504">
        <v>7</v>
      </c>
      <c r="T504">
        <v>1965</v>
      </c>
      <c r="U504">
        <v>1965</v>
      </c>
      <c r="V504" t="s">
        <v>151</v>
      </c>
      <c r="W504" t="s">
        <v>93</v>
      </c>
      <c r="X504" t="s">
        <v>115</v>
      </c>
      <c r="Y504" t="s">
        <v>115</v>
      </c>
      <c r="Z504" t="s">
        <v>116</v>
      </c>
      <c r="AA504">
        <v>0</v>
      </c>
      <c r="AB504" t="s">
        <v>97</v>
      </c>
      <c r="AC504" t="s">
        <v>97</v>
      </c>
      <c r="AD504" t="s">
        <v>117</v>
      </c>
      <c r="AE504" t="s">
        <v>97</v>
      </c>
      <c r="AF504" t="s">
        <v>97</v>
      </c>
      <c r="AG504" t="s">
        <v>99</v>
      </c>
      <c r="AH504" t="s">
        <v>118</v>
      </c>
      <c r="AI504">
        <v>698</v>
      </c>
      <c r="AJ504" t="s">
        <v>100</v>
      </c>
      <c r="AK504">
        <v>96</v>
      </c>
      <c r="AL504">
        <v>420</v>
      </c>
      <c r="AM504">
        <v>1214</v>
      </c>
      <c r="AN504" t="s">
        <v>102</v>
      </c>
      <c r="AO504" t="s">
        <v>103</v>
      </c>
      <c r="AP504" t="s">
        <v>104</v>
      </c>
      <c r="AQ504" t="s">
        <v>105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97</v>
      </c>
      <c r="BC504">
        <v>6</v>
      </c>
      <c r="BD504" t="s">
        <v>106</v>
      </c>
      <c r="BE504">
        <v>0</v>
      </c>
      <c r="BG504" t="s">
        <v>126</v>
      </c>
      <c r="BH504">
        <v>1965</v>
      </c>
      <c r="BI504" t="s">
        <v>101</v>
      </c>
      <c r="BJ504">
        <v>2</v>
      </c>
      <c r="BK504">
        <v>461</v>
      </c>
      <c r="BL504" t="s">
        <v>146</v>
      </c>
      <c r="BM504" t="s">
        <v>146</v>
      </c>
      <c r="BN504" t="s">
        <v>104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V504" t="s">
        <v>164</v>
      </c>
      <c r="BW504" t="s">
        <v>134</v>
      </c>
      <c r="BX504">
        <v>400</v>
      </c>
      <c r="BY504">
        <v>4</v>
      </c>
      <c r="BZ504">
        <v>2007</v>
      </c>
      <c r="CA504" t="s">
        <v>109</v>
      </c>
      <c r="CB504" t="s">
        <v>110</v>
      </c>
      <c r="CC504">
        <v>140000</v>
      </c>
    </row>
    <row r="505" spans="1:81" x14ac:dyDescent="0.3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H505" t="s">
        <v>119</v>
      </c>
      <c r="I505" t="s">
        <v>84</v>
      </c>
      <c r="J505" t="s">
        <v>85</v>
      </c>
      <c r="K505" t="s">
        <v>86</v>
      </c>
      <c r="L505" t="s">
        <v>87</v>
      </c>
      <c r="M505" t="s">
        <v>122</v>
      </c>
      <c r="N505" t="s">
        <v>89</v>
      </c>
      <c r="O505" t="s">
        <v>89</v>
      </c>
      <c r="P505" t="s">
        <v>90</v>
      </c>
      <c r="Q505" t="s">
        <v>114</v>
      </c>
      <c r="R505">
        <v>7</v>
      </c>
      <c r="S505">
        <v>8</v>
      </c>
      <c r="T505">
        <v>1959</v>
      </c>
      <c r="U505">
        <v>1997</v>
      </c>
      <c r="V505" t="s">
        <v>92</v>
      </c>
      <c r="W505" t="s">
        <v>93</v>
      </c>
      <c r="X505" t="s">
        <v>95</v>
      </c>
      <c r="Y505" t="s">
        <v>123</v>
      </c>
      <c r="Z505" t="s">
        <v>116</v>
      </c>
      <c r="AA505">
        <v>0</v>
      </c>
      <c r="AB505" t="s">
        <v>97</v>
      </c>
      <c r="AC505" t="s">
        <v>97</v>
      </c>
      <c r="AD505" t="s">
        <v>117</v>
      </c>
      <c r="AE505" t="s">
        <v>97</v>
      </c>
      <c r="AF505" t="s">
        <v>97</v>
      </c>
      <c r="AG505" t="s">
        <v>99</v>
      </c>
      <c r="AH505" t="s">
        <v>118</v>
      </c>
      <c r="AI505">
        <v>1247</v>
      </c>
      <c r="AJ505" t="s">
        <v>101</v>
      </c>
      <c r="AK505">
        <v>0</v>
      </c>
      <c r="AL505">
        <v>254</v>
      </c>
      <c r="AM505">
        <v>1501</v>
      </c>
      <c r="AN505" t="s">
        <v>102</v>
      </c>
      <c r="AO505" t="s">
        <v>97</v>
      </c>
      <c r="AP505" t="s">
        <v>104</v>
      </c>
      <c r="AQ505" t="s">
        <v>105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97</v>
      </c>
      <c r="BC505">
        <v>6</v>
      </c>
      <c r="BD505" t="s">
        <v>106</v>
      </c>
      <c r="BE505">
        <v>2</v>
      </c>
      <c r="BF505" t="s">
        <v>97</v>
      </c>
      <c r="BG505" t="s">
        <v>107</v>
      </c>
      <c r="BH505">
        <v>1959</v>
      </c>
      <c r="BI505" t="s">
        <v>156</v>
      </c>
      <c r="BJ505">
        <v>2</v>
      </c>
      <c r="BK505">
        <v>484</v>
      </c>
      <c r="BL505" t="s">
        <v>97</v>
      </c>
      <c r="BM505" t="s">
        <v>97</v>
      </c>
      <c r="BN505" t="s">
        <v>104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V505" t="s">
        <v>162</v>
      </c>
      <c r="BX505">
        <v>0</v>
      </c>
      <c r="BY505">
        <v>3</v>
      </c>
      <c r="BZ505">
        <v>2010</v>
      </c>
      <c r="CA505" t="s">
        <v>109</v>
      </c>
      <c r="CB505" t="s">
        <v>110</v>
      </c>
      <c r="CC505">
        <v>289000</v>
      </c>
    </row>
    <row r="506" spans="1:81" x14ac:dyDescent="0.3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H506" t="s">
        <v>83</v>
      </c>
      <c r="I506" t="s">
        <v>84</v>
      </c>
      <c r="J506" t="s">
        <v>85</v>
      </c>
      <c r="K506" t="s">
        <v>86</v>
      </c>
      <c r="L506" t="s">
        <v>87</v>
      </c>
      <c r="M506" t="s">
        <v>215</v>
      </c>
      <c r="N506" t="s">
        <v>89</v>
      </c>
      <c r="O506" t="s">
        <v>89</v>
      </c>
      <c r="P506" t="s">
        <v>178</v>
      </c>
      <c r="Q506" t="s">
        <v>91</v>
      </c>
      <c r="R506">
        <v>6</v>
      </c>
      <c r="S506">
        <v>5</v>
      </c>
      <c r="T506">
        <v>1974</v>
      </c>
      <c r="U506">
        <v>1974</v>
      </c>
      <c r="V506" t="s">
        <v>92</v>
      </c>
      <c r="W506" t="s">
        <v>93</v>
      </c>
      <c r="X506" t="s">
        <v>160</v>
      </c>
      <c r="Y506" t="s">
        <v>225</v>
      </c>
      <c r="Z506" t="s">
        <v>116</v>
      </c>
      <c r="AA506">
        <v>0</v>
      </c>
      <c r="AB506" t="s">
        <v>97</v>
      </c>
      <c r="AC506" t="s">
        <v>97</v>
      </c>
      <c r="AD506" t="s">
        <v>117</v>
      </c>
      <c r="AE506" t="s">
        <v>97</v>
      </c>
      <c r="AF506" t="s">
        <v>97</v>
      </c>
      <c r="AG506" t="s">
        <v>99</v>
      </c>
      <c r="AH506" t="s">
        <v>118</v>
      </c>
      <c r="AI506">
        <v>257</v>
      </c>
      <c r="AJ506" t="s">
        <v>152</v>
      </c>
      <c r="AK506">
        <v>495</v>
      </c>
      <c r="AL506">
        <v>103</v>
      </c>
      <c r="AM506">
        <v>855</v>
      </c>
      <c r="AN506" t="s">
        <v>102</v>
      </c>
      <c r="AO506" t="s">
        <v>97</v>
      </c>
      <c r="AP506" t="s">
        <v>104</v>
      </c>
      <c r="AQ506" t="s">
        <v>105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97</v>
      </c>
      <c r="BC506">
        <v>6</v>
      </c>
      <c r="BD506" t="s">
        <v>106</v>
      </c>
      <c r="BE506">
        <v>1</v>
      </c>
      <c r="BF506" t="s">
        <v>146</v>
      </c>
      <c r="BG506" t="s">
        <v>107</v>
      </c>
      <c r="BH506">
        <v>1974</v>
      </c>
      <c r="BI506" t="s">
        <v>101</v>
      </c>
      <c r="BJ506">
        <v>2</v>
      </c>
      <c r="BK506">
        <v>440</v>
      </c>
      <c r="BL506" t="s">
        <v>97</v>
      </c>
      <c r="BM506" t="s">
        <v>97</v>
      </c>
      <c r="BN506" t="s">
        <v>104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X506">
        <v>0</v>
      </c>
      <c r="BY506">
        <v>6</v>
      </c>
      <c r="BZ506">
        <v>2009</v>
      </c>
      <c r="CA506" t="s">
        <v>109</v>
      </c>
      <c r="CB506" t="s">
        <v>110</v>
      </c>
      <c r="CC506">
        <v>147000</v>
      </c>
    </row>
    <row r="507" spans="1:81" x14ac:dyDescent="0.3">
      <c r="A507">
        <v>506</v>
      </c>
      <c r="B507">
        <v>90</v>
      </c>
      <c r="C507" t="s">
        <v>141</v>
      </c>
      <c r="D507">
        <v>60</v>
      </c>
      <c r="E507">
        <v>7596</v>
      </c>
      <c r="F507" t="s">
        <v>82</v>
      </c>
      <c r="G507" t="s">
        <v>173</v>
      </c>
      <c r="H507" t="s">
        <v>83</v>
      </c>
      <c r="I507" t="s">
        <v>84</v>
      </c>
      <c r="J507" t="s">
        <v>85</v>
      </c>
      <c r="K507" t="s">
        <v>86</v>
      </c>
      <c r="L507" t="s">
        <v>87</v>
      </c>
      <c r="M507" t="s">
        <v>142</v>
      </c>
      <c r="N507" t="s">
        <v>143</v>
      </c>
      <c r="O507" t="s">
        <v>89</v>
      </c>
      <c r="P507" t="s">
        <v>166</v>
      </c>
      <c r="Q507" t="s">
        <v>91</v>
      </c>
      <c r="R507">
        <v>5</v>
      </c>
      <c r="S507">
        <v>5</v>
      </c>
      <c r="T507">
        <v>1952</v>
      </c>
      <c r="U507">
        <v>1952</v>
      </c>
      <c r="V507" t="s">
        <v>151</v>
      </c>
      <c r="W507" t="s">
        <v>93</v>
      </c>
      <c r="X507" t="s">
        <v>123</v>
      </c>
      <c r="Y507" t="s">
        <v>123</v>
      </c>
      <c r="Z507" t="s">
        <v>95</v>
      </c>
      <c r="AA507">
        <v>360</v>
      </c>
      <c r="AB507" t="s">
        <v>97</v>
      </c>
      <c r="AC507" t="s">
        <v>97</v>
      </c>
      <c r="AD507" t="s">
        <v>117</v>
      </c>
      <c r="AE507" t="s">
        <v>97</v>
      </c>
      <c r="AF507" t="s">
        <v>97</v>
      </c>
      <c r="AG507" t="s">
        <v>99</v>
      </c>
      <c r="AH507" t="s">
        <v>101</v>
      </c>
      <c r="AI507">
        <v>0</v>
      </c>
      <c r="AJ507" t="s">
        <v>101</v>
      </c>
      <c r="AK507">
        <v>0</v>
      </c>
      <c r="AL507">
        <v>960</v>
      </c>
      <c r="AM507">
        <v>960</v>
      </c>
      <c r="AN507" t="s">
        <v>102</v>
      </c>
      <c r="AO507" t="s">
        <v>96</v>
      </c>
      <c r="AP507" t="s">
        <v>104</v>
      </c>
      <c r="AQ507" t="s">
        <v>105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97</v>
      </c>
      <c r="BC507">
        <v>10</v>
      </c>
      <c r="BD507" t="s">
        <v>106</v>
      </c>
      <c r="BE507">
        <v>0</v>
      </c>
      <c r="BG507" t="s">
        <v>126</v>
      </c>
      <c r="BH507">
        <v>1952</v>
      </c>
      <c r="BI507" t="s">
        <v>101</v>
      </c>
      <c r="BJ507">
        <v>2</v>
      </c>
      <c r="BK507">
        <v>400</v>
      </c>
      <c r="BL507" t="s">
        <v>97</v>
      </c>
      <c r="BM507" t="s">
        <v>97</v>
      </c>
      <c r="BN507" t="s">
        <v>176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X507">
        <v>0</v>
      </c>
      <c r="BY507">
        <v>7</v>
      </c>
      <c r="BZ507">
        <v>2009</v>
      </c>
      <c r="CA507" t="s">
        <v>172</v>
      </c>
      <c r="CB507" t="s">
        <v>110</v>
      </c>
      <c r="CC507">
        <v>124500</v>
      </c>
    </row>
    <row r="508" spans="1:81" x14ac:dyDescent="0.3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H508" t="s">
        <v>119</v>
      </c>
      <c r="I508" t="s">
        <v>84</v>
      </c>
      <c r="J508" t="s">
        <v>85</v>
      </c>
      <c r="K508" t="s">
        <v>86</v>
      </c>
      <c r="L508" t="s">
        <v>87</v>
      </c>
      <c r="M508" t="s">
        <v>169</v>
      </c>
      <c r="N508" t="s">
        <v>89</v>
      </c>
      <c r="O508" t="s">
        <v>89</v>
      </c>
      <c r="P508" t="s">
        <v>90</v>
      </c>
      <c r="Q508" t="s">
        <v>91</v>
      </c>
      <c r="R508">
        <v>8</v>
      </c>
      <c r="S508">
        <v>5</v>
      </c>
      <c r="T508">
        <v>1993</v>
      </c>
      <c r="U508">
        <v>1994</v>
      </c>
      <c r="V508" t="s">
        <v>92</v>
      </c>
      <c r="W508" t="s">
        <v>93</v>
      </c>
      <c r="X508" t="s">
        <v>94</v>
      </c>
      <c r="Y508" t="s">
        <v>94</v>
      </c>
      <c r="Z508" t="s">
        <v>95</v>
      </c>
      <c r="AA508">
        <v>125</v>
      </c>
      <c r="AB508" t="s">
        <v>96</v>
      </c>
      <c r="AC508" t="s">
        <v>97</v>
      </c>
      <c r="AD508" t="s">
        <v>98</v>
      </c>
      <c r="AE508" t="s">
        <v>96</v>
      </c>
      <c r="AF508" t="s">
        <v>97</v>
      </c>
      <c r="AG508" t="s">
        <v>99</v>
      </c>
      <c r="AH508" t="s">
        <v>100</v>
      </c>
      <c r="AI508">
        <v>380</v>
      </c>
      <c r="AJ508" t="s">
        <v>101</v>
      </c>
      <c r="AK508">
        <v>0</v>
      </c>
      <c r="AL508">
        <v>397</v>
      </c>
      <c r="AM508">
        <v>777</v>
      </c>
      <c r="AN508" t="s">
        <v>102</v>
      </c>
      <c r="AO508" t="s">
        <v>103</v>
      </c>
      <c r="AP508" t="s">
        <v>104</v>
      </c>
      <c r="AQ508" t="s">
        <v>105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96</v>
      </c>
      <c r="BC508">
        <v>8</v>
      </c>
      <c r="BD508" t="s">
        <v>106</v>
      </c>
      <c r="BE508">
        <v>1</v>
      </c>
      <c r="BF508" t="s">
        <v>97</v>
      </c>
      <c r="BG508" t="s">
        <v>107</v>
      </c>
      <c r="BH508">
        <v>1993</v>
      </c>
      <c r="BI508" t="s">
        <v>108</v>
      </c>
      <c r="BJ508">
        <v>2</v>
      </c>
      <c r="BK508">
        <v>471</v>
      </c>
      <c r="BL508" t="s">
        <v>97</v>
      </c>
      <c r="BM508" t="s">
        <v>97</v>
      </c>
      <c r="BN508" t="s">
        <v>104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X508">
        <v>0</v>
      </c>
      <c r="BY508">
        <v>9</v>
      </c>
      <c r="BZ508">
        <v>2006</v>
      </c>
      <c r="CA508" t="s">
        <v>109</v>
      </c>
      <c r="CB508" t="s">
        <v>110</v>
      </c>
      <c r="CC508">
        <v>215000</v>
      </c>
    </row>
    <row r="509" spans="1:81" x14ac:dyDescent="0.3">
      <c r="A509">
        <v>508</v>
      </c>
      <c r="B509">
        <v>20</v>
      </c>
      <c r="C509" t="s">
        <v>191</v>
      </c>
      <c r="D509">
        <v>75</v>
      </c>
      <c r="E509">
        <v>7862</v>
      </c>
      <c r="F509" t="s">
        <v>82</v>
      </c>
      <c r="H509" t="s">
        <v>119</v>
      </c>
      <c r="I509" t="s">
        <v>84</v>
      </c>
      <c r="J509" t="s">
        <v>85</v>
      </c>
      <c r="K509" t="s">
        <v>86</v>
      </c>
      <c r="L509" t="s">
        <v>87</v>
      </c>
      <c r="M509" t="s">
        <v>135</v>
      </c>
      <c r="N509" t="s">
        <v>89</v>
      </c>
      <c r="O509" t="s">
        <v>89</v>
      </c>
      <c r="P509" t="s">
        <v>90</v>
      </c>
      <c r="Q509" t="s">
        <v>114</v>
      </c>
      <c r="R509">
        <v>6</v>
      </c>
      <c r="S509">
        <v>5</v>
      </c>
      <c r="T509">
        <v>2009</v>
      </c>
      <c r="U509">
        <v>2009</v>
      </c>
      <c r="V509" t="s">
        <v>92</v>
      </c>
      <c r="W509" t="s">
        <v>93</v>
      </c>
      <c r="X509" t="s">
        <v>94</v>
      </c>
      <c r="Y509" t="s">
        <v>94</v>
      </c>
      <c r="Z509" t="s">
        <v>116</v>
      </c>
      <c r="AA509">
        <v>0</v>
      </c>
      <c r="AB509" t="s">
        <v>96</v>
      </c>
      <c r="AC509" t="s">
        <v>97</v>
      </c>
      <c r="AD509" t="s">
        <v>98</v>
      </c>
      <c r="AE509" t="s">
        <v>96</v>
      </c>
      <c r="AF509" t="s">
        <v>97</v>
      </c>
      <c r="AG509" t="s">
        <v>99</v>
      </c>
      <c r="AH509" t="s">
        <v>100</v>
      </c>
      <c r="AI509">
        <v>27</v>
      </c>
      <c r="AJ509" t="s">
        <v>101</v>
      </c>
      <c r="AK509">
        <v>0</v>
      </c>
      <c r="AL509">
        <v>1191</v>
      </c>
      <c r="AM509">
        <v>1218</v>
      </c>
      <c r="AN509" t="s">
        <v>102</v>
      </c>
      <c r="AO509" t="s">
        <v>103</v>
      </c>
      <c r="AP509" t="s">
        <v>104</v>
      </c>
      <c r="AQ509" t="s">
        <v>105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96</v>
      </c>
      <c r="BC509">
        <v>4</v>
      </c>
      <c r="BD509" t="s">
        <v>106</v>
      </c>
      <c r="BE509">
        <v>0</v>
      </c>
      <c r="BG509" t="s">
        <v>107</v>
      </c>
      <c r="BH509">
        <v>2009</v>
      </c>
      <c r="BI509" t="s">
        <v>156</v>
      </c>
      <c r="BJ509">
        <v>2</v>
      </c>
      <c r="BK509">
        <v>676</v>
      </c>
      <c r="BL509" t="s">
        <v>97</v>
      </c>
      <c r="BM509" t="s">
        <v>97</v>
      </c>
      <c r="BN509" t="s">
        <v>104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X509">
        <v>0</v>
      </c>
      <c r="BY509">
        <v>9</v>
      </c>
      <c r="BZ509">
        <v>2009</v>
      </c>
      <c r="CA509" t="s">
        <v>157</v>
      </c>
      <c r="CB509" t="s">
        <v>158</v>
      </c>
      <c r="CC509">
        <v>208300</v>
      </c>
    </row>
    <row r="510" spans="1:81" x14ac:dyDescent="0.3">
      <c r="A510">
        <v>509</v>
      </c>
      <c r="B510">
        <v>70</v>
      </c>
      <c r="C510" t="s">
        <v>141</v>
      </c>
      <c r="D510">
        <v>60</v>
      </c>
      <c r="E510">
        <v>9600</v>
      </c>
      <c r="F510" t="s">
        <v>82</v>
      </c>
      <c r="H510" t="s">
        <v>83</v>
      </c>
      <c r="I510" t="s">
        <v>84</v>
      </c>
      <c r="J510" t="s">
        <v>85</v>
      </c>
      <c r="K510" t="s">
        <v>86</v>
      </c>
      <c r="L510" t="s">
        <v>87</v>
      </c>
      <c r="M510" t="s">
        <v>142</v>
      </c>
      <c r="N510" t="s">
        <v>89</v>
      </c>
      <c r="O510" t="s">
        <v>89</v>
      </c>
      <c r="P510" t="s">
        <v>90</v>
      </c>
      <c r="Q510" t="s">
        <v>91</v>
      </c>
      <c r="R510">
        <v>7</v>
      </c>
      <c r="S510">
        <v>9</v>
      </c>
      <c r="T510">
        <v>1928</v>
      </c>
      <c r="U510">
        <v>2005</v>
      </c>
      <c r="V510" t="s">
        <v>183</v>
      </c>
      <c r="W510" t="s">
        <v>93</v>
      </c>
      <c r="X510" t="s">
        <v>115</v>
      </c>
      <c r="Y510" t="s">
        <v>115</v>
      </c>
      <c r="Z510" t="s">
        <v>116</v>
      </c>
      <c r="AA510">
        <v>0</v>
      </c>
      <c r="AB510" t="s">
        <v>97</v>
      </c>
      <c r="AC510" t="s">
        <v>103</v>
      </c>
      <c r="AD510" t="s">
        <v>125</v>
      </c>
      <c r="AE510" t="s">
        <v>97</v>
      </c>
      <c r="AF510" t="s">
        <v>97</v>
      </c>
      <c r="AG510" t="s">
        <v>99</v>
      </c>
      <c r="AH510" t="s">
        <v>152</v>
      </c>
      <c r="AI510">
        <v>141</v>
      </c>
      <c r="AJ510" t="s">
        <v>101</v>
      </c>
      <c r="AK510">
        <v>0</v>
      </c>
      <c r="AL510">
        <v>548</v>
      </c>
      <c r="AM510">
        <v>689</v>
      </c>
      <c r="AN510" t="s">
        <v>102</v>
      </c>
      <c r="AO510" t="s">
        <v>103</v>
      </c>
      <c r="AP510" t="s">
        <v>104</v>
      </c>
      <c r="AQ510" t="s">
        <v>105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96</v>
      </c>
      <c r="BC510">
        <v>7</v>
      </c>
      <c r="BD510" t="s">
        <v>106</v>
      </c>
      <c r="BE510">
        <v>1</v>
      </c>
      <c r="BF510" t="s">
        <v>96</v>
      </c>
      <c r="BG510" t="s">
        <v>126</v>
      </c>
      <c r="BH510">
        <v>1928</v>
      </c>
      <c r="BI510" t="s">
        <v>101</v>
      </c>
      <c r="BJ510">
        <v>2</v>
      </c>
      <c r="BK510">
        <v>360</v>
      </c>
      <c r="BL510" t="s">
        <v>97</v>
      </c>
      <c r="BM510" t="s">
        <v>97</v>
      </c>
      <c r="BN510" t="s">
        <v>176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X510">
        <v>0</v>
      </c>
      <c r="BY510">
        <v>10</v>
      </c>
      <c r="BZ510">
        <v>2008</v>
      </c>
      <c r="CA510" t="s">
        <v>109</v>
      </c>
      <c r="CB510" t="s">
        <v>110</v>
      </c>
      <c r="CC510">
        <v>161000</v>
      </c>
    </row>
    <row r="511" spans="1:81" x14ac:dyDescent="0.3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H511" t="s">
        <v>83</v>
      </c>
      <c r="I511" t="s">
        <v>84</v>
      </c>
      <c r="J511" t="s">
        <v>85</v>
      </c>
      <c r="K511" t="s">
        <v>121</v>
      </c>
      <c r="L511" t="s">
        <v>87</v>
      </c>
      <c r="M511" t="s">
        <v>270</v>
      </c>
      <c r="N511" t="s">
        <v>89</v>
      </c>
      <c r="O511" t="s">
        <v>89</v>
      </c>
      <c r="P511" t="s">
        <v>90</v>
      </c>
      <c r="Q511" t="s">
        <v>114</v>
      </c>
      <c r="R511">
        <v>5</v>
      </c>
      <c r="S511">
        <v>6</v>
      </c>
      <c r="T511">
        <v>1959</v>
      </c>
      <c r="U511">
        <v>1959</v>
      </c>
      <c r="V511" t="s">
        <v>92</v>
      </c>
      <c r="W511" t="s">
        <v>93</v>
      </c>
      <c r="X511" t="s">
        <v>115</v>
      </c>
      <c r="Y511" t="s">
        <v>115</v>
      </c>
      <c r="Z511" t="s">
        <v>95</v>
      </c>
      <c r="AA511">
        <v>132</v>
      </c>
      <c r="AB511" t="s">
        <v>97</v>
      </c>
      <c r="AC511" t="s">
        <v>97</v>
      </c>
      <c r="AD511" t="s">
        <v>117</v>
      </c>
      <c r="AE511" t="s">
        <v>97</v>
      </c>
      <c r="AF511" t="s">
        <v>97</v>
      </c>
      <c r="AG511" t="s">
        <v>99</v>
      </c>
      <c r="AH511" t="s">
        <v>118</v>
      </c>
      <c r="AI511">
        <v>991</v>
      </c>
      <c r="AJ511" t="s">
        <v>101</v>
      </c>
      <c r="AK511">
        <v>0</v>
      </c>
      <c r="AL511">
        <v>50</v>
      </c>
      <c r="AM511">
        <v>1041</v>
      </c>
      <c r="AN511" t="s">
        <v>102</v>
      </c>
      <c r="AO511" t="s">
        <v>103</v>
      </c>
      <c r="AP511" t="s">
        <v>104</v>
      </c>
      <c r="AQ511" t="s">
        <v>105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97</v>
      </c>
      <c r="BC511">
        <v>6</v>
      </c>
      <c r="BD511" t="s">
        <v>106</v>
      </c>
      <c r="BE511">
        <v>0</v>
      </c>
      <c r="BG511" t="s">
        <v>107</v>
      </c>
      <c r="BH511">
        <v>1959</v>
      </c>
      <c r="BI511" t="s">
        <v>108</v>
      </c>
      <c r="BJ511">
        <v>1</v>
      </c>
      <c r="BK511">
        <v>270</v>
      </c>
      <c r="BL511" t="s">
        <v>97</v>
      </c>
      <c r="BM511" t="s">
        <v>97</v>
      </c>
      <c r="BN511" t="s">
        <v>104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V511" t="s">
        <v>133</v>
      </c>
      <c r="BX511">
        <v>0</v>
      </c>
      <c r="BY511">
        <v>7</v>
      </c>
      <c r="BZ511">
        <v>2009</v>
      </c>
      <c r="CA511" t="s">
        <v>109</v>
      </c>
      <c r="CB511" t="s">
        <v>110</v>
      </c>
      <c r="CC511">
        <v>124500</v>
      </c>
    </row>
    <row r="512" spans="1:81" x14ac:dyDescent="0.3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H512" t="s">
        <v>83</v>
      </c>
      <c r="I512" t="s">
        <v>84</v>
      </c>
      <c r="J512" t="s">
        <v>85</v>
      </c>
      <c r="K512" t="s">
        <v>86</v>
      </c>
      <c r="L512" t="s">
        <v>87</v>
      </c>
      <c r="M512" t="s">
        <v>270</v>
      </c>
      <c r="N512" t="s">
        <v>89</v>
      </c>
      <c r="O512" t="s">
        <v>89</v>
      </c>
      <c r="P512" t="s">
        <v>90</v>
      </c>
      <c r="Q512" t="s">
        <v>114</v>
      </c>
      <c r="R512">
        <v>5</v>
      </c>
      <c r="S512">
        <v>7</v>
      </c>
      <c r="T512">
        <v>1951</v>
      </c>
      <c r="U512">
        <v>2000</v>
      </c>
      <c r="V512" t="s">
        <v>151</v>
      </c>
      <c r="W512" t="s">
        <v>93</v>
      </c>
      <c r="X512" t="s">
        <v>123</v>
      </c>
      <c r="Y512" t="s">
        <v>123</v>
      </c>
      <c r="Z512" t="s">
        <v>206</v>
      </c>
      <c r="AA512">
        <v>70</v>
      </c>
      <c r="AB512" t="s">
        <v>96</v>
      </c>
      <c r="AC512" t="s">
        <v>97</v>
      </c>
      <c r="AD512" t="s">
        <v>117</v>
      </c>
      <c r="AE512" t="s">
        <v>97</v>
      </c>
      <c r="AF512" t="s">
        <v>97</v>
      </c>
      <c r="AG512" t="s">
        <v>99</v>
      </c>
      <c r="AH512" t="s">
        <v>140</v>
      </c>
      <c r="AI512">
        <v>650</v>
      </c>
      <c r="AJ512" t="s">
        <v>152</v>
      </c>
      <c r="AK512">
        <v>180</v>
      </c>
      <c r="AL512">
        <v>178</v>
      </c>
      <c r="AM512">
        <v>1008</v>
      </c>
      <c r="AN512" t="s">
        <v>102</v>
      </c>
      <c r="AO512" t="s">
        <v>103</v>
      </c>
      <c r="AP512" t="s">
        <v>104</v>
      </c>
      <c r="AQ512" t="s">
        <v>105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97</v>
      </c>
      <c r="BC512">
        <v>6</v>
      </c>
      <c r="BD512" t="s">
        <v>145</v>
      </c>
      <c r="BE512">
        <v>2</v>
      </c>
      <c r="BF512" t="s">
        <v>97</v>
      </c>
      <c r="BG512" t="s">
        <v>168</v>
      </c>
      <c r="BH512">
        <v>1951</v>
      </c>
      <c r="BI512" t="s">
        <v>101</v>
      </c>
      <c r="BJ512">
        <v>1</v>
      </c>
      <c r="BK512">
        <v>288</v>
      </c>
      <c r="BL512" t="s">
        <v>97</v>
      </c>
      <c r="BM512" t="s">
        <v>97</v>
      </c>
      <c r="BN512" t="s">
        <v>104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W512" t="s">
        <v>134</v>
      </c>
      <c r="BX512">
        <v>2000</v>
      </c>
      <c r="BY512">
        <v>6</v>
      </c>
      <c r="BZ512">
        <v>2009</v>
      </c>
      <c r="CA512" t="s">
        <v>109</v>
      </c>
      <c r="CB512" t="s">
        <v>110</v>
      </c>
      <c r="CC512">
        <v>164900</v>
      </c>
    </row>
    <row r="513" spans="1:81" x14ac:dyDescent="0.3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H513" t="s">
        <v>119</v>
      </c>
      <c r="I513" t="s">
        <v>84</v>
      </c>
      <c r="J513" t="s">
        <v>85</v>
      </c>
      <c r="K513" t="s">
        <v>86</v>
      </c>
      <c r="L513" t="s">
        <v>87</v>
      </c>
      <c r="M513" t="s">
        <v>153</v>
      </c>
      <c r="N513" t="s">
        <v>89</v>
      </c>
      <c r="O513" t="s">
        <v>89</v>
      </c>
      <c r="P513" t="s">
        <v>178</v>
      </c>
      <c r="Q513" t="s">
        <v>114</v>
      </c>
      <c r="R513">
        <v>7</v>
      </c>
      <c r="S513">
        <v>5</v>
      </c>
      <c r="T513">
        <v>2005</v>
      </c>
      <c r="U513">
        <v>2006</v>
      </c>
      <c r="V513" t="s">
        <v>92</v>
      </c>
      <c r="W513" t="s">
        <v>93</v>
      </c>
      <c r="X513" t="s">
        <v>94</v>
      </c>
      <c r="Y513" t="s">
        <v>94</v>
      </c>
      <c r="Z513" t="s">
        <v>136</v>
      </c>
      <c r="AA513">
        <v>94</v>
      </c>
      <c r="AB513" t="s">
        <v>96</v>
      </c>
      <c r="AC513" t="s">
        <v>97</v>
      </c>
      <c r="AD513" t="s">
        <v>98</v>
      </c>
      <c r="AE513" t="s">
        <v>96</v>
      </c>
      <c r="AF513" t="s">
        <v>97</v>
      </c>
      <c r="AG513" t="s">
        <v>99</v>
      </c>
      <c r="AH513" t="s">
        <v>101</v>
      </c>
      <c r="AI513">
        <v>0</v>
      </c>
      <c r="AJ513" t="s">
        <v>101</v>
      </c>
      <c r="AK513">
        <v>0</v>
      </c>
      <c r="AL513">
        <v>1368</v>
      </c>
      <c r="AM513">
        <v>1368</v>
      </c>
      <c r="AN513" t="s">
        <v>102</v>
      </c>
      <c r="AO513" t="s">
        <v>103</v>
      </c>
      <c r="AP513" t="s">
        <v>104</v>
      </c>
      <c r="AQ513" t="s">
        <v>105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96</v>
      </c>
      <c r="BC513">
        <v>6</v>
      </c>
      <c r="BD513" t="s">
        <v>106</v>
      </c>
      <c r="BE513">
        <v>1</v>
      </c>
      <c r="BF513" t="s">
        <v>96</v>
      </c>
      <c r="BG513" t="s">
        <v>107</v>
      </c>
      <c r="BH513">
        <v>2005</v>
      </c>
      <c r="BI513" t="s">
        <v>108</v>
      </c>
      <c r="BJ513">
        <v>2</v>
      </c>
      <c r="BK513">
        <v>474</v>
      </c>
      <c r="BL513" t="s">
        <v>97</v>
      </c>
      <c r="BM513" t="s">
        <v>97</v>
      </c>
      <c r="BN513" t="s">
        <v>104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X513">
        <v>0</v>
      </c>
      <c r="BY513">
        <v>3</v>
      </c>
      <c r="BZ513">
        <v>2006</v>
      </c>
      <c r="CA513" t="s">
        <v>157</v>
      </c>
      <c r="CB513" t="s">
        <v>158</v>
      </c>
      <c r="CC513">
        <v>202665</v>
      </c>
    </row>
    <row r="514" spans="1:81" x14ac:dyDescent="0.3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H514" t="s">
        <v>83</v>
      </c>
      <c r="I514" t="s">
        <v>84</v>
      </c>
      <c r="J514" t="s">
        <v>85</v>
      </c>
      <c r="K514" t="s">
        <v>121</v>
      </c>
      <c r="L514" t="s">
        <v>87</v>
      </c>
      <c r="M514" t="s">
        <v>270</v>
      </c>
      <c r="N514" t="s">
        <v>113</v>
      </c>
      <c r="O514" t="s">
        <v>89</v>
      </c>
      <c r="P514" t="s">
        <v>90</v>
      </c>
      <c r="Q514" t="s">
        <v>114</v>
      </c>
      <c r="R514">
        <v>5</v>
      </c>
      <c r="S514">
        <v>5</v>
      </c>
      <c r="T514">
        <v>1958</v>
      </c>
      <c r="U514">
        <v>1958</v>
      </c>
      <c r="V514" t="s">
        <v>92</v>
      </c>
      <c r="W514" t="s">
        <v>93</v>
      </c>
      <c r="X514" t="s">
        <v>94</v>
      </c>
      <c r="Y514" t="s">
        <v>94</v>
      </c>
      <c r="Z514" t="s">
        <v>116</v>
      </c>
      <c r="AA514">
        <v>0</v>
      </c>
      <c r="AB514" t="s">
        <v>97</v>
      </c>
      <c r="AC514" t="s">
        <v>97</v>
      </c>
      <c r="AD514" t="s">
        <v>117</v>
      </c>
      <c r="AE514" t="s">
        <v>97</v>
      </c>
      <c r="AF514" t="s">
        <v>97</v>
      </c>
      <c r="AG514" t="s">
        <v>99</v>
      </c>
      <c r="AH514" t="s">
        <v>140</v>
      </c>
      <c r="AI514">
        <v>521</v>
      </c>
      <c r="AJ514" t="s">
        <v>171</v>
      </c>
      <c r="AK514">
        <v>174</v>
      </c>
      <c r="AL514">
        <v>169</v>
      </c>
      <c r="AM514">
        <v>864</v>
      </c>
      <c r="AN514" t="s">
        <v>102</v>
      </c>
      <c r="AO514" t="s">
        <v>97</v>
      </c>
      <c r="AP514" t="s">
        <v>104</v>
      </c>
      <c r="AQ514" t="s">
        <v>105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97</v>
      </c>
      <c r="BC514">
        <v>5</v>
      </c>
      <c r="BD514" t="s">
        <v>106</v>
      </c>
      <c r="BE514">
        <v>0</v>
      </c>
      <c r="BG514" t="s">
        <v>126</v>
      </c>
      <c r="BH514">
        <v>1964</v>
      </c>
      <c r="BI514" t="s">
        <v>101</v>
      </c>
      <c r="BJ514">
        <v>2</v>
      </c>
      <c r="BK514">
        <v>624</v>
      </c>
      <c r="BL514" t="s">
        <v>97</v>
      </c>
      <c r="BM514" t="s">
        <v>97</v>
      </c>
      <c r="BN514" t="s">
        <v>104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X514">
        <v>0</v>
      </c>
      <c r="BY514">
        <v>7</v>
      </c>
      <c r="BZ514">
        <v>2006</v>
      </c>
      <c r="CA514" t="s">
        <v>109</v>
      </c>
      <c r="CB514" t="s">
        <v>110</v>
      </c>
      <c r="CC514">
        <v>129900</v>
      </c>
    </row>
    <row r="515" spans="1:81" x14ac:dyDescent="0.3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H515" t="s">
        <v>83</v>
      </c>
      <c r="I515" t="s">
        <v>174</v>
      </c>
      <c r="J515" t="s">
        <v>85</v>
      </c>
      <c r="K515" t="s">
        <v>121</v>
      </c>
      <c r="L515" t="s">
        <v>87</v>
      </c>
      <c r="M515" t="s">
        <v>130</v>
      </c>
      <c r="N515" t="s">
        <v>89</v>
      </c>
      <c r="O515" t="s">
        <v>89</v>
      </c>
      <c r="P515" t="s">
        <v>90</v>
      </c>
      <c r="Q515" t="s">
        <v>114</v>
      </c>
      <c r="R515">
        <v>6</v>
      </c>
      <c r="S515">
        <v>5</v>
      </c>
      <c r="T515">
        <v>1983</v>
      </c>
      <c r="U515">
        <v>1983</v>
      </c>
      <c r="V515" t="s">
        <v>92</v>
      </c>
      <c r="W515" t="s">
        <v>93</v>
      </c>
      <c r="X515" t="s">
        <v>94</v>
      </c>
      <c r="Y515" t="s">
        <v>94</v>
      </c>
      <c r="Z515" t="s">
        <v>116</v>
      </c>
      <c r="AA515">
        <v>0</v>
      </c>
      <c r="AB515" t="s">
        <v>97</v>
      </c>
      <c r="AC515" t="s">
        <v>96</v>
      </c>
      <c r="AD515" t="s">
        <v>98</v>
      </c>
      <c r="AE515" t="s">
        <v>97</v>
      </c>
      <c r="AF515" t="s">
        <v>97</v>
      </c>
      <c r="AG515" t="s">
        <v>99</v>
      </c>
      <c r="AH515" t="s">
        <v>118</v>
      </c>
      <c r="AI515">
        <v>336</v>
      </c>
      <c r="AJ515" t="s">
        <v>101</v>
      </c>
      <c r="AK515">
        <v>0</v>
      </c>
      <c r="AL515">
        <v>748</v>
      </c>
      <c r="AM515">
        <v>1084</v>
      </c>
      <c r="AN515" t="s">
        <v>102</v>
      </c>
      <c r="AO515" t="s">
        <v>97</v>
      </c>
      <c r="AP515" t="s">
        <v>104</v>
      </c>
      <c r="AQ515" t="s">
        <v>105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97</v>
      </c>
      <c r="BC515">
        <v>5</v>
      </c>
      <c r="BD515" t="s">
        <v>106</v>
      </c>
      <c r="BE515">
        <v>0</v>
      </c>
      <c r="BG515" t="s">
        <v>107</v>
      </c>
      <c r="BH515">
        <v>1983</v>
      </c>
      <c r="BI515" t="s">
        <v>101</v>
      </c>
      <c r="BJ515">
        <v>2</v>
      </c>
      <c r="BK515">
        <v>484</v>
      </c>
      <c r="BL515" t="s">
        <v>97</v>
      </c>
      <c r="BM515" t="s">
        <v>97</v>
      </c>
      <c r="BN515" t="s">
        <v>104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X515">
        <v>0</v>
      </c>
      <c r="BY515">
        <v>6</v>
      </c>
      <c r="BZ515">
        <v>2007</v>
      </c>
      <c r="CA515" t="s">
        <v>109</v>
      </c>
      <c r="CB515" t="s">
        <v>110</v>
      </c>
      <c r="CC515">
        <v>134000</v>
      </c>
    </row>
    <row r="516" spans="1:81" x14ac:dyDescent="0.3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H516" t="s">
        <v>83</v>
      </c>
      <c r="I516" t="s">
        <v>84</v>
      </c>
      <c r="J516" t="s">
        <v>85</v>
      </c>
      <c r="K516" t="s">
        <v>86</v>
      </c>
      <c r="L516" t="s">
        <v>87</v>
      </c>
      <c r="M516" t="s">
        <v>122</v>
      </c>
      <c r="N516" t="s">
        <v>89</v>
      </c>
      <c r="O516" t="s">
        <v>89</v>
      </c>
      <c r="P516" t="s">
        <v>90</v>
      </c>
      <c r="Q516" t="s">
        <v>149</v>
      </c>
      <c r="R516">
        <v>5</v>
      </c>
      <c r="S516">
        <v>5</v>
      </c>
      <c r="T516">
        <v>1926</v>
      </c>
      <c r="U516">
        <v>1950</v>
      </c>
      <c r="V516" t="s">
        <v>92</v>
      </c>
      <c r="W516" t="s">
        <v>93</v>
      </c>
      <c r="X516" t="s">
        <v>123</v>
      </c>
      <c r="Y516" t="s">
        <v>123</v>
      </c>
      <c r="Z516" t="s">
        <v>116</v>
      </c>
      <c r="AA516">
        <v>0</v>
      </c>
      <c r="AB516" t="s">
        <v>97</v>
      </c>
      <c r="AC516" t="s">
        <v>97</v>
      </c>
      <c r="AD516" t="s">
        <v>125</v>
      </c>
      <c r="AE516" t="s">
        <v>97</v>
      </c>
      <c r="AF516" t="s">
        <v>97</v>
      </c>
      <c r="AG516" t="s">
        <v>99</v>
      </c>
      <c r="AH516" t="s">
        <v>101</v>
      </c>
      <c r="AI516">
        <v>0</v>
      </c>
      <c r="AJ516" t="s">
        <v>101</v>
      </c>
      <c r="AK516">
        <v>0</v>
      </c>
      <c r="AL516">
        <v>768</v>
      </c>
      <c r="AM516">
        <v>768</v>
      </c>
      <c r="AN516" t="s">
        <v>221</v>
      </c>
      <c r="AO516" t="s">
        <v>146</v>
      </c>
      <c r="AP516" t="s">
        <v>176</v>
      </c>
      <c r="AQ516" t="s">
        <v>105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97</v>
      </c>
      <c r="BC516">
        <v>5</v>
      </c>
      <c r="BD516" t="s">
        <v>106</v>
      </c>
      <c r="BE516">
        <v>0</v>
      </c>
      <c r="BG516" t="s">
        <v>126</v>
      </c>
      <c r="BH516">
        <v>1926</v>
      </c>
      <c r="BI516" t="s">
        <v>101</v>
      </c>
      <c r="BJ516">
        <v>1</v>
      </c>
      <c r="BK516">
        <v>200</v>
      </c>
      <c r="BL516" t="s">
        <v>211</v>
      </c>
      <c r="BM516" t="s">
        <v>211</v>
      </c>
      <c r="BN516" t="s">
        <v>104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V516" t="s">
        <v>133</v>
      </c>
      <c r="BX516">
        <v>0</v>
      </c>
      <c r="BY516">
        <v>6</v>
      </c>
      <c r="BZ516">
        <v>2007</v>
      </c>
      <c r="CA516" t="s">
        <v>109</v>
      </c>
      <c r="CB516" t="s">
        <v>110</v>
      </c>
      <c r="CC516">
        <v>96500</v>
      </c>
    </row>
    <row r="517" spans="1:81" x14ac:dyDescent="0.3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H517" t="s">
        <v>83</v>
      </c>
      <c r="I517" t="s">
        <v>84</v>
      </c>
      <c r="J517" t="s">
        <v>85</v>
      </c>
      <c r="K517" t="s">
        <v>86</v>
      </c>
      <c r="L517" t="s">
        <v>87</v>
      </c>
      <c r="M517" t="s">
        <v>153</v>
      </c>
      <c r="N517" t="s">
        <v>89</v>
      </c>
      <c r="O517" t="s">
        <v>89</v>
      </c>
      <c r="P517" t="s">
        <v>90</v>
      </c>
      <c r="Q517" t="s">
        <v>114</v>
      </c>
      <c r="R517">
        <v>10</v>
      </c>
      <c r="S517">
        <v>5</v>
      </c>
      <c r="T517">
        <v>2009</v>
      </c>
      <c r="U517">
        <v>2009</v>
      </c>
      <c r="V517" t="s">
        <v>151</v>
      </c>
      <c r="W517" t="s">
        <v>93</v>
      </c>
      <c r="X517" t="s">
        <v>179</v>
      </c>
      <c r="Y517" t="s">
        <v>180</v>
      </c>
      <c r="Z517" t="s">
        <v>95</v>
      </c>
      <c r="AA517">
        <v>305</v>
      </c>
      <c r="AB517" t="s">
        <v>103</v>
      </c>
      <c r="AC517" t="s">
        <v>97</v>
      </c>
      <c r="AD517" t="s">
        <v>117</v>
      </c>
      <c r="AE517" t="s">
        <v>103</v>
      </c>
      <c r="AF517" t="s">
        <v>97</v>
      </c>
      <c r="AG517" t="s">
        <v>99</v>
      </c>
      <c r="AH517" t="s">
        <v>100</v>
      </c>
      <c r="AI517">
        <v>1436</v>
      </c>
      <c r="AJ517" t="s">
        <v>101</v>
      </c>
      <c r="AK517">
        <v>0</v>
      </c>
      <c r="AL517">
        <v>570</v>
      </c>
      <c r="AM517">
        <v>2006</v>
      </c>
      <c r="AN517" t="s">
        <v>102</v>
      </c>
      <c r="AO517" t="s">
        <v>103</v>
      </c>
      <c r="AP517" t="s">
        <v>104</v>
      </c>
      <c r="AQ517" t="s">
        <v>105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103</v>
      </c>
      <c r="BC517">
        <v>9</v>
      </c>
      <c r="BD517" t="s">
        <v>106</v>
      </c>
      <c r="BE517">
        <v>1</v>
      </c>
      <c r="BF517" t="s">
        <v>96</v>
      </c>
      <c r="BG517" t="s">
        <v>107</v>
      </c>
      <c r="BH517">
        <v>2009</v>
      </c>
      <c r="BI517" t="s">
        <v>156</v>
      </c>
      <c r="BJ517">
        <v>3</v>
      </c>
      <c r="BK517">
        <v>900</v>
      </c>
      <c r="BL517" t="s">
        <v>97</v>
      </c>
      <c r="BM517" t="s">
        <v>97</v>
      </c>
      <c r="BN517" t="s">
        <v>104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X517">
        <v>0</v>
      </c>
      <c r="BY517">
        <v>9</v>
      </c>
      <c r="BZ517">
        <v>2009</v>
      </c>
      <c r="CA517" t="s">
        <v>157</v>
      </c>
      <c r="CB517" t="s">
        <v>158</v>
      </c>
      <c r="CC517">
        <v>402861</v>
      </c>
    </row>
    <row r="518" spans="1:81" x14ac:dyDescent="0.3">
      <c r="A518">
        <v>517</v>
      </c>
      <c r="B518">
        <v>80</v>
      </c>
      <c r="C518" t="s">
        <v>81</v>
      </c>
      <c r="E518">
        <v>10448</v>
      </c>
      <c r="F518" t="s">
        <v>82</v>
      </c>
      <c r="H518" t="s">
        <v>119</v>
      </c>
      <c r="I518" t="s">
        <v>84</v>
      </c>
      <c r="J518" t="s">
        <v>85</v>
      </c>
      <c r="K518" t="s">
        <v>121</v>
      </c>
      <c r="L518" t="s">
        <v>87</v>
      </c>
      <c r="M518" t="s">
        <v>137</v>
      </c>
      <c r="N518" t="s">
        <v>89</v>
      </c>
      <c r="O518" t="s">
        <v>89</v>
      </c>
      <c r="P518" t="s">
        <v>90</v>
      </c>
      <c r="Q518" t="s">
        <v>196</v>
      </c>
      <c r="R518">
        <v>6</v>
      </c>
      <c r="S518">
        <v>6</v>
      </c>
      <c r="T518">
        <v>1972</v>
      </c>
      <c r="U518">
        <v>1972</v>
      </c>
      <c r="V518" t="s">
        <v>92</v>
      </c>
      <c r="W518" t="s">
        <v>93</v>
      </c>
      <c r="X518" t="s">
        <v>139</v>
      </c>
      <c r="Y518" t="s">
        <v>139</v>
      </c>
      <c r="Z518" t="s">
        <v>95</v>
      </c>
      <c r="AA518">
        <v>333</v>
      </c>
      <c r="AB518" t="s">
        <v>97</v>
      </c>
      <c r="AC518" t="s">
        <v>97</v>
      </c>
      <c r="AD518" t="s">
        <v>117</v>
      </c>
      <c r="AE518" t="s">
        <v>97</v>
      </c>
      <c r="AF518" t="s">
        <v>97</v>
      </c>
      <c r="AG518" t="s">
        <v>99</v>
      </c>
      <c r="AH518" t="s">
        <v>101</v>
      </c>
      <c r="AI518">
        <v>0</v>
      </c>
      <c r="AJ518" t="s">
        <v>101</v>
      </c>
      <c r="AK518">
        <v>0</v>
      </c>
      <c r="AL518">
        <v>689</v>
      </c>
      <c r="AM518">
        <v>689</v>
      </c>
      <c r="AN518" t="s">
        <v>102</v>
      </c>
      <c r="AO518" t="s">
        <v>97</v>
      </c>
      <c r="AP518" t="s">
        <v>104</v>
      </c>
      <c r="AQ518" t="s">
        <v>105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97</v>
      </c>
      <c r="BC518">
        <v>7</v>
      </c>
      <c r="BD518" t="s">
        <v>106</v>
      </c>
      <c r="BE518">
        <v>1</v>
      </c>
      <c r="BF518" t="s">
        <v>97</v>
      </c>
      <c r="BG518" t="s">
        <v>107</v>
      </c>
      <c r="BH518">
        <v>1972</v>
      </c>
      <c r="BI518" t="s">
        <v>108</v>
      </c>
      <c r="BJ518">
        <v>2</v>
      </c>
      <c r="BK518">
        <v>583</v>
      </c>
      <c r="BL518" t="s">
        <v>97</v>
      </c>
      <c r="BM518" t="s">
        <v>97</v>
      </c>
      <c r="BN518" t="s">
        <v>104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V518" t="s">
        <v>164</v>
      </c>
      <c r="BX518">
        <v>0</v>
      </c>
      <c r="BY518">
        <v>8</v>
      </c>
      <c r="BZ518">
        <v>2009</v>
      </c>
      <c r="CA518" t="s">
        <v>172</v>
      </c>
      <c r="CB518" t="s">
        <v>127</v>
      </c>
      <c r="CC518">
        <v>158000</v>
      </c>
    </row>
    <row r="519" spans="1:81" x14ac:dyDescent="0.3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H519" t="s">
        <v>119</v>
      </c>
      <c r="I519" t="s">
        <v>84</v>
      </c>
      <c r="J519" t="s">
        <v>85</v>
      </c>
      <c r="K519" t="s">
        <v>86</v>
      </c>
      <c r="L519" t="s">
        <v>87</v>
      </c>
      <c r="M519" t="s">
        <v>128</v>
      </c>
      <c r="N519" t="s">
        <v>89</v>
      </c>
      <c r="O519" t="s">
        <v>89</v>
      </c>
      <c r="P519" t="s">
        <v>90</v>
      </c>
      <c r="Q519" t="s">
        <v>91</v>
      </c>
      <c r="R519">
        <v>7</v>
      </c>
      <c r="S519">
        <v>5</v>
      </c>
      <c r="T519">
        <v>1996</v>
      </c>
      <c r="U519">
        <v>1997</v>
      </c>
      <c r="V519" t="s">
        <v>92</v>
      </c>
      <c r="W519" t="s">
        <v>93</v>
      </c>
      <c r="X519" t="s">
        <v>94</v>
      </c>
      <c r="Y519" t="s">
        <v>94</v>
      </c>
      <c r="Z519" t="s">
        <v>95</v>
      </c>
      <c r="AA519">
        <v>921</v>
      </c>
      <c r="AB519" t="s">
        <v>96</v>
      </c>
      <c r="AC519" t="s">
        <v>97</v>
      </c>
      <c r="AD519" t="s">
        <v>98</v>
      </c>
      <c r="AE519" t="s">
        <v>96</v>
      </c>
      <c r="AF519" t="s">
        <v>97</v>
      </c>
      <c r="AG519" t="s">
        <v>99</v>
      </c>
      <c r="AH519" t="s">
        <v>101</v>
      </c>
      <c r="AI519">
        <v>0</v>
      </c>
      <c r="AJ519" t="s">
        <v>101</v>
      </c>
      <c r="AK519">
        <v>0</v>
      </c>
      <c r="AL519">
        <v>1264</v>
      </c>
      <c r="AM519">
        <v>1264</v>
      </c>
      <c r="AN519" t="s">
        <v>102</v>
      </c>
      <c r="AO519" t="s">
        <v>103</v>
      </c>
      <c r="AP519" t="s">
        <v>104</v>
      </c>
      <c r="AQ519" t="s">
        <v>105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96</v>
      </c>
      <c r="BC519">
        <v>7</v>
      </c>
      <c r="BD519" t="s">
        <v>106</v>
      </c>
      <c r="BE519">
        <v>1</v>
      </c>
      <c r="BF519" t="s">
        <v>97</v>
      </c>
      <c r="BG519" t="s">
        <v>107</v>
      </c>
      <c r="BH519">
        <v>1996</v>
      </c>
      <c r="BI519" t="s">
        <v>108</v>
      </c>
      <c r="BJ519">
        <v>3</v>
      </c>
      <c r="BK519">
        <v>889</v>
      </c>
      <c r="BL519" t="s">
        <v>97</v>
      </c>
      <c r="BM519" t="s">
        <v>97</v>
      </c>
      <c r="BN519" t="s">
        <v>104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X519">
        <v>0</v>
      </c>
      <c r="BY519">
        <v>7</v>
      </c>
      <c r="BZ519">
        <v>2009</v>
      </c>
      <c r="CA519" t="s">
        <v>109</v>
      </c>
      <c r="CB519" t="s">
        <v>110</v>
      </c>
      <c r="CC519">
        <v>265000</v>
      </c>
    </row>
    <row r="520" spans="1:81" x14ac:dyDescent="0.3">
      <c r="A520">
        <v>519</v>
      </c>
      <c r="B520">
        <v>60</v>
      </c>
      <c r="C520" t="s">
        <v>81</v>
      </c>
      <c r="E520">
        <v>9531</v>
      </c>
      <c r="F520" t="s">
        <v>82</v>
      </c>
      <c r="H520" t="s">
        <v>119</v>
      </c>
      <c r="I520" t="s">
        <v>84</v>
      </c>
      <c r="J520" t="s">
        <v>85</v>
      </c>
      <c r="K520" t="s">
        <v>165</v>
      </c>
      <c r="L520" t="s">
        <v>87</v>
      </c>
      <c r="M520" t="s">
        <v>88</v>
      </c>
      <c r="N520" t="s">
        <v>89</v>
      </c>
      <c r="O520" t="s">
        <v>89</v>
      </c>
      <c r="P520" t="s">
        <v>90</v>
      </c>
      <c r="Q520" t="s">
        <v>91</v>
      </c>
      <c r="R520">
        <v>6</v>
      </c>
      <c r="S520">
        <v>5</v>
      </c>
      <c r="T520">
        <v>1998</v>
      </c>
      <c r="U520">
        <v>1998</v>
      </c>
      <c r="V520" t="s">
        <v>92</v>
      </c>
      <c r="W520" t="s">
        <v>93</v>
      </c>
      <c r="X520" t="s">
        <v>94</v>
      </c>
      <c r="Y520" t="s">
        <v>94</v>
      </c>
      <c r="Z520" t="s">
        <v>116</v>
      </c>
      <c r="AA520">
        <v>0</v>
      </c>
      <c r="AB520" t="s">
        <v>97</v>
      </c>
      <c r="AC520" t="s">
        <v>97</v>
      </c>
      <c r="AD520" t="s">
        <v>98</v>
      </c>
      <c r="AE520" t="s">
        <v>96</v>
      </c>
      <c r="AF520" t="s">
        <v>97</v>
      </c>
      <c r="AG520" t="s">
        <v>120</v>
      </c>
      <c r="AH520" t="s">
        <v>100</v>
      </c>
      <c r="AI520">
        <v>706</v>
      </c>
      <c r="AJ520" t="s">
        <v>101</v>
      </c>
      <c r="AK520">
        <v>0</v>
      </c>
      <c r="AL520">
        <v>88</v>
      </c>
      <c r="AM520">
        <v>794</v>
      </c>
      <c r="AN520" t="s">
        <v>102</v>
      </c>
      <c r="AO520" t="s">
        <v>103</v>
      </c>
      <c r="AP520" t="s">
        <v>104</v>
      </c>
      <c r="AQ520" t="s">
        <v>105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97</v>
      </c>
      <c r="BC520">
        <v>7</v>
      </c>
      <c r="BD520" t="s">
        <v>106</v>
      </c>
      <c r="BE520">
        <v>0</v>
      </c>
      <c r="BG520" t="s">
        <v>107</v>
      </c>
      <c r="BH520">
        <v>1998</v>
      </c>
      <c r="BI520" t="s">
        <v>108</v>
      </c>
      <c r="BJ520">
        <v>2</v>
      </c>
      <c r="BK520">
        <v>546</v>
      </c>
      <c r="BL520" t="s">
        <v>97</v>
      </c>
      <c r="BM520" t="s">
        <v>97</v>
      </c>
      <c r="BN520" t="s">
        <v>104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V520" t="s">
        <v>133</v>
      </c>
      <c r="BX520">
        <v>0</v>
      </c>
      <c r="BY520">
        <v>5</v>
      </c>
      <c r="BZ520">
        <v>2007</v>
      </c>
      <c r="CA520" t="s">
        <v>109</v>
      </c>
      <c r="CB520" t="s">
        <v>110</v>
      </c>
      <c r="CC520">
        <v>211000</v>
      </c>
    </row>
    <row r="521" spans="1:81" x14ac:dyDescent="0.3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H521" t="s">
        <v>83</v>
      </c>
      <c r="I521" t="s">
        <v>84</v>
      </c>
      <c r="J521" t="s">
        <v>85</v>
      </c>
      <c r="K521" t="s">
        <v>86</v>
      </c>
      <c r="L521" t="s">
        <v>87</v>
      </c>
      <c r="M521" t="s">
        <v>122</v>
      </c>
      <c r="N521" t="s">
        <v>89</v>
      </c>
      <c r="O521" t="s">
        <v>89</v>
      </c>
      <c r="P521" t="s">
        <v>90</v>
      </c>
      <c r="Q521" t="s">
        <v>91</v>
      </c>
      <c r="R521">
        <v>7</v>
      </c>
      <c r="S521">
        <v>9</v>
      </c>
      <c r="T521">
        <v>1926</v>
      </c>
      <c r="U521">
        <v>2004</v>
      </c>
      <c r="V521" t="s">
        <v>183</v>
      </c>
      <c r="W521" t="s">
        <v>93</v>
      </c>
      <c r="X521" t="s">
        <v>115</v>
      </c>
      <c r="Y521" t="s">
        <v>115</v>
      </c>
      <c r="Z521" t="s">
        <v>116</v>
      </c>
      <c r="AA521">
        <v>0</v>
      </c>
      <c r="AB521" t="s">
        <v>96</v>
      </c>
      <c r="AC521" t="s">
        <v>97</v>
      </c>
      <c r="AD521" t="s">
        <v>125</v>
      </c>
      <c r="AE521" t="s">
        <v>96</v>
      </c>
      <c r="AF521" t="s">
        <v>97</v>
      </c>
      <c r="AG521" t="s">
        <v>99</v>
      </c>
      <c r="AH521" t="s">
        <v>101</v>
      </c>
      <c r="AI521">
        <v>0</v>
      </c>
      <c r="AJ521" t="s">
        <v>101</v>
      </c>
      <c r="AK521">
        <v>0</v>
      </c>
      <c r="AL521">
        <v>1276</v>
      </c>
      <c r="AM521">
        <v>1276</v>
      </c>
      <c r="AN521" t="s">
        <v>102</v>
      </c>
      <c r="AO521" t="s">
        <v>103</v>
      </c>
      <c r="AP521" t="s">
        <v>104</v>
      </c>
      <c r="AQ521" t="s">
        <v>105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96</v>
      </c>
      <c r="BC521">
        <v>9</v>
      </c>
      <c r="BD521" t="s">
        <v>106</v>
      </c>
      <c r="BE521">
        <v>2</v>
      </c>
      <c r="BF521" t="s">
        <v>96</v>
      </c>
      <c r="BG521" t="s">
        <v>126</v>
      </c>
      <c r="BH521">
        <v>1926</v>
      </c>
      <c r="BI521" t="s">
        <v>101</v>
      </c>
      <c r="BJ521">
        <v>1</v>
      </c>
      <c r="BK521">
        <v>282</v>
      </c>
      <c r="BL521" t="s">
        <v>97</v>
      </c>
      <c r="BM521" t="s">
        <v>97</v>
      </c>
      <c r="BN521" t="s">
        <v>104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V521" t="s">
        <v>133</v>
      </c>
      <c r="BX521">
        <v>0</v>
      </c>
      <c r="BY521">
        <v>6</v>
      </c>
      <c r="BZ521">
        <v>2009</v>
      </c>
      <c r="CA521" t="s">
        <v>109</v>
      </c>
      <c r="CB521" t="s">
        <v>110</v>
      </c>
      <c r="CC521">
        <v>234000</v>
      </c>
    </row>
    <row r="522" spans="1:81" x14ac:dyDescent="0.3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173</v>
      </c>
      <c r="H522" t="s">
        <v>83</v>
      </c>
      <c r="I522" t="s">
        <v>84</v>
      </c>
      <c r="J522" t="s">
        <v>85</v>
      </c>
      <c r="K522" t="s">
        <v>86</v>
      </c>
      <c r="L522" t="s">
        <v>87</v>
      </c>
      <c r="M522" t="s">
        <v>142</v>
      </c>
      <c r="N522" t="s">
        <v>89</v>
      </c>
      <c r="O522" t="s">
        <v>89</v>
      </c>
      <c r="P522" t="s">
        <v>148</v>
      </c>
      <c r="Q522" t="s">
        <v>91</v>
      </c>
      <c r="R522">
        <v>4</v>
      </c>
      <c r="S522">
        <v>7</v>
      </c>
      <c r="T522">
        <v>1900</v>
      </c>
      <c r="U522">
        <v>2000</v>
      </c>
      <c r="V522" t="s">
        <v>92</v>
      </c>
      <c r="W522" t="s">
        <v>93</v>
      </c>
      <c r="X522" t="s">
        <v>115</v>
      </c>
      <c r="Y522" t="s">
        <v>115</v>
      </c>
      <c r="Z522" t="s">
        <v>116</v>
      </c>
      <c r="AA522">
        <v>0</v>
      </c>
      <c r="AB522" t="s">
        <v>97</v>
      </c>
      <c r="AC522" t="s">
        <v>97</v>
      </c>
      <c r="AD522" t="s">
        <v>125</v>
      </c>
      <c r="AI522">
        <v>0</v>
      </c>
      <c r="AK522">
        <v>0</v>
      </c>
      <c r="AL522">
        <v>0</v>
      </c>
      <c r="AM522">
        <v>0</v>
      </c>
      <c r="AN522" t="s">
        <v>102</v>
      </c>
      <c r="AO522" t="s">
        <v>97</v>
      </c>
      <c r="AP522" t="s">
        <v>176</v>
      </c>
      <c r="AQ522" t="s">
        <v>163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97</v>
      </c>
      <c r="BC522">
        <v>7</v>
      </c>
      <c r="BD522" t="s">
        <v>106</v>
      </c>
      <c r="BE522">
        <v>0</v>
      </c>
      <c r="BJ522">
        <v>0</v>
      </c>
      <c r="BK522">
        <v>0</v>
      </c>
      <c r="BN522" t="s">
        <v>176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X522">
        <v>0</v>
      </c>
      <c r="BY522">
        <v>8</v>
      </c>
      <c r="BZ522">
        <v>2008</v>
      </c>
      <c r="CA522" t="s">
        <v>109</v>
      </c>
      <c r="CB522" t="s">
        <v>110</v>
      </c>
      <c r="CC522">
        <v>106250</v>
      </c>
    </row>
    <row r="523" spans="1:81" x14ac:dyDescent="0.3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H523" t="s">
        <v>119</v>
      </c>
      <c r="I523" t="s">
        <v>84</v>
      </c>
      <c r="J523" t="s">
        <v>85</v>
      </c>
      <c r="K523" t="s">
        <v>121</v>
      </c>
      <c r="L523" t="s">
        <v>87</v>
      </c>
      <c r="M523" t="s">
        <v>270</v>
      </c>
      <c r="N523" t="s">
        <v>113</v>
      </c>
      <c r="O523" t="s">
        <v>89</v>
      </c>
      <c r="P523" t="s">
        <v>90</v>
      </c>
      <c r="Q523" t="s">
        <v>114</v>
      </c>
      <c r="R523">
        <v>6</v>
      </c>
      <c r="S523">
        <v>6</v>
      </c>
      <c r="T523">
        <v>1957</v>
      </c>
      <c r="U523">
        <v>1957</v>
      </c>
      <c r="V523" t="s">
        <v>92</v>
      </c>
      <c r="W523" t="s">
        <v>93</v>
      </c>
      <c r="X523" t="s">
        <v>94</v>
      </c>
      <c r="Y523" t="s">
        <v>94</v>
      </c>
      <c r="Z523" t="s">
        <v>116</v>
      </c>
      <c r="AA523">
        <v>0</v>
      </c>
      <c r="AB523" t="s">
        <v>97</v>
      </c>
      <c r="AC523" t="s">
        <v>97</v>
      </c>
      <c r="AD523" t="s">
        <v>117</v>
      </c>
      <c r="AE523" t="s">
        <v>97</v>
      </c>
      <c r="AF523" t="s">
        <v>97</v>
      </c>
      <c r="AG523" t="s">
        <v>99</v>
      </c>
      <c r="AH523" t="s">
        <v>152</v>
      </c>
      <c r="AI523">
        <v>777</v>
      </c>
      <c r="AJ523" t="s">
        <v>101</v>
      </c>
      <c r="AK523">
        <v>0</v>
      </c>
      <c r="AL523">
        <v>467</v>
      </c>
      <c r="AM523">
        <v>1244</v>
      </c>
      <c r="AN523" t="s">
        <v>102</v>
      </c>
      <c r="AO523" t="s">
        <v>103</v>
      </c>
      <c r="AP523" t="s">
        <v>104</v>
      </c>
      <c r="AQ523" t="s">
        <v>163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97</v>
      </c>
      <c r="BC523">
        <v>6</v>
      </c>
      <c r="BD523" t="s">
        <v>106</v>
      </c>
      <c r="BE523">
        <v>2</v>
      </c>
      <c r="BF523" t="s">
        <v>96</v>
      </c>
      <c r="BG523" t="s">
        <v>107</v>
      </c>
      <c r="BH523">
        <v>1957</v>
      </c>
      <c r="BI523" t="s">
        <v>101</v>
      </c>
      <c r="BJ523">
        <v>1</v>
      </c>
      <c r="BK523">
        <v>336</v>
      </c>
      <c r="BL523" t="s">
        <v>97</v>
      </c>
      <c r="BM523" t="s">
        <v>97</v>
      </c>
      <c r="BN523" t="s">
        <v>104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X523">
        <v>0</v>
      </c>
      <c r="BY523">
        <v>5</v>
      </c>
      <c r="BZ523">
        <v>2007</v>
      </c>
      <c r="CA523" t="s">
        <v>109</v>
      </c>
      <c r="CB523" t="s">
        <v>110</v>
      </c>
      <c r="CC523">
        <v>150000</v>
      </c>
    </row>
    <row r="524" spans="1:81" x14ac:dyDescent="0.3">
      <c r="A524">
        <v>523</v>
      </c>
      <c r="B524">
        <v>50</v>
      </c>
      <c r="C524" t="s">
        <v>141</v>
      </c>
      <c r="D524">
        <v>50</v>
      </c>
      <c r="E524">
        <v>5000</v>
      </c>
      <c r="F524" t="s">
        <v>82</v>
      </c>
      <c r="H524" t="s">
        <v>83</v>
      </c>
      <c r="I524" t="s">
        <v>84</v>
      </c>
      <c r="J524" t="s">
        <v>85</v>
      </c>
      <c r="K524" t="s">
        <v>121</v>
      </c>
      <c r="L524" t="s">
        <v>87</v>
      </c>
      <c r="M524" t="s">
        <v>147</v>
      </c>
      <c r="N524" t="s">
        <v>113</v>
      </c>
      <c r="O524" t="s">
        <v>89</v>
      </c>
      <c r="P524" t="s">
        <v>90</v>
      </c>
      <c r="Q524" t="s">
        <v>131</v>
      </c>
      <c r="R524">
        <v>6</v>
      </c>
      <c r="S524">
        <v>7</v>
      </c>
      <c r="T524">
        <v>1947</v>
      </c>
      <c r="U524">
        <v>1950</v>
      </c>
      <c r="V524" t="s">
        <v>92</v>
      </c>
      <c r="W524" t="s">
        <v>93</v>
      </c>
      <c r="X524" t="s">
        <v>179</v>
      </c>
      <c r="Y524" t="s">
        <v>180</v>
      </c>
      <c r="Z524" t="s">
        <v>116</v>
      </c>
      <c r="AA524">
        <v>0</v>
      </c>
      <c r="AB524" t="s">
        <v>97</v>
      </c>
      <c r="AC524" t="s">
        <v>96</v>
      </c>
      <c r="AD524" t="s">
        <v>117</v>
      </c>
      <c r="AE524" t="s">
        <v>97</v>
      </c>
      <c r="AF524" t="s">
        <v>97</v>
      </c>
      <c r="AG524" t="s">
        <v>99</v>
      </c>
      <c r="AH524" t="s">
        <v>118</v>
      </c>
      <c r="AI524">
        <v>399</v>
      </c>
      <c r="AJ524" t="s">
        <v>101</v>
      </c>
      <c r="AK524">
        <v>0</v>
      </c>
      <c r="AL524">
        <v>605</v>
      </c>
      <c r="AM524">
        <v>1004</v>
      </c>
      <c r="AN524" t="s">
        <v>102</v>
      </c>
      <c r="AO524" t="s">
        <v>103</v>
      </c>
      <c r="AP524" t="s">
        <v>104</v>
      </c>
      <c r="AQ524" t="s">
        <v>105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97</v>
      </c>
      <c r="BC524">
        <v>7</v>
      </c>
      <c r="BD524" t="s">
        <v>106</v>
      </c>
      <c r="BE524">
        <v>2</v>
      </c>
      <c r="BF524" t="s">
        <v>96</v>
      </c>
      <c r="BG524" t="s">
        <v>126</v>
      </c>
      <c r="BH524">
        <v>1950</v>
      </c>
      <c r="BI524" t="s">
        <v>101</v>
      </c>
      <c r="BJ524">
        <v>2</v>
      </c>
      <c r="BK524">
        <v>420</v>
      </c>
      <c r="BL524" t="s">
        <v>97</v>
      </c>
      <c r="BM524" t="s">
        <v>97</v>
      </c>
      <c r="BN524" t="s">
        <v>104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X524">
        <v>0</v>
      </c>
      <c r="BY524">
        <v>10</v>
      </c>
      <c r="BZ524">
        <v>2006</v>
      </c>
      <c r="CA524" t="s">
        <v>109</v>
      </c>
      <c r="CB524" t="s">
        <v>110</v>
      </c>
      <c r="CC524">
        <v>159000</v>
      </c>
    </row>
    <row r="525" spans="1:81" x14ac:dyDescent="0.3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H525" t="s">
        <v>119</v>
      </c>
      <c r="I525" t="s">
        <v>174</v>
      </c>
      <c r="J525" t="s">
        <v>85</v>
      </c>
      <c r="K525" t="s">
        <v>86</v>
      </c>
      <c r="L525" t="s">
        <v>87</v>
      </c>
      <c r="M525" t="s">
        <v>184</v>
      </c>
      <c r="N525" t="s">
        <v>138</v>
      </c>
      <c r="O525" t="s">
        <v>138</v>
      </c>
      <c r="P525" t="s">
        <v>90</v>
      </c>
      <c r="Q525" t="s">
        <v>91</v>
      </c>
      <c r="R525">
        <v>10</v>
      </c>
      <c r="S525">
        <v>5</v>
      </c>
      <c r="T525">
        <v>2007</v>
      </c>
      <c r="U525">
        <v>2008</v>
      </c>
      <c r="V525" t="s">
        <v>151</v>
      </c>
      <c r="W525" t="s">
        <v>93</v>
      </c>
      <c r="X525" t="s">
        <v>179</v>
      </c>
      <c r="Y525" t="s">
        <v>180</v>
      </c>
      <c r="Z525" t="s">
        <v>136</v>
      </c>
      <c r="AA525">
        <v>762</v>
      </c>
      <c r="AB525" t="s">
        <v>103</v>
      </c>
      <c r="AC525" t="s">
        <v>97</v>
      </c>
      <c r="AD525" t="s">
        <v>98</v>
      </c>
      <c r="AE525" t="s">
        <v>103</v>
      </c>
      <c r="AF525" t="s">
        <v>97</v>
      </c>
      <c r="AG525" t="s">
        <v>96</v>
      </c>
      <c r="AH525" t="s">
        <v>100</v>
      </c>
      <c r="AI525">
        <v>2260</v>
      </c>
      <c r="AJ525" t="s">
        <v>101</v>
      </c>
      <c r="AK525">
        <v>0</v>
      </c>
      <c r="AL525">
        <v>878</v>
      </c>
      <c r="AM525">
        <v>3138</v>
      </c>
      <c r="AN525" t="s">
        <v>102</v>
      </c>
      <c r="AO525" t="s">
        <v>103</v>
      </c>
      <c r="AP525" t="s">
        <v>104</v>
      </c>
      <c r="AQ525" t="s">
        <v>105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103</v>
      </c>
      <c r="BC525">
        <v>11</v>
      </c>
      <c r="BD525" t="s">
        <v>106</v>
      </c>
      <c r="BE525">
        <v>1</v>
      </c>
      <c r="BF525" t="s">
        <v>96</v>
      </c>
      <c r="BG525" t="s">
        <v>155</v>
      </c>
      <c r="BH525">
        <v>2007</v>
      </c>
      <c r="BI525" t="s">
        <v>156</v>
      </c>
      <c r="BJ525">
        <v>3</v>
      </c>
      <c r="BK525">
        <v>884</v>
      </c>
      <c r="BL525" t="s">
        <v>97</v>
      </c>
      <c r="BM525" t="s">
        <v>97</v>
      </c>
      <c r="BN525" t="s">
        <v>104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X525">
        <v>0</v>
      </c>
      <c r="BY525">
        <v>10</v>
      </c>
      <c r="BZ525">
        <v>2007</v>
      </c>
      <c r="CA525" t="s">
        <v>157</v>
      </c>
      <c r="CB525" t="s">
        <v>158</v>
      </c>
      <c r="CC525">
        <v>184750</v>
      </c>
    </row>
    <row r="526" spans="1:81" x14ac:dyDescent="0.3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H526" t="s">
        <v>119</v>
      </c>
      <c r="I526" t="s">
        <v>84</v>
      </c>
      <c r="J526" t="s">
        <v>85</v>
      </c>
      <c r="K526" t="s">
        <v>86</v>
      </c>
      <c r="L526" t="s">
        <v>87</v>
      </c>
      <c r="M526" t="s">
        <v>128</v>
      </c>
      <c r="N526" t="s">
        <v>89</v>
      </c>
      <c r="O526" t="s">
        <v>89</v>
      </c>
      <c r="P526" t="s">
        <v>90</v>
      </c>
      <c r="Q526" t="s">
        <v>91</v>
      </c>
      <c r="R526">
        <v>7</v>
      </c>
      <c r="S526">
        <v>5</v>
      </c>
      <c r="T526">
        <v>1996</v>
      </c>
      <c r="U526">
        <v>1997</v>
      </c>
      <c r="V526" t="s">
        <v>92</v>
      </c>
      <c r="W526" t="s">
        <v>93</v>
      </c>
      <c r="X526" t="s">
        <v>94</v>
      </c>
      <c r="Y526" t="s">
        <v>94</v>
      </c>
      <c r="Z526" t="s">
        <v>95</v>
      </c>
      <c r="AA526">
        <v>594</v>
      </c>
      <c r="AB526" t="s">
        <v>96</v>
      </c>
      <c r="AC526" t="s">
        <v>97</v>
      </c>
      <c r="AD526" t="s">
        <v>98</v>
      </c>
      <c r="AE526" t="s">
        <v>96</v>
      </c>
      <c r="AF526" t="s">
        <v>97</v>
      </c>
      <c r="AG526" t="s">
        <v>99</v>
      </c>
      <c r="AH526" t="s">
        <v>100</v>
      </c>
      <c r="AI526">
        <v>719</v>
      </c>
      <c r="AJ526" t="s">
        <v>101</v>
      </c>
      <c r="AK526">
        <v>0</v>
      </c>
      <c r="AL526">
        <v>660</v>
      </c>
      <c r="AM526">
        <v>1379</v>
      </c>
      <c r="AN526" t="s">
        <v>102</v>
      </c>
      <c r="AO526" t="s">
        <v>103</v>
      </c>
      <c r="AP526" t="s">
        <v>104</v>
      </c>
      <c r="AQ526" t="s">
        <v>105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96</v>
      </c>
      <c r="BC526">
        <v>8</v>
      </c>
      <c r="BD526" t="s">
        <v>106</v>
      </c>
      <c r="BE526">
        <v>1</v>
      </c>
      <c r="BF526" t="s">
        <v>97</v>
      </c>
      <c r="BG526" t="s">
        <v>107</v>
      </c>
      <c r="BH526">
        <v>1996</v>
      </c>
      <c r="BI526" t="s">
        <v>156</v>
      </c>
      <c r="BJ526">
        <v>3</v>
      </c>
      <c r="BK526">
        <v>834</v>
      </c>
      <c r="BL526" t="s">
        <v>97</v>
      </c>
      <c r="BM526" t="s">
        <v>97</v>
      </c>
      <c r="BN526" t="s">
        <v>104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X526">
        <v>0</v>
      </c>
      <c r="BY526">
        <v>8</v>
      </c>
      <c r="BZ526">
        <v>2007</v>
      </c>
      <c r="CA526" t="s">
        <v>109</v>
      </c>
      <c r="CB526" t="s">
        <v>110</v>
      </c>
      <c r="CC526">
        <v>315750</v>
      </c>
    </row>
    <row r="527" spans="1:81" x14ac:dyDescent="0.3">
      <c r="A527">
        <v>526</v>
      </c>
      <c r="B527">
        <v>20</v>
      </c>
      <c r="C527" t="s">
        <v>191</v>
      </c>
      <c r="D527">
        <v>62</v>
      </c>
      <c r="E527">
        <v>7500</v>
      </c>
      <c r="F527" t="s">
        <v>82</v>
      </c>
      <c r="G527" t="s">
        <v>82</v>
      </c>
      <c r="H527" t="s">
        <v>83</v>
      </c>
      <c r="I527" t="s">
        <v>84</v>
      </c>
      <c r="J527" t="s">
        <v>85</v>
      </c>
      <c r="K527" t="s">
        <v>86</v>
      </c>
      <c r="L527" t="s">
        <v>87</v>
      </c>
      <c r="M527" t="s">
        <v>135</v>
      </c>
      <c r="N527" t="s">
        <v>89</v>
      </c>
      <c r="O527" t="s">
        <v>89</v>
      </c>
      <c r="P527" t="s">
        <v>90</v>
      </c>
      <c r="Q527" t="s">
        <v>114</v>
      </c>
      <c r="R527">
        <v>7</v>
      </c>
      <c r="S527">
        <v>5</v>
      </c>
      <c r="T527">
        <v>2005</v>
      </c>
      <c r="U527">
        <v>2005</v>
      </c>
      <c r="V527" t="s">
        <v>92</v>
      </c>
      <c r="W527" t="s">
        <v>93</v>
      </c>
      <c r="X527" t="s">
        <v>94</v>
      </c>
      <c r="Y527" t="s">
        <v>94</v>
      </c>
      <c r="Z527" t="s">
        <v>116</v>
      </c>
      <c r="AA527">
        <v>0</v>
      </c>
      <c r="AB527" t="s">
        <v>96</v>
      </c>
      <c r="AC527" t="s">
        <v>97</v>
      </c>
      <c r="AD527" t="s">
        <v>98</v>
      </c>
      <c r="AE527" t="s">
        <v>96</v>
      </c>
      <c r="AF527" t="s">
        <v>97</v>
      </c>
      <c r="AG527" t="s">
        <v>99</v>
      </c>
      <c r="AH527" t="s">
        <v>101</v>
      </c>
      <c r="AI527">
        <v>0</v>
      </c>
      <c r="AJ527" t="s">
        <v>101</v>
      </c>
      <c r="AK527">
        <v>0</v>
      </c>
      <c r="AL527">
        <v>1257</v>
      </c>
      <c r="AM527">
        <v>1257</v>
      </c>
      <c r="AN527" t="s">
        <v>102</v>
      </c>
      <c r="AO527" t="s">
        <v>103</v>
      </c>
      <c r="AP527" t="s">
        <v>104</v>
      </c>
      <c r="AQ527" t="s">
        <v>105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96</v>
      </c>
      <c r="BC527">
        <v>6</v>
      </c>
      <c r="BD527" t="s">
        <v>106</v>
      </c>
      <c r="BE527">
        <v>1</v>
      </c>
      <c r="BF527" t="s">
        <v>97</v>
      </c>
      <c r="BG527" t="s">
        <v>107</v>
      </c>
      <c r="BH527">
        <v>2005</v>
      </c>
      <c r="BI527" t="s">
        <v>101</v>
      </c>
      <c r="BJ527">
        <v>2</v>
      </c>
      <c r="BK527">
        <v>453</v>
      </c>
      <c r="BL527" t="s">
        <v>97</v>
      </c>
      <c r="BM527" t="s">
        <v>97</v>
      </c>
      <c r="BN527" t="s">
        <v>104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X527">
        <v>0</v>
      </c>
      <c r="BY527">
        <v>4</v>
      </c>
      <c r="BZ527">
        <v>2006</v>
      </c>
      <c r="CA527" t="s">
        <v>109</v>
      </c>
      <c r="CB527" t="s">
        <v>110</v>
      </c>
      <c r="CC527">
        <v>176000</v>
      </c>
    </row>
    <row r="528" spans="1:81" x14ac:dyDescent="0.3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H528" t="s">
        <v>83</v>
      </c>
      <c r="I528" t="s">
        <v>84</v>
      </c>
      <c r="J528" t="s">
        <v>85</v>
      </c>
      <c r="K528" t="s">
        <v>86</v>
      </c>
      <c r="L528" t="s">
        <v>87</v>
      </c>
      <c r="M528" t="s">
        <v>270</v>
      </c>
      <c r="N528" t="s">
        <v>89</v>
      </c>
      <c r="O528" t="s">
        <v>89</v>
      </c>
      <c r="P528" t="s">
        <v>90</v>
      </c>
      <c r="Q528" t="s">
        <v>114</v>
      </c>
      <c r="R528">
        <v>5</v>
      </c>
      <c r="S528">
        <v>7</v>
      </c>
      <c r="T528">
        <v>1956</v>
      </c>
      <c r="U528">
        <v>2000</v>
      </c>
      <c r="V528" t="s">
        <v>151</v>
      </c>
      <c r="W528" t="s">
        <v>93</v>
      </c>
      <c r="X528" t="s">
        <v>123</v>
      </c>
      <c r="Y528" t="s">
        <v>123</v>
      </c>
      <c r="Z528" t="s">
        <v>116</v>
      </c>
      <c r="AA528">
        <v>0</v>
      </c>
      <c r="AB528" t="s">
        <v>97</v>
      </c>
      <c r="AC528" t="s">
        <v>97</v>
      </c>
      <c r="AD528" t="s">
        <v>117</v>
      </c>
      <c r="AE528" t="s">
        <v>96</v>
      </c>
      <c r="AF528" t="s">
        <v>97</v>
      </c>
      <c r="AG528" t="s">
        <v>99</v>
      </c>
      <c r="AH528" t="s">
        <v>152</v>
      </c>
      <c r="AI528">
        <v>377</v>
      </c>
      <c r="AJ528" t="s">
        <v>101</v>
      </c>
      <c r="AK528">
        <v>0</v>
      </c>
      <c r="AL528">
        <v>551</v>
      </c>
      <c r="AM528">
        <v>928</v>
      </c>
      <c r="AN528" t="s">
        <v>102</v>
      </c>
      <c r="AO528" t="s">
        <v>97</v>
      </c>
      <c r="AP528" t="s">
        <v>104</v>
      </c>
      <c r="AQ528" t="s">
        <v>105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97</v>
      </c>
      <c r="BC528">
        <v>4</v>
      </c>
      <c r="BD528" t="s">
        <v>106</v>
      </c>
      <c r="BE528">
        <v>0</v>
      </c>
      <c r="BG528" t="s">
        <v>107</v>
      </c>
      <c r="BH528">
        <v>1956</v>
      </c>
      <c r="BI528" t="s">
        <v>101</v>
      </c>
      <c r="BJ528">
        <v>1</v>
      </c>
      <c r="BK528">
        <v>252</v>
      </c>
      <c r="BL528" t="s">
        <v>97</v>
      </c>
      <c r="BM528" t="s">
        <v>97</v>
      </c>
      <c r="BN528" t="s">
        <v>104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X528">
        <v>0</v>
      </c>
      <c r="BY528">
        <v>6</v>
      </c>
      <c r="BZ528">
        <v>2007</v>
      </c>
      <c r="CA528" t="s">
        <v>109</v>
      </c>
      <c r="CB528" t="s">
        <v>110</v>
      </c>
      <c r="CC528">
        <v>132000</v>
      </c>
    </row>
    <row r="529" spans="1:81" x14ac:dyDescent="0.3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H529" t="s">
        <v>119</v>
      </c>
      <c r="I529" t="s">
        <v>84</v>
      </c>
      <c r="J529" t="s">
        <v>85</v>
      </c>
      <c r="K529" t="s">
        <v>86</v>
      </c>
      <c r="L529" t="s">
        <v>87</v>
      </c>
      <c r="M529" t="s">
        <v>153</v>
      </c>
      <c r="N529" t="s">
        <v>89</v>
      </c>
      <c r="O529" t="s">
        <v>89</v>
      </c>
      <c r="P529" t="s">
        <v>90</v>
      </c>
      <c r="Q529" t="s">
        <v>91</v>
      </c>
      <c r="R529">
        <v>9</v>
      </c>
      <c r="S529">
        <v>5</v>
      </c>
      <c r="T529">
        <v>2008</v>
      </c>
      <c r="U529">
        <v>2008</v>
      </c>
      <c r="V529" t="s">
        <v>151</v>
      </c>
      <c r="W529" t="s">
        <v>93</v>
      </c>
      <c r="X529" t="s">
        <v>94</v>
      </c>
      <c r="Y529" t="s">
        <v>94</v>
      </c>
      <c r="Z529" t="s">
        <v>136</v>
      </c>
      <c r="AA529">
        <v>268</v>
      </c>
      <c r="AB529" t="s">
        <v>103</v>
      </c>
      <c r="AC529" t="s">
        <v>97</v>
      </c>
      <c r="AD529" t="s">
        <v>98</v>
      </c>
      <c r="AE529" t="s">
        <v>103</v>
      </c>
      <c r="AF529" t="s">
        <v>97</v>
      </c>
      <c r="AG529" t="s">
        <v>129</v>
      </c>
      <c r="AH529" t="s">
        <v>100</v>
      </c>
      <c r="AI529">
        <v>1330</v>
      </c>
      <c r="AJ529" t="s">
        <v>101</v>
      </c>
      <c r="AK529">
        <v>0</v>
      </c>
      <c r="AL529">
        <v>122</v>
      </c>
      <c r="AM529">
        <v>1452</v>
      </c>
      <c r="AN529" t="s">
        <v>102</v>
      </c>
      <c r="AO529" t="s">
        <v>103</v>
      </c>
      <c r="AP529" t="s">
        <v>104</v>
      </c>
      <c r="AQ529" t="s">
        <v>105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103</v>
      </c>
      <c r="BC529">
        <v>11</v>
      </c>
      <c r="BD529" t="s">
        <v>106</v>
      </c>
      <c r="BE529">
        <v>1</v>
      </c>
      <c r="BF529" t="s">
        <v>96</v>
      </c>
      <c r="BG529" t="s">
        <v>107</v>
      </c>
      <c r="BH529">
        <v>2008</v>
      </c>
      <c r="BI529" t="s">
        <v>156</v>
      </c>
      <c r="BJ529">
        <v>3</v>
      </c>
      <c r="BK529">
        <v>858</v>
      </c>
      <c r="BL529" t="s">
        <v>97</v>
      </c>
      <c r="BM529" t="s">
        <v>97</v>
      </c>
      <c r="BN529" t="s">
        <v>104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X529">
        <v>0</v>
      </c>
      <c r="BY529">
        <v>11</v>
      </c>
      <c r="BZ529">
        <v>2008</v>
      </c>
      <c r="CA529" t="s">
        <v>157</v>
      </c>
      <c r="CB529" t="s">
        <v>158</v>
      </c>
      <c r="CC529">
        <v>446261</v>
      </c>
    </row>
    <row r="530" spans="1:81" x14ac:dyDescent="0.3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H530" t="s">
        <v>119</v>
      </c>
      <c r="I530" t="s">
        <v>84</v>
      </c>
      <c r="J530" t="s">
        <v>85</v>
      </c>
      <c r="K530" t="s">
        <v>86</v>
      </c>
      <c r="L530" t="s">
        <v>87</v>
      </c>
      <c r="M530" t="s">
        <v>184</v>
      </c>
      <c r="N530" t="s">
        <v>89</v>
      </c>
      <c r="O530" t="s">
        <v>89</v>
      </c>
      <c r="P530" t="s">
        <v>90</v>
      </c>
      <c r="Q530" t="s">
        <v>114</v>
      </c>
      <c r="R530">
        <v>4</v>
      </c>
      <c r="S530">
        <v>7</v>
      </c>
      <c r="T530">
        <v>1920</v>
      </c>
      <c r="U530">
        <v>2002</v>
      </c>
      <c r="V530" t="s">
        <v>92</v>
      </c>
      <c r="W530" t="s">
        <v>93</v>
      </c>
      <c r="X530" t="s">
        <v>123</v>
      </c>
      <c r="Y530" t="s">
        <v>123</v>
      </c>
      <c r="Z530" t="s">
        <v>116</v>
      </c>
      <c r="AA530">
        <v>0</v>
      </c>
      <c r="AB530" t="s">
        <v>97</v>
      </c>
      <c r="AC530" t="s">
        <v>97</v>
      </c>
      <c r="AD530" t="s">
        <v>125</v>
      </c>
      <c r="AE530" t="s">
        <v>97</v>
      </c>
      <c r="AF530" t="s">
        <v>97</v>
      </c>
      <c r="AG530" t="s">
        <v>120</v>
      </c>
      <c r="AH530" t="s">
        <v>118</v>
      </c>
      <c r="AI530">
        <v>348</v>
      </c>
      <c r="AJ530" t="s">
        <v>101</v>
      </c>
      <c r="AK530">
        <v>0</v>
      </c>
      <c r="AL530">
        <v>180</v>
      </c>
      <c r="AM530">
        <v>528</v>
      </c>
      <c r="AN530" t="s">
        <v>102</v>
      </c>
      <c r="AO530" t="s">
        <v>103</v>
      </c>
      <c r="AP530" t="s">
        <v>104</v>
      </c>
      <c r="AQ530" t="s">
        <v>105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97</v>
      </c>
      <c r="BC530">
        <v>5</v>
      </c>
      <c r="BD530" t="s">
        <v>106</v>
      </c>
      <c r="BE530">
        <v>0</v>
      </c>
      <c r="BJ530">
        <v>0</v>
      </c>
      <c r="BK530">
        <v>0</v>
      </c>
      <c r="BN530" t="s">
        <v>176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X530">
        <v>0</v>
      </c>
      <c r="BY530">
        <v>7</v>
      </c>
      <c r="BZ530">
        <v>2007</v>
      </c>
      <c r="CA530" t="s">
        <v>109</v>
      </c>
      <c r="CB530" t="s">
        <v>110</v>
      </c>
      <c r="CC530">
        <v>86000</v>
      </c>
    </row>
    <row r="531" spans="1:81" x14ac:dyDescent="0.3">
      <c r="A531">
        <v>530</v>
      </c>
      <c r="B531">
        <v>20</v>
      </c>
      <c r="C531" t="s">
        <v>81</v>
      </c>
      <c r="E531">
        <v>32668</v>
      </c>
      <c r="F531" t="s">
        <v>82</v>
      </c>
      <c r="H531" t="s">
        <v>119</v>
      </c>
      <c r="I531" t="s">
        <v>84</v>
      </c>
      <c r="J531" t="s">
        <v>85</v>
      </c>
      <c r="K531" t="s">
        <v>165</v>
      </c>
      <c r="L531" t="s">
        <v>87</v>
      </c>
      <c r="M531" t="s">
        <v>122</v>
      </c>
      <c r="N531" t="s">
        <v>89</v>
      </c>
      <c r="O531" t="s">
        <v>89</v>
      </c>
      <c r="P531" t="s">
        <v>90</v>
      </c>
      <c r="Q531" t="s">
        <v>114</v>
      </c>
      <c r="R531">
        <v>6</v>
      </c>
      <c r="S531">
        <v>3</v>
      </c>
      <c r="T531">
        <v>1957</v>
      </c>
      <c r="U531">
        <v>1975</v>
      </c>
      <c r="V531" t="s">
        <v>151</v>
      </c>
      <c r="W531" t="s">
        <v>93</v>
      </c>
      <c r="X531" t="s">
        <v>123</v>
      </c>
      <c r="Y531" t="s">
        <v>136</v>
      </c>
      <c r="AB531" t="s">
        <v>96</v>
      </c>
      <c r="AC531" t="s">
        <v>97</v>
      </c>
      <c r="AD531" t="s">
        <v>98</v>
      </c>
      <c r="AE531" t="s">
        <v>97</v>
      </c>
      <c r="AF531" t="s">
        <v>97</v>
      </c>
      <c r="AG531" t="s">
        <v>99</v>
      </c>
      <c r="AH531" t="s">
        <v>152</v>
      </c>
      <c r="AI531">
        <v>1219</v>
      </c>
      <c r="AJ531" t="s">
        <v>101</v>
      </c>
      <c r="AK531">
        <v>0</v>
      </c>
      <c r="AL531">
        <v>816</v>
      </c>
      <c r="AM531">
        <v>2035</v>
      </c>
      <c r="AN531" t="s">
        <v>102</v>
      </c>
      <c r="AO531" t="s">
        <v>97</v>
      </c>
      <c r="AP531" t="s">
        <v>104</v>
      </c>
      <c r="AQ531" t="s">
        <v>105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97</v>
      </c>
      <c r="BC531">
        <v>9</v>
      </c>
      <c r="BD531" t="s">
        <v>220</v>
      </c>
      <c r="BE531">
        <v>2</v>
      </c>
      <c r="BF531" t="s">
        <v>97</v>
      </c>
      <c r="BG531" t="s">
        <v>107</v>
      </c>
      <c r="BH531">
        <v>1975</v>
      </c>
      <c r="BI531" t="s">
        <v>108</v>
      </c>
      <c r="BJ531">
        <v>2</v>
      </c>
      <c r="BK531">
        <v>484</v>
      </c>
      <c r="BL531" t="s">
        <v>97</v>
      </c>
      <c r="BM531" t="s">
        <v>97</v>
      </c>
      <c r="BN531" t="s">
        <v>104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X531">
        <v>0</v>
      </c>
      <c r="BY531">
        <v>3</v>
      </c>
      <c r="BZ531">
        <v>2007</v>
      </c>
      <c r="CA531" t="s">
        <v>109</v>
      </c>
      <c r="CB531" t="s">
        <v>209</v>
      </c>
      <c r="CC531">
        <v>200624</v>
      </c>
    </row>
    <row r="532" spans="1:81" x14ac:dyDescent="0.3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H532" t="s">
        <v>83</v>
      </c>
      <c r="I532" t="s">
        <v>84</v>
      </c>
      <c r="J532" t="s">
        <v>85</v>
      </c>
      <c r="K532" t="s">
        <v>86</v>
      </c>
      <c r="L532" t="s">
        <v>87</v>
      </c>
      <c r="M532" t="s">
        <v>188</v>
      </c>
      <c r="N532" t="s">
        <v>89</v>
      </c>
      <c r="O532" t="s">
        <v>89</v>
      </c>
      <c r="P532" t="s">
        <v>90</v>
      </c>
      <c r="Q532" t="s">
        <v>196</v>
      </c>
      <c r="R532">
        <v>6</v>
      </c>
      <c r="S532">
        <v>5</v>
      </c>
      <c r="T532">
        <v>1988</v>
      </c>
      <c r="U532">
        <v>1989</v>
      </c>
      <c r="V532" t="s">
        <v>92</v>
      </c>
      <c r="W532" t="s">
        <v>93</v>
      </c>
      <c r="X532" t="s">
        <v>139</v>
      </c>
      <c r="Y532" t="s">
        <v>139</v>
      </c>
      <c r="Z532" t="s">
        <v>95</v>
      </c>
      <c r="AA532">
        <v>219</v>
      </c>
      <c r="AB532" t="s">
        <v>96</v>
      </c>
      <c r="AC532" t="s">
        <v>97</v>
      </c>
      <c r="AD532" t="s">
        <v>117</v>
      </c>
      <c r="AE532" t="s">
        <v>96</v>
      </c>
      <c r="AF532" t="s">
        <v>97</v>
      </c>
      <c r="AG532" t="s">
        <v>129</v>
      </c>
      <c r="AH532" t="s">
        <v>100</v>
      </c>
      <c r="AI532">
        <v>783</v>
      </c>
      <c r="AJ532" t="s">
        <v>101</v>
      </c>
      <c r="AK532">
        <v>0</v>
      </c>
      <c r="AL532">
        <v>678</v>
      </c>
      <c r="AM532">
        <v>1461</v>
      </c>
      <c r="AN532" t="s">
        <v>102</v>
      </c>
      <c r="AO532" t="s">
        <v>103</v>
      </c>
      <c r="AP532" t="s">
        <v>104</v>
      </c>
      <c r="AQ532" t="s">
        <v>105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96</v>
      </c>
      <c r="BC532">
        <v>5</v>
      </c>
      <c r="BD532" t="s">
        <v>106</v>
      </c>
      <c r="BE532">
        <v>1</v>
      </c>
      <c r="BF532" t="s">
        <v>146</v>
      </c>
      <c r="BG532" t="s">
        <v>107</v>
      </c>
      <c r="BH532">
        <v>1988</v>
      </c>
      <c r="BI532" t="s">
        <v>108</v>
      </c>
      <c r="BJ532">
        <v>2</v>
      </c>
      <c r="BK532">
        <v>600</v>
      </c>
      <c r="BL532" t="s">
        <v>97</v>
      </c>
      <c r="BM532" t="s">
        <v>97</v>
      </c>
      <c r="BN532" t="s">
        <v>104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X532">
        <v>0</v>
      </c>
      <c r="BY532">
        <v>8</v>
      </c>
      <c r="BZ532">
        <v>2008</v>
      </c>
      <c r="CA532" t="s">
        <v>109</v>
      </c>
      <c r="CB532" t="s">
        <v>127</v>
      </c>
      <c r="CC532">
        <v>175000</v>
      </c>
    </row>
    <row r="533" spans="1:81" x14ac:dyDescent="0.3">
      <c r="A533">
        <v>532</v>
      </c>
      <c r="B533">
        <v>70</v>
      </c>
      <c r="C533" t="s">
        <v>141</v>
      </c>
      <c r="D533">
        <v>60</v>
      </c>
      <c r="E533">
        <v>6155</v>
      </c>
      <c r="F533" t="s">
        <v>82</v>
      </c>
      <c r="H533" t="s">
        <v>119</v>
      </c>
      <c r="I533" t="s">
        <v>84</v>
      </c>
      <c r="J533" t="s">
        <v>85</v>
      </c>
      <c r="K533" t="s">
        <v>237</v>
      </c>
      <c r="L533" t="s">
        <v>87</v>
      </c>
      <c r="M533" t="s">
        <v>147</v>
      </c>
      <c r="N533" t="s">
        <v>181</v>
      </c>
      <c r="O533" t="s">
        <v>113</v>
      </c>
      <c r="P533" t="s">
        <v>90</v>
      </c>
      <c r="Q533" t="s">
        <v>91</v>
      </c>
      <c r="R533">
        <v>6</v>
      </c>
      <c r="S533">
        <v>8</v>
      </c>
      <c r="T533">
        <v>1920</v>
      </c>
      <c r="U533">
        <v>1999</v>
      </c>
      <c r="V533" t="s">
        <v>92</v>
      </c>
      <c r="W533" t="s">
        <v>93</v>
      </c>
      <c r="X533" t="s">
        <v>123</v>
      </c>
      <c r="Y533" t="s">
        <v>123</v>
      </c>
      <c r="Z533" t="s">
        <v>116</v>
      </c>
      <c r="AA533">
        <v>0</v>
      </c>
      <c r="AB533" t="s">
        <v>97</v>
      </c>
      <c r="AC533" t="s">
        <v>97</v>
      </c>
      <c r="AD533" t="s">
        <v>125</v>
      </c>
      <c r="AE533" t="s">
        <v>146</v>
      </c>
      <c r="AF533" t="s">
        <v>146</v>
      </c>
      <c r="AG533" t="s">
        <v>120</v>
      </c>
      <c r="AH533" t="s">
        <v>101</v>
      </c>
      <c r="AI533">
        <v>0</v>
      </c>
      <c r="AJ533" t="s">
        <v>101</v>
      </c>
      <c r="AK533">
        <v>0</v>
      </c>
      <c r="AL533">
        <v>611</v>
      </c>
      <c r="AM533">
        <v>611</v>
      </c>
      <c r="AN533" t="s">
        <v>102</v>
      </c>
      <c r="AO533" t="s">
        <v>103</v>
      </c>
      <c r="AP533" t="s">
        <v>104</v>
      </c>
      <c r="AQ533" t="s">
        <v>105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97</v>
      </c>
      <c r="BC533">
        <v>6</v>
      </c>
      <c r="BD533" t="s">
        <v>106</v>
      </c>
      <c r="BE533">
        <v>0</v>
      </c>
      <c r="BG533" t="s">
        <v>126</v>
      </c>
      <c r="BH533">
        <v>1920</v>
      </c>
      <c r="BI533" t="s">
        <v>156</v>
      </c>
      <c r="BJ533">
        <v>2</v>
      </c>
      <c r="BK533">
        <v>502</v>
      </c>
      <c r="BL533" t="s">
        <v>97</v>
      </c>
      <c r="BM533" t="s">
        <v>146</v>
      </c>
      <c r="BN533" t="s">
        <v>104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X533">
        <v>0</v>
      </c>
      <c r="BY533">
        <v>6</v>
      </c>
      <c r="BZ533">
        <v>2008</v>
      </c>
      <c r="CA533" t="s">
        <v>109</v>
      </c>
      <c r="CB533" t="s">
        <v>110</v>
      </c>
      <c r="CC533">
        <v>128000</v>
      </c>
    </row>
    <row r="534" spans="1:81" x14ac:dyDescent="0.3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H534" t="s">
        <v>83</v>
      </c>
      <c r="I534" t="s">
        <v>84</v>
      </c>
      <c r="J534" t="s">
        <v>85</v>
      </c>
      <c r="K534" t="s">
        <v>86</v>
      </c>
      <c r="L534" t="s">
        <v>87</v>
      </c>
      <c r="M534" t="s">
        <v>270</v>
      </c>
      <c r="N534" t="s">
        <v>89</v>
      </c>
      <c r="O534" t="s">
        <v>89</v>
      </c>
      <c r="P534" t="s">
        <v>90</v>
      </c>
      <c r="Q534" t="s">
        <v>114</v>
      </c>
      <c r="R534">
        <v>5</v>
      </c>
      <c r="S534">
        <v>7</v>
      </c>
      <c r="T534">
        <v>1955</v>
      </c>
      <c r="U534">
        <v>2007</v>
      </c>
      <c r="V534" t="s">
        <v>92</v>
      </c>
      <c r="W534" t="s">
        <v>93</v>
      </c>
      <c r="X534" t="s">
        <v>94</v>
      </c>
      <c r="Y534" t="s">
        <v>94</v>
      </c>
      <c r="Z534" t="s">
        <v>116</v>
      </c>
      <c r="AA534">
        <v>0</v>
      </c>
      <c r="AB534" t="s">
        <v>97</v>
      </c>
      <c r="AC534" t="s">
        <v>97</v>
      </c>
      <c r="AD534" t="s">
        <v>167</v>
      </c>
      <c r="AI534">
        <v>0</v>
      </c>
      <c r="AK534">
        <v>0</v>
      </c>
      <c r="AL534">
        <v>0</v>
      </c>
      <c r="AM534">
        <v>0</v>
      </c>
      <c r="AN534" t="s">
        <v>102</v>
      </c>
      <c r="AO534" t="s">
        <v>103</v>
      </c>
      <c r="AP534" t="s">
        <v>104</v>
      </c>
      <c r="AQ534" t="s">
        <v>105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97</v>
      </c>
      <c r="BC534">
        <v>5</v>
      </c>
      <c r="BD534" t="s">
        <v>193</v>
      </c>
      <c r="BE534">
        <v>1</v>
      </c>
      <c r="BF534" t="s">
        <v>211</v>
      </c>
      <c r="BG534" t="s">
        <v>126</v>
      </c>
      <c r="BH534">
        <v>1967</v>
      </c>
      <c r="BI534" t="s">
        <v>101</v>
      </c>
      <c r="BJ534">
        <v>1</v>
      </c>
      <c r="BK534">
        <v>392</v>
      </c>
      <c r="BL534" t="s">
        <v>97</v>
      </c>
      <c r="BM534" t="s">
        <v>97</v>
      </c>
      <c r="BN534" t="s">
        <v>104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X534">
        <v>0</v>
      </c>
      <c r="BY534">
        <v>4</v>
      </c>
      <c r="BZ534">
        <v>2010</v>
      </c>
      <c r="CA534" t="s">
        <v>109</v>
      </c>
      <c r="CB534" t="s">
        <v>110</v>
      </c>
      <c r="CC534">
        <v>107500</v>
      </c>
    </row>
    <row r="535" spans="1:81" x14ac:dyDescent="0.3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H535" t="s">
        <v>83</v>
      </c>
      <c r="I535" t="s">
        <v>194</v>
      </c>
      <c r="J535" t="s">
        <v>85</v>
      </c>
      <c r="K535" t="s">
        <v>86</v>
      </c>
      <c r="L535" t="s">
        <v>193</v>
      </c>
      <c r="M535" t="s">
        <v>147</v>
      </c>
      <c r="N535" t="s">
        <v>89</v>
      </c>
      <c r="O535" t="s">
        <v>89</v>
      </c>
      <c r="P535" t="s">
        <v>90</v>
      </c>
      <c r="Q535" t="s">
        <v>114</v>
      </c>
      <c r="R535">
        <v>1</v>
      </c>
      <c r="S535">
        <v>3</v>
      </c>
      <c r="T535">
        <v>1946</v>
      </c>
      <c r="U535">
        <v>1950</v>
      </c>
      <c r="V535" t="s">
        <v>92</v>
      </c>
      <c r="W535" t="s">
        <v>93</v>
      </c>
      <c r="X535" t="s">
        <v>94</v>
      </c>
      <c r="Y535" t="s">
        <v>94</v>
      </c>
      <c r="Z535" t="s">
        <v>116</v>
      </c>
      <c r="AA535">
        <v>0</v>
      </c>
      <c r="AB535" t="s">
        <v>146</v>
      </c>
      <c r="AC535" t="s">
        <v>146</v>
      </c>
      <c r="AD535" t="s">
        <v>167</v>
      </c>
      <c r="AI535">
        <v>0</v>
      </c>
      <c r="AK535">
        <v>0</v>
      </c>
      <c r="AL535">
        <v>0</v>
      </c>
      <c r="AM535">
        <v>0</v>
      </c>
      <c r="AN535" t="s">
        <v>102</v>
      </c>
      <c r="AO535" t="s">
        <v>146</v>
      </c>
      <c r="AP535" t="s">
        <v>176</v>
      </c>
      <c r="AQ535" t="s">
        <v>144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146</v>
      </c>
      <c r="BC535">
        <v>2</v>
      </c>
      <c r="BD535" t="s">
        <v>106</v>
      </c>
      <c r="BE535">
        <v>0</v>
      </c>
      <c r="BJ535">
        <v>0</v>
      </c>
      <c r="BK535">
        <v>0</v>
      </c>
      <c r="BN535" t="s">
        <v>176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X535">
        <v>0</v>
      </c>
      <c r="BY535">
        <v>1</v>
      </c>
      <c r="BZ535">
        <v>2007</v>
      </c>
      <c r="CA535" t="s">
        <v>109</v>
      </c>
      <c r="CB535" t="s">
        <v>110</v>
      </c>
      <c r="CC535">
        <v>39300</v>
      </c>
    </row>
    <row r="536" spans="1:81" x14ac:dyDescent="0.3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H536" t="s">
        <v>119</v>
      </c>
      <c r="I536" t="s">
        <v>84</v>
      </c>
      <c r="J536" t="s">
        <v>85</v>
      </c>
      <c r="K536" t="s">
        <v>86</v>
      </c>
      <c r="L536" t="s">
        <v>87</v>
      </c>
      <c r="M536" t="s">
        <v>192</v>
      </c>
      <c r="N536" t="s">
        <v>89</v>
      </c>
      <c r="O536" t="s">
        <v>89</v>
      </c>
      <c r="P536" t="s">
        <v>90</v>
      </c>
      <c r="Q536" t="s">
        <v>91</v>
      </c>
      <c r="R536">
        <v>8</v>
      </c>
      <c r="S536">
        <v>5</v>
      </c>
      <c r="T536">
        <v>2004</v>
      </c>
      <c r="U536">
        <v>2004</v>
      </c>
      <c r="V536" t="s">
        <v>92</v>
      </c>
      <c r="W536" t="s">
        <v>93</v>
      </c>
      <c r="X536" t="s">
        <v>94</v>
      </c>
      <c r="Y536" t="s">
        <v>94</v>
      </c>
      <c r="Z536" t="s">
        <v>116</v>
      </c>
      <c r="AA536">
        <v>0</v>
      </c>
      <c r="AB536" t="s">
        <v>96</v>
      </c>
      <c r="AC536" t="s">
        <v>97</v>
      </c>
      <c r="AD536" t="s">
        <v>98</v>
      </c>
      <c r="AE536" t="s">
        <v>103</v>
      </c>
      <c r="AF536" t="s">
        <v>96</v>
      </c>
      <c r="AG536" t="s">
        <v>129</v>
      </c>
      <c r="AH536" t="s">
        <v>101</v>
      </c>
      <c r="AI536">
        <v>0</v>
      </c>
      <c r="AJ536" t="s">
        <v>101</v>
      </c>
      <c r="AK536">
        <v>0</v>
      </c>
      <c r="AL536">
        <v>707</v>
      </c>
      <c r="AM536">
        <v>707</v>
      </c>
      <c r="AN536" t="s">
        <v>102</v>
      </c>
      <c r="AO536" t="s">
        <v>103</v>
      </c>
      <c r="AP536" t="s">
        <v>104</v>
      </c>
      <c r="AQ536" t="s">
        <v>105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96</v>
      </c>
      <c r="BC536">
        <v>6</v>
      </c>
      <c r="BD536" t="s">
        <v>106</v>
      </c>
      <c r="BE536">
        <v>1</v>
      </c>
      <c r="BF536" t="s">
        <v>96</v>
      </c>
      <c r="BG536" t="s">
        <v>107</v>
      </c>
      <c r="BH536">
        <v>2004</v>
      </c>
      <c r="BI536" t="s">
        <v>156</v>
      </c>
      <c r="BJ536">
        <v>2</v>
      </c>
      <c r="BK536">
        <v>403</v>
      </c>
      <c r="BL536" t="s">
        <v>97</v>
      </c>
      <c r="BM536" t="s">
        <v>97</v>
      </c>
      <c r="BN536" t="s">
        <v>104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X536">
        <v>0</v>
      </c>
      <c r="BY536">
        <v>10</v>
      </c>
      <c r="BZ536">
        <v>2006</v>
      </c>
      <c r="CA536" t="s">
        <v>109</v>
      </c>
      <c r="CB536" t="s">
        <v>110</v>
      </c>
      <c r="CC536">
        <v>178000</v>
      </c>
    </row>
    <row r="537" spans="1:81" x14ac:dyDescent="0.3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H537" t="s">
        <v>83</v>
      </c>
      <c r="I537" t="s">
        <v>84</v>
      </c>
      <c r="J537" t="s">
        <v>85</v>
      </c>
      <c r="K537" t="s">
        <v>86</v>
      </c>
      <c r="L537" t="s">
        <v>87</v>
      </c>
      <c r="M537" t="s">
        <v>184</v>
      </c>
      <c r="N537" t="s">
        <v>89</v>
      </c>
      <c r="O537" t="s">
        <v>89</v>
      </c>
      <c r="P537" t="s">
        <v>148</v>
      </c>
      <c r="Q537" t="s">
        <v>91</v>
      </c>
      <c r="R537">
        <v>5</v>
      </c>
      <c r="S537">
        <v>7</v>
      </c>
      <c r="T537">
        <v>1910</v>
      </c>
      <c r="U537">
        <v>1991</v>
      </c>
      <c r="V537" t="s">
        <v>92</v>
      </c>
      <c r="W537" t="s">
        <v>93</v>
      </c>
      <c r="X537" t="s">
        <v>115</v>
      </c>
      <c r="Y537" t="s">
        <v>115</v>
      </c>
      <c r="Z537" t="s">
        <v>116</v>
      </c>
      <c r="AA537">
        <v>0</v>
      </c>
      <c r="AB537" t="s">
        <v>97</v>
      </c>
      <c r="AC537" t="s">
        <v>97</v>
      </c>
      <c r="AD537" t="s">
        <v>117</v>
      </c>
      <c r="AE537" t="s">
        <v>96</v>
      </c>
      <c r="AF537" t="s">
        <v>97</v>
      </c>
      <c r="AG537" t="s">
        <v>96</v>
      </c>
      <c r="AH537" t="s">
        <v>100</v>
      </c>
      <c r="AI537">
        <v>969</v>
      </c>
      <c r="AJ537" t="s">
        <v>101</v>
      </c>
      <c r="AK537">
        <v>0</v>
      </c>
      <c r="AL537">
        <v>148</v>
      </c>
      <c r="AM537">
        <v>1117</v>
      </c>
      <c r="AN537" t="s">
        <v>102</v>
      </c>
      <c r="AO537" t="s">
        <v>97</v>
      </c>
      <c r="AP537" t="s">
        <v>104</v>
      </c>
      <c r="AQ537" t="s">
        <v>105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97</v>
      </c>
      <c r="BC537">
        <v>5</v>
      </c>
      <c r="BD537" t="s">
        <v>106</v>
      </c>
      <c r="BE537">
        <v>0</v>
      </c>
      <c r="BJ537">
        <v>0</v>
      </c>
      <c r="BK537">
        <v>0</v>
      </c>
      <c r="BN537" t="s">
        <v>176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X537">
        <v>0</v>
      </c>
      <c r="BY537">
        <v>1</v>
      </c>
      <c r="BZ537">
        <v>2008</v>
      </c>
      <c r="CA537" t="s">
        <v>109</v>
      </c>
      <c r="CB537" t="s">
        <v>110</v>
      </c>
      <c r="CC537">
        <v>107500</v>
      </c>
    </row>
    <row r="538" spans="1:81" x14ac:dyDescent="0.3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H538" t="s">
        <v>119</v>
      </c>
      <c r="I538" t="s">
        <v>84</v>
      </c>
      <c r="J538" t="s">
        <v>85</v>
      </c>
      <c r="K538" t="s">
        <v>165</v>
      </c>
      <c r="L538" t="s">
        <v>87</v>
      </c>
      <c r="M538" t="s">
        <v>88</v>
      </c>
      <c r="N538" t="s">
        <v>89</v>
      </c>
      <c r="O538" t="s">
        <v>89</v>
      </c>
      <c r="P538" t="s">
        <v>90</v>
      </c>
      <c r="Q538" t="s">
        <v>91</v>
      </c>
      <c r="R538">
        <v>7</v>
      </c>
      <c r="S538">
        <v>5</v>
      </c>
      <c r="T538">
        <v>1998</v>
      </c>
      <c r="U538">
        <v>1999</v>
      </c>
      <c r="V538" t="s">
        <v>92</v>
      </c>
      <c r="W538" t="s">
        <v>93</v>
      </c>
      <c r="X538" t="s">
        <v>94</v>
      </c>
      <c r="Y538" t="s">
        <v>94</v>
      </c>
      <c r="Z538" t="s">
        <v>116</v>
      </c>
      <c r="AA538">
        <v>0</v>
      </c>
      <c r="AB538" t="s">
        <v>97</v>
      </c>
      <c r="AC538" t="s">
        <v>97</v>
      </c>
      <c r="AD538" t="s">
        <v>98</v>
      </c>
      <c r="AE538" t="s">
        <v>96</v>
      </c>
      <c r="AF538" t="s">
        <v>97</v>
      </c>
      <c r="AG538" t="s">
        <v>129</v>
      </c>
      <c r="AH538" t="s">
        <v>101</v>
      </c>
      <c r="AI538">
        <v>0</v>
      </c>
      <c r="AJ538" t="s">
        <v>101</v>
      </c>
      <c r="AK538">
        <v>0</v>
      </c>
      <c r="AL538">
        <v>880</v>
      </c>
      <c r="AM538">
        <v>880</v>
      </c>
      <c r="AN538" t="s">
        <v>102</v>
      </c>
      <c r="AO538" t="s">
        <v>103</v>
      </c>
      <c r="AP538" t="s">
        <v>104</v>
      </c>
      <c r="AQ538" t="s">
        <v>105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96</v>
      </c>
      <c r="BC538">
        <v>8</v>
      </c>
      <c r="BD538" t="s">
        <v>106</v>
      </c>
      <c r="BE538">
        <v>0</v>
      </c>
      <c r="BG538" t="s">
        <v>107</v>
      </c>
      <c r="BH538">
        <v>1998</v>
      </c>
      <c r="BI538" t="s">
        <v>156</v>
      </c>
      <c r="BJ538">
        <v>2</v>
      </c>
      <c r="BK538">
        <v>527</v>
      </c>
      <c r="BL538" t="s">
        <v>97</v>
      </c>
      <c r="BM538" t="s">
        <v>97</v>
      </c>
      <c r="BN538" t="s">
        <v>104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X538">
        <v>0</v>
      </c>
      <c r="BY538">
        <v>7</v>
      </c>
      <c r="BZ538">
        <v>2008</v>
      </c>
      <c r="CA538" t="s">
        <v>109</v>
      </c>
      <c r="CB538" t="s">
        <v>110</v>
      </c>
      <c r="CC538">
        <v>188000</v>
      </c>
    </row>
    <row r="539" spans="1:81" x14ac:dyDescent="0.3">
      <c r="A539">
        <v>538</v>
      </c>
      <c r="B539">
        <v>20</v>
      </c>
      <c r="C539" t="s">
        <v>81</v>
      </c>
      <c r="E539">
        <v>12735</v>
      </c>
      <c r="F539" t="s">
        <v>82</v>
      </c>
      <c r="H539" t="s">
        <v>119</v>
      </c>
      <c r="I539" t="s">
        <v>84</v>
      </c>
      <c r="J539" t="s">
        <v>85</v>
      </c>
      <c r="K539" t="s">
        <v>111</v>
      </c>
      <c r="L539" t="s">
        <v>87</v>
      </c>
      <c r="M539" t="s">
        <v>270</v>
      </c>
      <c r="N539" t="s">
        <v>89</v>
      </c>
      <c r="O539" t="s">
        <v>89</v>
      </c>
      <c r="P539" t="s">
        <v>90</v>
      </c>
      <c r="Q539" t="s">
        <v>114</v>
      </c>
      <c r="R539">
        <v>4</v>
      </c>
      <c r="S539">
        <v>5</v>
      </c>
      <c r="T539">
        <v>1972</v>
      </c>
      <c r="U539">
        <v>1972</v>
      </c>
      <c r="V539" t="s">
        <v>151</v>
      </c>
      <c r="W539" t="s">
        <v>93</v>
      </c>
      <c r="X539" t="s">
        <v>115</v>
      </c>
      <c r="Y539" t="s">
        <v>115</v>
      </c>
      <c r="Z539" t="s">
        <v>116</v>
      </c>
      <c r="AA539">
        <v>0</v>
      </c>
      <c r="AB539" t="s">
        <v>97</v>
      </c>
      <c r="AC539" t="s">
        <v>97</v>
      </c>
      <c r="AD539" t="s">
        <v>117</v>
      </c>
      <c r="AE539" t="s">
        <v>97</v>
      </c>
      <c r="AF539" t="s">
        <v>97</v>
      </c>
      <c r="AG539" t="s">
        <v>99</v>
      </c>
      <c r="AH539" t="s">
        <v>140</v>
      </c>
      <c r="AI539">
        <v>600</v>
      </c>
      <c r="AJ539" t="s">
        <v>101</v>
      </c>
      <c r="AK539">
        <v>0</v>
      </c>
      <c r="AL539">
        <v>264</v>
      </c>
      <c r="AM539">
        <v>864</v>
      </c>
      <c r="AN539" t="s">
        <v>102</v>
      </c>
      <c r="AO539" t="s">
        <v>97</v>
      </c>
      <c r="AP539" t="s">
        <v>104</v>
      </c>
      <c r="AQ539" t="s">
        <v>105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97</v>
      </c>
      <c r="BC539">
        <v>5</v>
      </c>
      <c r="BD539" t="s">
        <v>106</v>
      </c>
      <c r="BE539">
        <v>0</v>
      </c>
      <c r="BG539" t="s">
        <v>126</v>
      </c>
      <c r="BH539">
        <v>1980</v>
      </c>
      <c r="BI539" t="s">
        <v>101</v>
      </c>
      <c r="BJ539">
        <v>2</v>
      </c>
      <c r="BK539">
        <v>576</v>
      </c>
      <c r="BL539" t="s">
        <v>97</v>
      </c>
      <c r="BM539" t="s">
        <v>97</v>
      </c>
      <c r="BN539" t="s">
        <v>104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V539" t="s">
        <v>217</v>
      </c>
      <c r="BX539">
        <v>0</v>
      </c>
      <c r="BY539">
        <v>4</v>
      </c>
      <c r="BZ539">
        <v>2008</v>
      </c>
      <c r="CA539" t="s">
        <v>172</v>
      </c>
      <c r="CB539" t="s">
        <v>110</v>
      </c>
      <c r="CC539">
        <v>111250</v>
      </c>
    </row>
    <row r="540" spans="1:81" x14ac:dyDescent="0.3">
      <c r="A540">
        <v>539</v>
      </c>
      <c r="B540">
        <v>20</v>
      </c>
      <c r="C540" t="s">
        <v>81</v>
      </c>
      <c r="E540">
        <v>11553</v>
      </c>
      <c r="F540" t="s">
        <v>82</v>
      </c>
      <c r="H540" t="s">
        <v>119</v>
      </c>
      <c r="I540" t="s">
        <v>84</v>
      </c>
      <c r="J540" t="s">
        <v>85</v>
      </c>
      <c r="K540" t="s">
        <v>86</v>
      </c>
      <c r="L540" t="s">
        <v>87</v>
      </c>
      <c r="M540" t="s">
        <v>150</v>
      </c>
      <c r="N540" t="s">
        <v>89</v>
      </c>
      <c r="O540" t="s">
        <v>89</v>
      </c>
      <c r="P540" t="s">
        <v>90</v>
      </c>
      <c r="Q540" t="s">
        <v>114</v>
      </c>
      <c r="R540">
        <v>5</v>
      </c>
      <c r="S540">
        <v>5</v>
      </c>
      <c r="T540">
        <v>1968</v>
      </c>
      <c r="U540">
        <v>1968</v>
      </c>
      <c r="V540" t="s">
        <v>151</v>
      </c>
      <c r="W540" t="s">
        <v>93</v>
      </c>
      <c r="X540" t="s">
        <v>160</v>
      </c>
      <c r="Y540" t="s">
        <v>160</v>
      </c>
      <c r="Z540" t="s">
        <v>95</v>
      </c>
      <c r="AA540">
        <v>188</v>
      </c>
      <c r="AB540" t="s">
        <v>97</v>
      </c>
      <c r="AC540" t="s">
        <v>97</v>
      </c>
      <c r="AD540" t="s">
        <v>117</v>
      </c>
      <c r="AE540" t="s">
        <v>97</v>
      </c>
      <c r="AF540" t="s">
        <v>97</v>
      </c>
      <c r="AG540" t="s">
        <v>99</v>
      </c>
      <c r="AH540" t="s">
        <v>140</v>
      </c>
      <c r="AI540">
        <v>673</v>
      </c>
      <c r="AJ540" t="s">
        <v>101</v>
      </c>
      <c r="AK540">
        <v>0</v>
      </c>
      <c r="AL540">
        <v>378</v>
      </c>
      <c r="AM540">
        <v>1051</v>
      </c>
      <c r="AN540" t="s">
        <v>102</v>
      </c>
      <c r="AO540" t="s">
        <v>97</v>
      </c>
      <c r="AP540" t="s">
        <v>104</v>
      </c>
      <c r="AQ540" t="s">
        <v>105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97</v>
      </c>
      <c r="BC540">
        <v>7</v>
      </c>
      <c r="BD540" t="s">
        <v>106</v>
      </c>
      <c r="BE540">
        <v>1</v>
      </c>
      <c r="BF540" t="s">
        <v>146</v>
      </c>
      <c r="BG540" t="s">
        <v>107</v>
      </c>
      <c r="BH540">
        <v>1968</v>
      </c>
      <c r="BI540" t="s">
        <v>101</v>
      </c>
      <c r="BJ540">
        <v>1</v>
      </c>
      <c r="BK540">
        <v>336</v>
      </c>
      <c r="BL540" t="s">
        <v>97</v>
      </c>
      <c r="BM540" t="s">
        <v>97</v>
      </c>
      <c r="BN540" t="s">
        <v>104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X540">
        <v>0</v>
      </c>
      <c r="BY540">
        <v>7</v>
      </c>
      <c r="BZ540">
        <v>2006</v>
      </c>
      <c r="CA540" t="s">
        <v>109</v>
      </c>
      <c r="CB540" t="s">
        <v>110</v>
      </c>
      <c r="CC540">
        <v>158000</v>
      </c>
    </row>
    <row r="541" spans="1:81" x14ac:dyDescent="0.3">
      <c r="A541">
        <v>540</v>
      </c>
      <c r="B541">
        <v>20</v>
      </c>
      <c r="C541" t="s">
        <v>81</v>
      </c>
      <c r="E541">
        <v>11423</v>
      </c>
      <c r="F541" t="s">
        <v>82</v>
      </c>
      <c r="H541" t="s">
        <v>83</v>
      </c>
      <c r="I541" t="s">
        <v>84</v>
      </c>
      <c r="J541" t="s">
        <v>85</v>
      </c>
      <c r="K541" t="s">
        <v>86</v>
      </c>
      <c r="L541" t="s">
        <v>87</v>
      </c>
      <c r="M541" t="s">
        <v>88</v>
      </c>
      <c r="N541" t="s">
        <v>89</v>
      </c>
      <c r="O541" t="s">
        <v>89</v>
      </c>
      <c r="P541" t="s">
        <v>90</v>
      </c>
      <c r="Q541" t="s">
        <v>114</v>
      </c>
      <c r="R541">
        <v>8</v>
      </c>
      <c r="S541">
        <v>5</v>
      </c>
      <c r="T541">
        <v>2001</v>
      </c>
      <c r="U541">
        <v>2002</v>
      </c>
      <c r="V541" t="s">
        <v>92</v>
      </c>
      <c r="W541" t="s">
        <v>93</v>
      </c>
      <c r="X541" t="s">
        <v>94</v>
      </c>
      <c r="Y541" t="s">
        <v>94</v>
      </c>
      <c r="Z541" t="s">
        <v>95</v>
      </c>
      <c r="AA541">
        <v>479</v>
      </c>
      <c r="AB541" t="s">
        <v>96</v>
      </c>
      <c r="AC541" t="s">
        <v>97</v>
      </c>
      <c r="AD541" t="s">
        <v>98</v>
      </c>
      <c r="AE541" t="s">
        <v>96</v>
      </c>
      <c r="AF541" t="s">
        <v>97</v>
      </c>
      <c r="AG541" t="s">
        <v>129</v>
      </c>
      <c r="AH541" t="s">
        <v>100</v>
      </c>
      <c r="AI541">
        <v>1358</v>
      </c>
      <c r="AJ541" t="s">
        <v>101</v>
      </c>
      <c r="AK541">
        <v>0</v>
      </c>
      <c r="AL541">
        <v>223</v>
      </c>
      <c r="AM541">
        <v>1581</v>
      </c>
      <c r="AN541" t="s">
        <v>102</v>
      </c>
      <c r="AO541" t="s">
        <v>103</v>
      </c>
      <c r="AP541" t="s">
        <v>104</v>
      </c>
      <c r="AQ541" t="s">
        <v>105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96</v>
      </c>
      <c r="BC541">
        <v>6</v>
      </c>
      <c r="BD541" t="s">
        <v>106</v>
      </c>
      <c r="BE541">
        <v>1</v>
      </c>
      <c r="BF541" t="s">
        <v>97</v>
      </c>
      <c r="BG541" t="s">
        <v>107</v>
      </c>
      <c r="BH541">
        <v>2001</v>
      </c>
      <c r="BI541" t="s">
        <v>108</v>
      </c>
      <c r="BJ541">
        <v>2</v>
      </c>
      <c r="BK541">
        <v>670</v>
      </c>
      <c r="BL541" t="s">
        <v>97</v>
      </c>
      <c r="BM541" t="s">
        <v>97</v>
      </c>
      <c r="BN541" t="s">
        <v>104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V541" t="s">
        <v>133</v>
      </c>
      <c r="BW541" t="s">
        <v>134</v>
      </c>
      <c r="BX541">
        <v>2000</v>
      </c>
      <c r="BY541">
        <v>5</v>
      </c>
      <c r="BZ541">
        <v>2010</v>
      </c>
      <c r="CA541" t="s">
        <v>109</v>
      </c>
      <c r="CB541" t="s">
        <v>110</v>
      </c>
      <c r="CC541">
        <v>272000</v>
      </c>
    </row>
    <row r="542" spans="1:81" x14ac:dyDescent="0.3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H542" t="s">
        <v>83</v>
      </c>
      <c r="I542" t="s">
        <v>84</v>
      </c>
      <c r="J542" t="s">
        <v>85</v>
      </c>
      <c r="K542" t="s">
        <v>86</v>
      </c>
      <c r="L542" t="s">
        <v>87</v>
      </c>
      <c r="M542" t="s">
        <v>188</v>
      </c>
      <c r="N542" t="s">
        <v>89</v>
      </c>
      <c r="O542" t="s">
        <v>89</v>
      </c>
      <c r="P542" t="s">
        <v>90</v>
      </c>
      <c r="Q542" t="s">
        <v>114</v>
      </c>
      <c r="R542">
        <v>9</v>
      </c>
      <c r="S542">
        <v>5</v>
      </c>
      <c r="T542">
        <v>2006</v>
      </c>
      <c r="U542">
        <v>2006</v>
      </c>
      <c r="V542" t="s">
        <v>151</v>
      </c>
      <c r="W542" t="s">
        <v>93</v>
      </c>
      <c r="X542" t="s">
        <v>94</v>
      </c>
      <c r="Y542" t="s">
        <v>94</v>
      </c>
      <c r="Z542" t="s">
        <v>95</v>
      </c>
      <c r="AA542">
        <v>584</v>
      </c>
      <c r="AB542" t="s">
        <v>103</v>
      </c>
      <c r="AC542" t="s">
        <v>97</v>
      </c>
      <c r="AD542" t="s">
        <v>98</v>
      </c>
      <c r="AE542" t="s">
        <v>103</v>
      </c>
      <c r="AF542" t="s">
        <v>97</v>
      </c>
      <c r="AG542" t="s">
        <v>129</v>
      </c>
      <c r="AH542" t="s">
        <v>100</v>
      </c>
      <c r="AI542">
        <v>1260</v>
      </c>
      <c r="AJ542" t="s">
        <v>101</v>
      </c>
      <c r="AK542">
        <v>0</v>
      </c>
      <c r="AL542">
        <v>578</v>
      </c>
      <c r="AM542">
        <v>1838</v>
      </c>
      <c r="AN542" t="s">
        <v>102</v>
      </c>
      <c r="AO542" t="s">
        <v>103</v>
      </c>
      <c r="AP542" t="s">
        <v>104</v>
      </c>
      <c r="AQ542" t="s">
        <v>105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103</v>
      </c>
      <c r="BC542">
        <v>8</v>
      </c>
      <c r="BD542" t="s">
        <v>106</v>
      </c>
      <c r="BE542">
        <v>1</v>
      </c>
      <c r="BF542" t="s">
        <v>96</v>
      </c>
      <c r="BG542" t="s">
        <v>107</v>
      </c>
      <c r="BH542">
        <v>2006</v>
      </c>
      <c r="BI542" t="s">
        <v>156</v>
      </c>
      <c r="BJ542">
        <v>3</v>
      </c>
      <c r="BK542">
        <v>765</v>
      </c>
      <c r="BL542" t="s">
        <v>97</v>
      </c>
      <c r="BM542" t="s">
        <v>97</v>
      </c>
      <c r="BN542" t="s">
        <v>104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X542">
        <v>0</v>
      </c>
      <c r="BY542">
        <v>3</v>
      </c>
      <c r="BZ542">
        <v>2009</v>
      </c>
      <c r="CA542" t="s">
        <v>109</v>
      </c>
      <c r="CB542" t="s">
        <v>110</v>
      </c>
      <c r="CC542">
        <v>315000</v>
      </c>
    </row>
    <row r="543" spans="1:81" x14ac:dyDescent="0.3">
      <c r="A543">
        <v>542</v>
      </c>
      <c r="B543">
        <v>60</v>
      </c>
      <c r="C543" t="s">
        <v>81</v>
      </c>
      <c r="E543">
        <v>11000</v>
      </c>
      <c r="F543" t="s">
        <v>82</v>
      </c>
      <c r="H543" t="s">
        <v>83</v>
      </c>
      <c r="I543" t="s">
        <v>84</v>
      </c>
      <c r="J543" t="s">
        <v>85</v>
      </c>
      <c r="K543" t="s">
        <v>111</v>
      </c>
      <c r="L543" t="s">
        <v>87</v>
      </c>
      <c r="M543" t="s">
        <v>128</v>
      </c>
      <c r="N543" t="s">
        <v>89</v>
      </c>
      <c r="O543" t="s">
        <v>89</v>
      </c>
      <c r="P543" t="s">
        <v>90</v>
      </c>
      <c r="Q543" t="s">
        <v>91</v>
      </c>
      <c r="R543">
        <v>8</v>
      </c>
      <c r="S543">
        <v>5</v>
      </c>
      <c r="T543">
        <v>2000</v>
      </c>
      <c r="U543">
        <v>2000</v>
      </c>
      <c r="V543" t="s">
        <v>92</v>
      </c>
      <c r="W543" t="s">
        <v>93</v>
      </c>
      <c r="X543" t="s">
        <v>94</v>
      </c>
      <c r="Y543" t="s">
        <v>94</v>
      </c>
      <c r="Z543" t="s">
        <v>95</v>
      </c>
      <c r="AA543">
        <v>72</v>
      </c>
      <c r="AB543" t="s">
        <v>96</v>
      </c>
      <c r="AC543" t="s">
        <v>97</v>
      </c>
      <c r="AD543" t="s">
        <v>98</v>
      </c>
      <c r="AE543" t="s">
        <v>96</v>
      </c>
      <c r="AF543" t="s">
        <v>97</v>
      </c>
      <c r="AG543" t="s">
        <v>99</v>
      </c>
      <c r="AH543" t="s">
        <v>101</v>
      </c>
      <c r="AI543">
        <v>0</v>
      </c>
      <c r="AJ543" t="s">
        <v>101</v>
      </c>
      <c r="AK543">
        <v>0</v>
      </c>
      <c r="AL543">
        <v>969</v>
      </c>
      <c r="AM543">
        <v>969</v>
      </c>
      <c r="AN543" t="s">
        <v>102</v>
      </c>
      <c r="AO543" t="s">
        <v>103</v>
      </c>
      <c r="AP543" t="s">
        <v>104</v>
      </c>
      <c r="AQ543" t="s">
        <v>105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96</v>
      </c>
      <c r="BC543">
        <v>8</v>
      </c>
      <c r="BD543" t="s">
        <v>106</v>
      </c>
      <c r="BE543">
        <v>1</v>
      </c>
      <c r="BF543" t="s">
        <v>97</v>
      </c>
      <c r="BG543" t="s">
        <v>155</v>
      </c>
      <c r="BH543">
        <v>2000</v>
      </c>
      <c r="BI543" t="s">
        <v>156</v>
      </c>
      <c r="BJ543">
        <v>3</v>
      </c>
      <c r="BK543">
        <v>648</v>
      </c>
      <c r="BL543" t="s">
        <v>97</v>
      </c>
      <c r="BM543" t="s">
        <v>97</v>
      </c>
      <c r="BN543" t="s">
        <v>104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X543">
        <v>0</v>
      </c>
      <c r="BY543">
        <v>6</v>
      </c>
      <c r="BZ543">
        <v>2007</v>
      </c>
      <c r="CA543" t="s">
        <v>109</v>
      </c>
      <c r="CB543" t="s">
        <v>110</v>
      </c>
      <c r="CC543">
        <v>248000</v>
      </c>
    </row>
    <row r="544" spans="1:81" x14ac:dyDescent="0.3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H544" t="s">
        <v>83</v>
      </c>
      <c r="I544" t="s">
        <v>84</v>
      </c>
      <c r="J544" t="s">
        <v>85</v>
      </c>
      <c r="K544" t="s">
        <v>86</v>
      </c>
      <c r="L544" t="s">
        <v>87</v>
      </c>
      <c r="M544" t="s">
        <v>137</v>
      </c>
      <c r="N544" t="s">
        <v>201</v>
      </c>
      <c r="O544" t="s">
        <v>89</v>
      </c>
      <c r="P544" t="s">
        <v>90</v>
      </c>
      <c r="Q544" t="s">
        <v>114</v>
      </c>
      <c r="R544">
        <v>7</v>
      </c>
      <c r="S544">
        <v>5</v>
      </c>
      <c r="T544">
        <v>1998</v>
      </c>
      <c r="U544">
        <v>1999</v>
      </c>
      <c r="V544" t="s">
        <v>151</v>
      </c>
      <c r="W544" t="s">
        <v>93</v>
      </c>
      <c r="X544" t="s">
        <v>94</v>
      </c>
      <c r="Y544" t="s">
        <v>94</v>
      </c>
      <c r="Z544" t="s">
        <v>116</v>
      </c>
      <c r="AA544">
        <v>0</v>
      </c>
      <c r="AB544" t="s">
        <v>96</v>
      </c>
      <c r="AC544" t="s">
        <v>97</v>
      </c>
      <c r="AD544" t="s">
        <v>98</v>
      </c>
      <c r="AE544" t="s">
        <v>103</v>
      </c>
      <c r="AF544" t="s">
        <v>97</v>
      </c>
      <c r="AG544" t="s">
        <v>99</v>
      </c>
      <c r="AH544" t="s">
        <v>171</v>
      </c>
      <c r="AI544">
        <v>144</v>
      </c>
      <c r="AJ544" t="s">
        <v>100</v>
      </c>
      <c r="AK544">
        <v>1127</v>
      </c>
      <c r="AL544">
        <v>379</v>
      </c>
      <c r="AM544">
        <v>1650</v>
      </c>
      <c r="AN544" t="s">
        <v>102</v>
      </c>
      <c r="AO544" t="s">
        <v>103</v>
      </c>
      <c r="AP544" t="s">
        <v>104</v>
      </c>
      <c r="AQ544" t="s">
        <v>105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96</v>
      </c>
      <c r="BC544">
        <v>7</v>
      </c>
      <c r="BD544" t="s">
        <v>220</v>
      </c>
      <c r="BE544">
        <v>1</v>
      </c>
      <c r="BF544" t="s">
        <v>97</v>
      </c>
      <c r="BG544" t="s">
        <v>107</v>
      </c>
      <c r="BH544">
        <v>1998</v>
      </c>
      <c r="BI544" t="s">
        <v>156</v>
      </c>
      <c r="BJ544">
        <v>2</v>
      </c>
      <c r="BK544">
        <v>583</v>
      </c>
      <c r="BL544" t="s">
        <v>97</v>
      </c>
      <c r="BM544" t="s">
        <v>97</v>
      </c>
      <c r="BN544" t="s">
        <v>104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X544">
        <v>0</v>
      </c>
      <c r="BY544">
        <v>6</v>
      </c>
      <c r="BZ544">
        <v>2009</v>
      </c>
      <c r="CA544" t="s">
        <v>109</v>
      </c>
      <c r="CB544" t="s">
        <v>110</v>
      </c>
      <c r="CC544">
        <v>213250</v>
      </c>
    </row>
    <row r="545" spans="1:81" x14ac:dyDescent="0.3">
      <c r="A545">
        <v>544</v>
      </c>
      <c r="B545">
        <v>120</v>
      </c>
      <c r="C545" t="s">
        <v>238</v>
      </c>
      <c r="D545">
        <v>34</v>
      </c>
      <c r="E545">
        <v>4058</v>
      </c>
      <c r="F545" t="s">
        <v>82</v>
      </c>
      <c r="H545" t="s">
        <v>83</v>
      </c>
      <c r="I545" t="s">
        <v>84</v>
      </c>
      <c r="J545" t="s">
        <v>85</v>
      </c>
      <c r="K545" t="s">
        <v>86</v>
      </c>
      <c r="L545" t="s">
        <v>87</v>
      </c>
      <c r="M545" t="s">
        <v>270</v>
      </c>
      <c r="N545" t="s">
        <v>89</v>
      </c>
      <c r="O545" t="s">
        <v>89</v>
      </c>
      <c r="P545" t="s">
        <v>178</v>
      </c>
      <c r="Q545" t="s">
        <v>190</v>
      </c>
      <c r="R545">
        <v>7</v>
      </c>
      <c r="S545">
        <v>5</v>
      </c>
      <c r="T545">
        <v>1998</v>
      </c>
      <c r="U545">
        <v>1998</v>
      </c>
      <c r="V545" t="s">
        <v>92</v>
      </c>
      <c r="W545" t="s">
        <v>93</v>
      </c>
      <c r="X545" t="s">
        <v>115</v>
      </c>
      <c r="Y545" t="s">
        <v>115</v>
      </c>
      <c r="Z545" t="s">
        <v>95</v>
      </c>
      <c r="AA545">
        <v>182</v>
      </c>
      <c r="AB545" t="s">
        <v>97</v>
      </c>
      <c r="AC545" t="s">
        <v>97</v>
      </c>
      <c r="AD545" t="s">
        <v>98</v>
      </c>
      <c r="AE545" t="s">
        <v>96</v>
      </c>
      <c r="AF545" t="s">
        <v>97</v>
      </c>
      <c r="AG545" t="s">
        <v>129</v>
      </c>
      <c r="AH545" t="s">
        <v>100</v>
      </c>
      <c r="AI545">
        <v>584</v>
      </c>
      <c r="AJ545" t="s">
        <v>171</v>
      </c>
      <c r="AK545">
        <v>139</v>
      </c>
      <c r="AL545">
        <v>0</v>
      </c>
      <c r="AM545">
        <v>723</v>
      </c>
      <c r="AN545" t="s">
        <v>102</v>
      </c>
      <c r="AO545" t="s">
        <v>103</v>
      </c>
      <c r="AP545" t="s">
        <v>104</v>
      </c>
      <c r="AQ545" t="s">
        <v>105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97</v>
      </c>
      <c r="BC545">
        <v>4</v>
      </c>
      <c r="BD545" t="s">
        <v>106</v>
      </c>
      <c r="BE545">
        <v>0</v>
      </c>
      <c r="BG545" t="s">
        <v>107</v>
      </c>
      <c r="BH545">
        <v>1998</v>
      </c>
      <c r="BI545" t="s">
        <v>156</v>
      </c>
      <c r="BJ545">
        <v>1</v>
      </c>
      <c r="BK545">
        <v>367</v>
      </c>
      <c r="BL545" t="s">
        <v>97</v>
      </c>
      <c r="BM545" t="s">
        <v>97</v>
      </c>
      <c r="BN545" t="s">
        <v>104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X545">
        <v>0</v>
      </c>
      <c r="BY545">
        <v>6</v>
      </c>
      <c r="BZ545">
        <v>2007</v>
      </c>
      <c r="CA545" t="s">
        <v>109</v>
      </c>
      <c r="CB545" t="s">
        <v>110</v>
      </c>
      <c r="CC545">
        <v>133000</v>
      </c>
    </row>
    <row r="546" spans="1:81" x14ac:dyDescent="0.3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H546" t="s">
        <v>119</v>
      </c>
      <c r="I546" t="s">
        <v>84</v>
      </c>
      <c r="J546" t="s">
        <v>85</v>
      </c>
      <c r="K546" t="s">
        <v>86</v>
      </c>
      <c r="L546" t="s">
        <v>87</v>
      </c>
      <c r="M546" t="s">
        <v>192</v>
      </c>
      <c r="N546" t="s">
        <v>89</v>
      </c>
      <c r="O546" t="s">
        <v>89</v>
      </c>
      <c r="P546" t="s">
        <v>90</v>
      </c>
      <c r="Q546" t="s">
        <v>91</v>
      </c>
      <c r="R546">
        <v>7</v>
      </c>
      <c r="S546">
        <v>5</v>
      </c>
      <c r="T546">
        <v>2006</v>
      </c>
      <c r="U546">
        <v>2006</v>
      </c>
      <c r="V546" t="s">
        <v>92</v>
      </c>
      <c r="W546" t="s">
        <v>93</v>
      </c>
      <c r="X546" t="s">
        <v>94</v>
      </c>
      <c r="Y546" t="s">
        <v>94</v>
      </c>
      <c r="Z546" t="s">
        <v>116</v>
      </c>
      <c r="AA546">
        <v>0</v>
      </c>
      <c r="AB546" t="s">
        <v>96</v>
      </c>
      <c r="AC546" t="s">
        <v>97</v>
      </c>
      <c r="AD546" t="s">
        <v>98</v>
      </c>
      <c r="AE546" t="s">
        <v>96</v>
      </c>
      <c r="AF546" t="s">
        <v>96</v>
      </c>
      <c r="AG546" t="s">
        <v>129</v>
      </c>
      <c r="AH546" t="s">
        <v>100</v>
      </c>
      <c r="AI546">
        <v>554</v>
      </c>
      <c r="AJ546" t="s">
        <v>101</v>
      </c>
      <c r="AK546">
        <v>0</v>
      </c>
      <c r="AL546">
        <v>100</v>
      </c>
      <c r="AM546">
        <v>654</v>
      </c>
      <c r="AN546" t="s">
        <v>102</v>
      </c>
      <c r="AO546" t="s">
        <v>103</v>
      </c>
      <c r="AP546" t="s">
        <v>104</v>
      </c>
      <c r="AQ546" t="s">
        <v>105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96</v>
      </c>
      <c r="BC546">
        <v>7</v>
      </c>
      <c r="BD546" t="s">
        <v>106</v>
      </c>
      <c r="BE546">
        <v>1</v>
      </c>
      <c r="BF546" t="s">
        <v>96</v>
      </c>
      <c r="BG546" t="s">
        <v>107</v>
      </c>
      <c r="BH546">
        <v>2006</v>
      </c>
      <c r="BI546" t="s">
        <v>108</v>
      </c>
      <c r="BJ546">
        <v>2</v>
      </c>
      <c r="BK546">
        <v>426</v>
      </c>
      <c r="BL546" t="s">
        <v>97</v>
      </c>
      <c r="BM546" t="s">
        <v>97</v>
      </c>
      <c r="BN546" t="s">
        <v>104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X546">
        <v>0</v>
      </c>
      <c r="BY546">
        <v>9</v>
      </c>
      <c r="BZ546">
        <v>2006</v>
      </c>
      <c r="CA546" t="s">
        <v>157</v>
      </c>
      <c r="CB546" t="s">
        <v>158</v>
      </c>
      <c r="CC546">
        <v>179665</v>
      </c>
    </row>
    <row r="547" spans="1:81" x14ac:dyDescent="0.3">
      <c r="A547">
        <v>546</v>
      </c>
      <c r="B547">
        <v>50</v>
      </c>
      <c r="C547" t="s">
        <v>81</v>
      </c>
      <c r="E547">
        <v>13837</v>
      </c>
      <c r="F547" t="s">
        <v>82</v>
      </c>
      <c r="H547" t="s">
        <v>119</v>
      </c>
      <c r="I547" t="s">
        <v>84</v>
      </c>
      <c r="J547" t="s">
        <v>85</v>
      </c>
      <c r="K547" t="s">
        <v>121</v>
      </c>
      <c r="L547" t="s">
        <v>87</v>
      </c>
      <c r="M547" t="s">
        <v>137</v>
      </c>
      <c r="N547" t="s">
        <v>89</v>
      </c>
      <c r="O547" t="s">
        <v>89</v>
      </c>
      <c r="P547" t="s">
        <v>90</v>
      </c>
      <c r="Q547" t="s">
        <v>131</v>
      </c>
      <c r="R547">
        <v>7</v>
      </c>
      <c r="S547">
        <v>5</v>
      </c>
      <c r="T547">
        <v>1988</v>
      </c>
      <c r="U547">
        <v>1988</v>
      </c>
      <c r="V547" t="s">
        <v>92</v>
      </c>
      <c r="W547" t="s">
        <v>93</v>
      </c>
      <c r="X547" t="s">
        <v>139</v>
      </c>
      <c r="Y547" t="s">
        <v>139</v>
      </c>
      <c r="Z547" t="s">
        <v>95</v>
      </c>
      <c r="AA547">
        <v>178</v>
      </c>
      <c r="AB547" t="s">
        <v>96</v>
      </c>
      <c r="AC547" t="s">
        <v>96</v>
      </c>
      <c r="AD547" t="s">
        <v>98</v>
      </c>
      <c r="AE547" t="s">
        <v>96</v>
      </c>
      <c r="AF547" t="s">
        <v>96</v>
      </c>
      <c r="AG547" t="s">
        <v>99</v>
      </c>
      <c r="AH547" t="s">
        <v>100</v>
      </c>
      <c r="AI547">
        <v>1002</v>
      </c>
      <c r="AJ547" t="s">
        <v>171</v>
      </c>
      <c r="AK547">
        <v>202</v>
      </c>
      <c r="AL547">
        <v>0</v>
      </c>
      <c r="AM547">
        <v>1204</v>
      </c>
      <c r="AN547" t="s">
        <v>102</v>
      </c>
      <c r="AO547" t="s">
        <v>96</v>
      </c>
      <c r="AP547" t="s">
        <v>104</v>
      </c>
      <c r="AQ547" t="s">
        <v>105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96</v>
      </c>
      <c r="BC547">
        <v>9</v>
      </c>
      <c r="BD547" t="s">
        <v>106</v>
      </c>
      <c r="BE547">
        <v>0</v>
      </c>
      <c r="BG547" t="s">
        <v>107</v>
      </c>
      <c r="BH547">
        <v>1988</v>
      </c>
      <c r="BI547" t="s">
        <v>101</v>
      </c>
      <c r="BJ547">
        <v>3</v>
      </c>
      <c r="BK547">
        <v>786</v>
      </c>
      <c r="BL547" t="s">
        <v>97</v>
      </c>
      <c r="BM547" t="s">
        <v>97</v>
      </c>
      <c r="BN547" t="s">
        <v>104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X547">
        <v>0</v>
      </c>
      <c r="BY547">
        <v>2</v>
      </c>
      <c r="BZ547">
        <v>2006</v>
      </c>
      <c r="CA547" t="s">
        <v>109</v>
      </c>
      <c r="CB547" t="s">
        <v>110</v>
      </c>
      <c r="CC547">
        <v>229000</v>
      </c>
    </row>
    <row r="548" spans="1:81" x14ac:dyDescent="0.3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H548" t="s">
        <v>119</v>
      </c>
      <c r="I548" t="s">
        <v>174</v>
      </c>
      <c r="J548" t="s">
        <v>85</v>
      </c>
      <c r="K548" t="s">
        <v>86</v>
      </c>
      <c r="L548" t="s">
        <v>87</v>
      </c>
      <c r="M548" t="s">
        <v>147</v>
      </c>
      <c r="N548" t="s">
        <v>89</v>
      </c>
      <c r="O548" t="s">
        <v>89</v>
      </c>
      <c r="P548" t="s">
        <v>90</v>
      </c>
      <c r="Q548" t="s">
        <v>131</v>
      </c>
      <c r="R548">
        <v>6</v>
      </c>
      <c r="S548">
        <v>7</v>
      </c>
      <c r="T548">
        <v>1923</v>
      </c>
      <c r="U548">
        <v>1950</v>
      </c>
      <c r="V548" t="s">
        <v>92</v>
      </c>
      <c r="W548" t="s">
        <v>93</v>
      </c>
      <c r="X548" t="s">
        <v>95</v>
      </c>
      <c r="Y548" t="s">
        <v>123</v>
      </c>
      <c r="Z548" t="s">
        <v>116</v>
      </c>
      <c r="AA548">
        <v>0</v>
      </c>
      <c r="AB548" t="s">
        <v>97</v>
      </c>
      <c r="AC548" t="s">
        <v>97</v>
      </c>
      <c r="AD548" t="s">
        <v>125</v>
      </c>
      <c r="AE548" t="s">
        <v>96</v>
      </c>
      <c r="AF548" t="s">
        <v>97</v>
      </c>
      <c r="AG548" t="s">
        <v>99</v>
      </c>
      <c r="AH548" t="s">
        <v>152</v>
      </c>
      <c r="AI548">
        <v>300</v>
      </c>
      <c r="AJ548" t="s">
        <v>101</v>
      </c>
      <c r="AK548">
        <v>0</v>
      </c>
      <c r="AL548">
        <v>765</v>
      </c>
      <c r="AM548">
        <v>1065</v>
      </c>
      <c r="AN548" t="s">
        <v>102</v>
      </c>
      <c r="AO548" t="s">
        <v>103</v>
      </c>
      <c r="AP548" t="s">
        <v>104</v>
      </c>
      <c r="AQ548" t="s">
        <v>163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97</v>
      </c>
      <c r="BC548">
        <v>6</v>
      </c>
      <c r="BD548" t="s">
        <v>106</v>
      </c>
      <c r="BE548">
        <v>1</v>
      </c>
      <c r="BF548" t="s">
        <v>96</v>
      </c>
      <c r="BG548" t="s">
        <v>126</v>
      </c>
      <c r="BH548">
        <v>1950</v>
      </c>
      <c r="BI548" t="s">
        <v>101</v>
      </c>
      <c r="BJ548">
        <v>2</v>
      </c>
      <c r="BK548">
        <v>440</v>
      </c>
      <c r="BL548" t="s">
        <v>97</v>
      </c>
      <c r="BM548" t="s">
        <v>97</v>
      </c>
      <c r="BN548" t="s">
        <v>104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X548">
        <v>0</v>
      </c>
      <c r="BY548">
        <v>5</v>
      </c>
      <c r="BZ548">
        <v>2007</v>
      </c>
      <c r="CA548" t="s">
        <v>109</v>
      </c>
      <c r="CB548" t="s">
        <v>110</v>
      </c>
      <c r="CC548">
        <v>210000</v>
      </c>
    </row>
    <row r="549" spans="1:81" x14ac:dyDescent="0.3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H549" t="s">
        <v>83</v>
      </c>
      <c r="I549" t="s">
        <v>84</v>
      </c>
      <c r="J549" t="s">
        <v>85</v>
      </c>
      <c r="K549" t="s">
        <v>86</v>
      </c>
      <c r="L549" t="s">
        <v>87</v>
      </c>
      <c r="M549" t="s">
        <v>130</v>
      </c>
      <c r="N549" t="s">
        <v>89</v>
      </c>
      <c r="O549" t="s">
        <v>89</v>
      </c>
      <c r="P549" t="s">
        <v>90</v>
      </c>
      <c r="Q549" t="s">
        <v>190</v>
      </c>
      <c r="R549">
        <v>5</v>
      </c>
      <c r="S549">
        <v>7</v>
      </c>
      <c r="T549">
        <v>1970</v>
      </c>
      <c r="U549">
        <v>1970</v>
      </c>
      <c r="V549" t="s">
        <v>92</v>
      </c>
      <c r="W549" t="s">
        <v>93</v>
      </c>
      <c r="X549" t="s">
        <v>94</v>
      </c>
      <c r="Y549" t="s">
        <v>94</v>
      </c>
      <c r="Z549" t="s">
        <v>116</v>
      </c>
      <c r="AA549">
        <v>0</v>
      </c>
      <c r="AB549" t="s">
        <v>97</v>
      </c>
      <c r="AC549" t="s">
        <v>96</v>
      </c>
      <c r="AD549" t="s">
        <v>117</v>
      </c>
      <c r="AE549" t="s">
        <v>96</v>
      </c>
      <c r="AF549" t="s">
        <v>97</v>
      </c>
      <c r="AG549" t="s">
        <v>129</v>
      </c>
      <c r="AH549" t="s">
        <v>118</v>
      </c>
      <c r="AI549">
        <v>619</v>
      </c>
      <c r="AJ549" t="s">
        <v>101</v>
      </c>
      <c r="AK549">
        <v>0</v>
      </c>
      <c r="AL549">
        <v>149</v>
      </c>
      <c r="AM549">
        <v>768</v>
      </c>
      <c r="AN549" t="s">
        <v>102</v>
      </c>
      <c r="AO549" t="s">
        <v>103</v>
      </c>
      <c r="AP549" t="s">
        <v>104</v>
      </c>
      <c r="AQ549" t="s">
        <v>105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97</v>
      </c>
      <c r="BC549">
        <v>5</v>
      </c>
      <c r="BD549" t="s">
        <v>106</v>
      </c>
      <c r="BE549">
        <v>0</v>
      </c>
      <c r="BG549" t="s">
        <v>126</v>
      </c>
      <c r="BH549">
        <v>1987</v>
      </c>
      <c r="BI549" t="s">
        <v>101</v>
      </c>
      <c r="BJ549">
        <v>2</v>
      </c>
      <c r="BK549">
        <v>624</v>
      </c>
      <c r="BL549" t="s">
        <v>97</v>
      </c>
      <c r="BM549" t="s">
        <v>97</v>
      </c>
      <c r="BN549" t="s">
        <v>104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X549">
        <v>0</v>
      </c>
      <c r="BY549">
        <v>4</v>
      </c>
      <c r="BZ549">
        <v>2007</v>
      </c>
      <c r="CA549" t="s">
        <v>109</v>
      </c>
      <c r="CB549" t="s">
        <v>110</v>
      </c>
      <c r="CC549">
        <v>129500</v>
      </c>
    </row>
    <row r="550" spans="1:81" x14ac:dyDescent="0.3">
      <c r="A550">
        <v>549</v>
      </c>
      <c r="B550">
        <v>20</v>
      </c>
      <c r="C550" t="s">
        <v>141</v>
      </c>
      <c r="D550">
        <v>49</v>
      </c>
      <c r="E550">
        <v>8235</v>
      </c>
      <c r="F550" t="s">
        <v>82</v>
      </c>
      <c r="H550" t="s">
        <v>119</v>
      </c>
      <c r="I550" t="s">
        <v>198</v>
      </c>
      <c r="J550" t="s">
        <v>85</v>
      </c>
      <c r="K550" t="s">
        <v>86</v>
      </c>
      <c r="L550" t="s">
        <v>87</v>
      </c>
      <c r="M550" t="s">
        <v>142</v>
      </c>
      <c r="N550" t="s">
        <v>113</v>
      </c>
      <c r="O550" t="s">
        <v>181</v>
      </c>
      <c r="P550" t="s">
        <v>90</v>
      </c>
      <c r="Q550" t="s">
        <v>114</v>
      </c>
      <c r="R550">
        <v>5</v>
      </c>
      <c r="S550">
        <v>7</v>
      </c>
      <c r="T550">
        <v>1955</v>
      </c>
      <c r="U550">
        <v>1995</v>
      </c>
      <c r="V550" t="s">
        <v>92</v>
      </c>
      <c r="W550" t="s">
        <v>93</v>
      </c>
      <c r="X550" t="s">
        <v>115</v>
      </c>
      <c r="Y550" t="s">
        <v>115</v>
      </c>
      <c r="Z550" t="s">
        <v>116</v>
      </c>
      <c r="AA550">
        <v>0</v>
      </c>
      <c r="AB550" t="s">
        <v>97</v>
      </c>
      <c r="AC550" t="s">
        <v>96</v>
      </c>
      <c r="AD550" t="s">
        <v>117</v>
      </c>
      <c r="AE550" t="s">
        <v>97</v>
      </c>
      <c r="AF550" t="s">
        <v>97</v>
      </c>
      <c r="AG550" t="s">
        <v>99</v>
      </c>
      <c r="AH550" t="s">
        <v>171</v>
      </c>
      <c r="AI550">
        <v>180</v>
      </c>
      <c r="AJ550" t="s">
        <v>152</v>
      </c>
      <c r="AK550">
        <v>645</v>
      </c>
      <c r="AL550">
        <v>0</v>
      </c>
      <c r="AM550">
        <v>825</v>
      </c>
      <c r="AN550" t="s">
        <v>102</v>
      </c>
      <c r="AO550" t="s">
        <v>97</v>
      </c>
      <c r="AP550" t="s">
        <v>104</v>
      </c>
      <c r="AQ550" t="s">
        <v>105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97</v>
      </c>
      <c r="BC550">
        <v>4</v>
      </c>
      <c r="BD550" t="s">
        <v>106</v>
      </c>
      <c r="BE550">
        <v>0</v>
      </c>
      <c r="BG550" t="s">
        <v>126</v>
      </c>
      <c r="BH550">
        <v>1963</v>
      </c>
      <c r="BI550" t="s">
        <v>108</v>
      </c>
      <c r="BJ550">
        <v>2</v>
      </c>
      <c r="BK550">
        <v>720</v>
      </c>
      <c r="BL550" t="s">
        <v>97</v>
      </c>
      <c r="BM550" t="s">
        <v>97</v>
      </c>
      <c r="BN550" t="s">
        <v>104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V550" t="s">
        <v>133</v>
      </c>
      <c r="BX550">
        <v>0</v>
      </c>
      <c r="BY550">
        <v>6</v>
      </c>
      <c r="BZ550">
        <v>2008</v>
      </c>
      <c r="CA550" t="s">
        <v>109</v>
      </c>
      <c r="CB550" t="s">
        <v>110</v>
      </c>
      <c r="CC550">
        <v>125000</v>
      </c>
    </row>
    <row r="551" spans="1:81" x14ac:dyDescent="0.3">
      <c r="A551">
        <v>550</v>
      </c>
      <c r="B551">
        <v>60</v>
      </c>
      <c r="C551" t="s">
        <v>191</v>
      </c>
      <c r="D551">
        <v>75</v>
      </c>
      <c r="E551">
        <v>9375</v>
      </c>
      <c r="F551" t="s">
        <v>82</v>
      </c>
      <c r="H551" t="s">
        <v>83</v>
      </c>
      <c r="I551" t="s">
        <v>84</v>
      </c>
      <c r="J551" t="s">
        <v>85</v>
      </c>
      <c r="K551" t="s">
        <v>86</v>
      </c>
      <c r="L551" t="s">
        <v>87</v>
      </c>
      <c r="M551" t="s">
        <v>135</v>
      </c>
      <c r="N551" t="s">
        <v>89</v>
      </c>
      <c r="O551" t="s">
        <v>89</v>
      </c>
      <c r="P551" t="s">
        <v>90</v>
      </c>
      <c r="Q551" t="s">
        <v>91</v>
      </c>
      <c r="R551">
        <v>7</v>
      </c>
      <c r="S551">
        <v>5</v>
      </c>
      <c r="T551">
        <v>2003</v>
      </c>
      <c r="U551">
        <v>2004</v>
      </c>
      <c r="V551" t="s">
        <v>92</v>
      </c>
      <c r="W551" t="s">
        <v>93</v>
      </c>
      <c r="X551" t="s">
        <v>94</v>
      </c>
      <c r="Y551" t="s">
        <v>94</v>
      </c>
      <c r="Z551" t="s">
        <v>116</v>
      </c>
      <c r="AA551">
        <v>0</v>
      </c>
      <c r="AB551" t="s">
        <v>96</v>
      </c>
      <c r="AC551" t="s">
        <v>97</v>
      </c>
      <c r="AD551" t="s">
        <v>98</v>
      </c>
      <c r="AE551" t="s">
        <v>96</v>
      </c>
      <c r="AF551" t="s">
        <v>97</v>
      </c>
      <c r="AG551" t="s">
        <v>99</v>
      </c>
      <c r="AH551" t="s">
        <v>101</v>
      </c>
      <c r="AI551">
        <v>0</v>
      </c>
      <c r="AJ551" t="s">
        <v>101</v>
      </c>
      <c r="AK551">
        <v>0</v>
      </c>
      <c r="AL551">
        <v>912</v>
      </c>
      <c r="AM551">
        <v>912</v>
      </c>
      <c r="AN551" t="s">
        <v>102</v>
      </c>
      <c r="AO551" t="s">
        <v>103</v>
      </c>
      <c r="AP551" t="s">
        <v>104</v>
      </c>
      <c r="AQ551" t="s">
        <v>105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96</v>
      </c>
      <c r="BC551">
        <v>8</v>
      </c>
      <c r="BD551" t="s">
        <v>106</v>
      </c>
      <c r="BE551">
        <v>1</v>
      </c>
      <c r="BF551" t="s">
        <v>96</v>
      </c>
      <c r="BG551" t="s">
        <v>155</v>
      </c>
      <c r="BH551">
        <v>2003</v>
      </c>
      <c r="BI551" t="s">
        <v>156</v>
      </c>
      <c r="BJ551">
        <v>2</v>
      </c>
      <c r="BK551">
        <v>615</v>
      </c>
      <c r="BL551" t="s">
        <v>97</v>
      </c>
      <c r="BM551" t="s">
        <v>97</v>
      </c>
      <c r="BN551" t="s">
        <v>104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X551">
        <v>0</v>
      </c>
      <c r="BY551">
        <v>11</v>
      </c>
      <c r="BZ551">
        <v>2009</v>
      </c>
      <c r="CA551" t="s">
        <v>109</v>
      </c>
      <c r="CB551" t="s">
        <v>110</v>
      </c>
      <c r="CC551">
        <v>263000</v>
      </c>
    </row>
    <row r="552" spans="1:81" x14ac:dyDescent="0.3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H552" t="s">
        <v>83</v>
      </c>
      <c r="I552" t="s">
        <v>84</v>
      </c>
      <c r="J552" t="s">
        <v>85</v>
      </c>
      <c r="K552" t="s">
        <v>86</v>
      </c>
      <c r="L552" t="s">
        <v>87</v>
      </c>
      <c r="M552" t="s">
        <v>215</v>
      </c>
      <c r="N552" t="s">
        <v>89</v>
      </c>
      <c r="O552" t="s">
        <v>89</v>
      </c>
      <c r="P552" t="s">
        <v>178</v>
      </c>
      <c r="Q552" t="s">
        <v>114</v>
      </c>
      <c r="R552">
        <v>6</v>
      </c>
      <c r="S552">
        <v>6</v>
      </c>
      <c r="T552">
        <v>1977</v>
      </c>
      <c r="U552">
        <v>1977</v>
      </c>
      <c r="V552" t="s">
        <v>92</v>
      </c>
      <c r="W552" t="s">
        <v>93</v>
      </c>
      <c r="X552" t="s">
        <v>160</v>
      </c>
      <c r="Y552" t="s">
        <v>160</v>
      </c>
      <c r="Z552" t="s">
        <v>116</v>
      </c>
      <c r="AA552">
        <v>0</v>
      </c>
      <c r="AB552" t="s">
        <v>97</v>
      </c>
      <c r="AC552" t="s">
        <v>97</v>
      </c>
      <c r="AD552" t="s">
        <v>117</v>
      </c>
      <c r="AE552" t="s">
        <v>96</v>
      </c>
      <c r="AF552" t="s">
        <v>97</v>
      </c>
      <c r="AG552" t="s">
        <v>99</v>
      </c>
      <c r="AH552" t="s">
        <v>118</v>
      </c>
      <c r="AI552">
        <v>559</v>
      </c>
      <c r="AJ552" t="s">
        <v>101</v>
      </c>
      <c r="AK552">
        <v>0</v>
      </c>
      <c r="AL552">
        <v>510</v>
      </c>
      <c r="AM552">
        <v>1069</v>
      </c>
      <c r="AN552" t="s">
        <v>102</v>
      </c>
      <c r="AO552" t="s">
        <v>97</v>
      </c>
      <c r="AP552" t="s">
        <v>104</v>
      </c>
      <c r="AQ552" t="s">
        <v>105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97</v>
      </c>
      <c r="BC552">
        <v>4</v>
      </c>
      <c r="BD552" t="s">
        <v>106</v>
      </c>
      <c r="BE552">
        <v>0</v>
      </c>
      <c r="BG552" t="s">
        <v>107</v>
      </c>
      <c r="BH552">
        <v>1977</v>
      </c>
      <c r="BI552" t="s">
        <v>108</v>
      </c>
      <c r="BJ552">
        <v>2</v>
      </c>
      <c r="BK552">
        <v>440</v>
      </c>
      <c r="BL552" t="s">
        <v>97</v>
      </c>
      <c r="BM552" t="s">
        <v>97</v>
      </c>
      <c r="BN552" t="s">
        <v>104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X552">
        <v>0</v>
      </c>
      <c r="BY552">
        <v>10</v>
      </c>
      <c r="BZ552">
        <v>2008</v>
      </c>
      <c r="CA552" t="s">
        <v>172</v>
      </c>
      <c r="CB552" t="s">
        <v>127</v>
      </c>
      <c r="CC552">
        <v>140000</v>
      </c>
    </row>
    <row r="553" spans="1:81" x14ac:dyDescent="0.3">
      <c r="A553">
        <v>552</v>
      </c>
      <c r="B553">
        <v>20</v>
      </c>
      <c r="C553" t="s">
        <v>141</v>
      </c>
      <c r="D553">
        <v>50</v>
      </c>
      <c r="E553">
        <v>6000</v>
      </c>
      <c r="F553" t="s">
        <v>82</v>
      </c>
      <c r="H553" t="s">
        <v>83</v>
      </c>
      <c r="I553" t="s">
        <v>84</v>
      </c>
      <c r="J553" t="s">
        <v>85</v>
      </c>
      <c r="K553" t="s">
        <v>86</v>
      </c>
      <c r="L553" t="s">
        <v>87</v>
      </c>
      <c r="M553" t="s">
        <v>142</v>
      </c>
      <c r="N553" t="s">
        <v>89</v>
      </c>
      <c r="O553" t="s">
        <v>89</v>
      </c>
      <c r="P553" t="s">
        <v>90</v>
      </c>
      <c r="Q553" t="s">
        <v>114</v>
      </c>
      <c r="R553">
        <v>5</v>
      </c>
      <c r="S553">
        <v>6</v>
      </c>
      <c r="T553">
        <v>1957</v>
      </c>
      <c r="U553">
        <v>1957</v>
      </c>
      <c r="V553" t="s">
        <v>151</v>
      </c>
      <c r="W553" t="s">
        <v>93</v>
      </c>
      <c r="X553" t="s">
        <v>95</v>
      </c>
      <c r="Y553" t="s">
        <v>95</v>
      </c>
      <c r="Z553" t="s">
        <v>116</v>
      </c>
      <c r="AA553">
        <v>0</v>
      </c>
      <c r="AB553" t="s">
        <v>97</v>
      </c>
      <c r="AC553" t="s">
        <v>97</v>
      </c>
      <c r="AD553" t="s">
        <v>117</v>
      </c>
      <c r="AE553" t="s">
        <v>97</v>
      </c>
      <c r="AF553" t="s">
        <v>97</v>
      </c>
      <c r="AG553" t="s">
        <v>99</v>
      </c>
      <c r="AH553" t="s">
        <v>152</v>
      </c>
      <c r="AI553">
        <v>308</v>
      </c>
      <c r="AJ553" t="s">
        <v>101</v>
      </c>
      <c r="AK553">
        <v>0</v>
      </c>
      <c r="AL553">
        <v>620</v>
      </c>
      <c r="AM553">
        <v>928</v>
      </c>
      <c r="AN553" t="s">
        <v>102</v>
      </c>
      <c r="AO553" t="s">
        <v>96</v>
      </c>
      <c r="AP553" t="s">
        <v>104</v>
      </c>
      <c r="AQ553" t="s">
        <v>163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97</v>
      </c>
      <c r="BC553">
        <v>5</v>
      </c>
      <c r="BD553" t="s">
        <v>106</v>
      </c>
      <c r="BE553">
        <v>0</v>
      </c>
      <c r="BG553" t="s">
        <v>107</v>
      </c>
      <c r="BH553">
        <v>1957</v>
      </c>
      <c r="BI553" t="s">
        <v>156</v>
      </c>
      <c r="BJ553">
        <v>1</v>
      </c>
      <c r="BK553">
        <v>288</v>
      </c>
      <c r="BL553" t="s">
        <v>97</v>
      </c>
      <c r="BM553" t="s">
        <v>97</v>
      </c>
      <c r="BN553" t="s">
        <v>104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X553">
        <v>0</v>
      </c>
      <c r="BY553">
        <v>6</v>
      </c>
      <c r="BZ553">
        <v>2008</v>
      </c>
      <c r="CA553" t="s">
        <v>109</v>
      </c>
      <c r="CB553" t="s">
        <v>110</v>
      </c>
      <c r="CC553">
        <v>112500</v>
      </c>
    </row>
    <row r="554" spans="1:81" x14ac:dyDescent="0.3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H554" t="s">
        <v>119</v>
      </c>
      <c r="I554" t="s">
        <v>84</v>
      </c>
      <c r="J554" t="s">
        <v>85</v>
      </c>
      <c r="K554" t="s">
        <v>86</v>
      </c>
      <c r="L554" t="s">
        <v>87</v>
      </c>
      <c r="M554" t="s">
        <v>153</v>
      </c>
      <c r="N554" t="s">
        <v>89</v>
      </c>
      <c r="O554" t="s">
        <v>89</v>
      </c>
      <c r="P554" t="s">
        <v>90</v>
      </c>
      <c r="Q554" t="s">
        <v>114</v>
      </c>
      <c r="R554">
        <v>8</v>
      </c>
      <c r="S554">
        <v>5</v>
      </c>
      <c r="T554">
        <v>2006</v>
      </c>
      <c r="U554">
        <v>2006</v>
      </c>
      <c r="V554" t="s">
        <v>92</v>
      </c>
      <c r="W554" t="s">
        <v>93</v>
      </c>
      <c r="X554" t="s">
        <v>94</v>
      </c>
      <c r="Y554" t="s">
        <v>94</v>
      </c>
      <c r="Z554" t="s">
        <v>136</v>
      </c>
      <c r="AA554">
        <v>250</v>
      </c>
      <c r="AB554" t="s">
        <v>96</v>
      </c>
      <c r="AC554" t="s">
        <v>97</v>
      </c>
      <c r="AD554" t="s">
        <v>98</v>
      </c>
      <c r="AE554" t="s">
        <v>103</v>
      </c>
      <c r="AF554" t="s">
        <v>97</v>
      </c>
      <c r="AG554" t="s">
        <v>129</v>
      </c>
      <c r="AH554" t="s">
        <v>101</v>
      </c>
      <c r="AI554">
        <v>0</v>
      </c>
      <c r="AJ554" t="s">
        <v>101</v>
      </c>
      <c r="AK554">
        <v>0</v>
      </c>
      <c r="AL554">
        <v>1709</v>
      </c>
      <c r="AM554">
        <v>1709</v>
      </c>
      <c r="AN554" t="s">
        <v>102</v>
      </c>
      <c r="AO554" t="s">
        <v>103</v>
      </c>
      <c r="AP554" t="s">
        <v>104</v>
      </c>
      <c r="AQ554" t="s">
        <v>105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96</v>
      </c>
      <c r="BC554">
        <v>7</v>
      </c>
      <c r="BD554" t="s">
        <v>106</v>
      </c>
      <c r="BE554">
        <v>1</v>
      </c>
      <c r="BF554" t="s">
        <v>96</v>
      </c>
      <c r="BG554" t="s">
        <v>107</v>
      </c>
      <c r="BH554">
        <v>2006</v>
      </c>
      <c r="BI554" t="s">
        <v>108</v>
      </c>
      <c r="BJ554">
        <v>3</v>
      </c>
      <c r="BK554">
        <v>908</v>
      </c>
      <c r="BL554" t="s">
        <v>97</v>
      </c>
      <c r="BM554" t="s">
        <v>97</v>
      </c>
      <c r="BN554" t="s">
        <v>104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X554">
        <v>0</v>
      </c>
      <c r="BY554">
        <v>7</v>
      </c>
      <c r="BZ554">
        <v>2009</v>
      </c>
      <c r="CA554" t="s">
        <v>109</v>
      </c>
      <c r="CB554" t="s">
        <v>110</v>
      </c>
      <c r="CC554">
        <v>255500</v>
      </c>
    </row>
    <row r="555" spans="1:81" x14ac:dyDescent="0.3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H555" t="s">
        <v>83</v>
      </c>
      <c r="I555" t="s">
        <v>84</v>
      </c>
      <c r="J555" t="s">
        <v>85</v>
      </c>
      <c r="K555" t="s">
        <v>86</v>
      </c>
      <c r="L555" t="s">
        <v>87</v>
      </c>
      <c r="M555" t="s">
        <v>184</v>
      </c>
      <c r="N555" t="s">
        <v>113</v>
      </c>
      <c r="O555" t="s">
        <v>89</v>
      </c>
      <c r="P555" t="s">
        <v>90</v>
      </c>
      <c r="Q555" t="s">
        <v>114</v>
      </c>
      <c r="R555">
        <v>4</v>
      </c>
      <c r="S555">
        <v>5</v>
      </c>
      <c r="T555">
        <v>1949</v>
      </c>
      <c r="U555">
        <v>2003</v>
      </c>
      <c r="V555" t="s">
        <v>92</v>
      </c>
      <c r="W555" t="s">
        <v>93</v>
      </c>
      <c r="X555" t="s">
        <v>94</v>
      </c>
      <c r="Y555" t="s">
        <v>94</v>
      </c>
      <c r="Z555" t="s">
        <v>116</v>
      </c>
      <c r="AA555">
        <v>0</v>
      </c>
      <c r="AB555" t="s">
        <v>97</v>
      </c>
      <c r="AC555" t="s">
        <v>97</v>
      </c>
      <c r="AD555" t="s">
        <v>117</v>
      </c>
      <c r="AI555">
        <v>0</v>
      </c>
      <c r="AK555">
        <v>0</v>
      </c>
      <c r="AL555">
        <v>0</v>
      </c>
      <c r="AM555">
        <v>0</v>
      </c>
      <c r="AN555" t="s">
        <v>102</v>
      </c>
      <c r="AO555" t="s">
        <v>103</v>
      </c>
      <c r="AP555" t="s">
        <v>104</v>
      </c>
      <c r="AQ555" t="s">
        <v>105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96</v>
      </c>
      <c r="BC555">
        <v>5</v>
      </c>
      <c r="BD555" t="s">
        <v>106</v>
      </c>
      <c r="BE555">
        <v>0</v>
      </c>
      <c r="BG555" t="s">
        <v>126</v>
      </c>
      <c r="BH555">
        <v>2002</v>
      </c>
      <c r="BI555" t="s">
        <v>156</v>
      </c>
      <c r="BJ555">
        <v>2</v>
      </c>
      <c r="BK555">
        <v>520</v>
      </c>
      <c r="BL555" t="s">
        <v>97</v>
      </c>
      <c r="BM555" t="s">
        <v>97</v>
      </c>
      <c r="BN555" t="s">
        <v>176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V555" t="s">
        <v>133</v>
      </c>
      <c r="BX555">
        <v>0</v>
      </c>
      <c r="BY555">
        <v>5</v>
      </c>
      <c r="BZ555">
        <v>2009</v>
      </c>
      <c r="CA555" t="s">
        <v>109</v>
      </c>
      <c r="CB555" t="s">
        <v>110</v>
      </c>
      <c r="CC555">
        <v>108000</v>
      </c>
    </row>
    <row r="556" spans="1:81" x14ac:dyDescent="0.3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H556" t="s">
        <v>83</v>
      </c>
      <c r="I556" t="s">
        <v>84</v>
      </c>
      <c r="J556" t="s">
        <v>85</v>
      </c>
      <c r="K556" t="s">
        <v>86</v>
      </c>
      <c r="L556" t="s">
        <v>87</v>
      </c>
      <c r="M556" t="s">
        <v>153</v>
      </c>
      <c r="N556" t="s">
        <v>89</v>
      </c>
      <c r="O556" t="s">
        <v>89</v>
      </c>
      <c r="P556" t="s">
        <v>90</v>
      </c>
      <c r="Q556" t="s">
        <v>91</v>
      </c>
      <c r="R556">
        <v>7</v>
      </c>
      <c r="S556">
        <v>5</v>
      </c>
      <c r="T556">
        <v>2003</v>
      </c>
      <c r="U556">
        <v>2004</v>
      </c>
      <c r="V556" t="s">
        <v>92</v>
      </c>
      <c r="W556" t="s">
        <v>93</v>
      </c>
      <c r="X556" t="s">
        <v>94</v>
      </c>
      <c r="Y556" t="s">
        <v>94</v>
      </c>
      <c r="Z556" t="s">
        <v>95</v>
      </c>
      <c r="AA556">
        <v>292</v>
      </c>
      <c r="AB556" t="s">
        <v>96</v>
      </c>
      <c r="AC556" t="s">
        <v>97</v>
      </c>
      <c r="AD556" t="s">
        <v>98</v>
      </c>
      <c r="AE556" t="s">
        <v>96</v>
      </c>
      <c r="AF556" t="s">
        <v>97</v>
      </c>
      <c r="AG556" t="s">
        <v>99</v>
      </c>
      <c r="AH556" t="s">
        <v>100</v>
      </c>
      <c r="AI556">
        <v>866</v>
      </c>
      <c r="AJ556" t="s">
        <v>101</v>
      </c>
      <c r="AK556">
        <v>0</v>
      </c>
      <c r="AL556">
        <v>132</v>
      </c>
      <c r="AM556">
        <v>998</v>
      </c>
      <c r="AN556" t="s">
        <v>102</v>
      </c>
      <c r="AO556" t="s">
        <v>103</v>
      </c>
      <c r="AP556" t="s">
        <v>104</v>
      </c>
      <c r="AQ556" t="s">
        <v>105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96</v>
      </c>
      <c r="BC556">
        <v>8</v>
      </c>
      <c r="BD556" t="s">
        <v>106</v>
      </c>
      <c r="BE556">
        <v>1</v>
      </c>
      <c r="BF556" t="s">
        <v>96</v>
      </c>
      <c r="BG556" t="s">
        <v>155</v>
      </c>
      <c r="BH556">
        <v>2003</v>
      </c>
      <c r="BI556" t="s">
        <v>108</v>
      </c>
      <c r="BJ556">
        <v>3</v>
      </c>
      <c r="BK556">
        <v>871</v>
      </c>
      <c r="BL556" t="s">
        <v>97</v>
      </c>
      <c r="BM556" t="s">
        <v>97</v>
      </c>
      <c r="BN556" t="s">
        <v>104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X556">
        <v>0</v>
      </c>
      <c r="BY556">
        <v>8</v>
      </c>
      <c r="BZ556">
        <v>2008</v>
      </c>
      <c r="CA556" t="s">
        <v>109</v>
      </c>
      <c r="CB556" t="s">
        <v>110</v>
      </c>
      <c r="CC556">
        <v>284000</v>
      </c>
    </row>
    <row r="557" spans="1:81" x14ac:dyDescent="0.3">
      <c r="A557">
        <v>556</v>
      </c>
      <c r="B557">
        <v>45</v>
      </c>
      <c r="C557" t="s">
        <v>141</v>
      </c>
      <c r="D557">
        <v>58</v>
      </c>
      <c r="E557">
        <v>6380</v>
      </c>
      <c r="F557" t="s">
        <v>82</v>
      </c>
      <c r="H557" t="s">
        <v>83</v>
      </c>
      <c r="I557" t="s">
        <v>84</v>
      </c>
      <c r="J557" t="s">
        <v>85</v>
      </c>
      <c r="K557" t="s">
        <v>86</v>
      </c>
      <c r="L557" t="s">
        <v>87</v>
      </c>
      <c r="M557" t="s">
        <v>147</v>
      </c>
      <c r="N557" t="s">
        <v>89</v>
      </c>
      <c r="O557" t="s">
        <v>89</v>
      </c>
      <c r="P557" t="s">
        <v>90</v>
      </c>
      <c r="Q557" t="s">
        <v>149</v>
      </c>
      <c r="R557">
        <v>5</v>
      </c>
      <c r="S557">
        <v>6</v>
      </c>
      <c r="T557">
        <v>1922</v>
      </c>
      <c r="U557">
        <v>1950</v>
      </c>
      <c r="V557" t="s">
        <v>92</v>
      </c>
      <c r="W557" t="s">
        <v>93</v>
      </c>
      <c r="X557" t="s">
        <v>115</v>
      </c>
      <c r="Y557" t="s">
        <v>115</v>
      </c>
      <c r="Z557" t="s">
        <v>116</v>
      </c>
      <c r="AA557">
        <v>0</v>
      </c>
      <c r="AB557" t="s">
        <v>97</v>
      </c>
      <c r="AC557" t="s">
        <v>97</v>
      </c>
      <c r="AD557" t="s">
        <v>125</v>
      </c>
      <c r="AE557" t="s">
        <v>97</v>
      </c>
      <c r="AF557" t="s">
        <v>146</v>
      </c>
      <c r="AG557" t="s">
        <v>99</v>
      </c>
      <c r="AH557" t="s">
        <v>101</v>
      </c>
      <c r="AI557">
        <v>0</v>
      </c>
      <c r="AJ557" t="s">
        <v>101</v>
      </c>
      <c r="AK557">
        <v>0</v>
      </c>
      <c r="AL557">
        <v>993</v>
      </c>
      <c r="AM557">
        <v>993</v>
      </c>
      <c r="AN557" t="s">
        <v>102</v>
      </c>
      <c r="AO557" t="s">
        <v>97</v>
      </c>
      <c r="AP557" t="s">
        <v>104</v>
      </c>
      <c r="AQ557" t="s">
        <v>163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97</v>
      </c>
      <c r="BC557">
        <v>5</v>
      </c>
      <c r="BD557" t="s">
        <v>106</v>
      </c>
      <c r="BE557">
        <v>1</v>
      </c>
      <c r="BF557" t="s">
        <v>96</v>
      </c>
      <c r="BG557" t="s">
        <v>126</v>
      </c>
      <c r="BH557">
        <v>1922</v>
      </c>
      <c r="BI557" t="s">
        <v>101</v>
      </c>
      <c r="BJ557">
        <v>1</v>
      </c>
      <c r="BK557">
        <v>280</v>
      </c>
      <c r="BL557" t="s">
        <v>97</v>
      </c>
      <c r="BM557" t="s">
        <v>97</v>
      </c>
      <c r="BN557" t="s">
        <v>104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X557">
        <v>0</v>
      </c>
      <c r="BY557">
        <v>8</v>
      </c>
      <c r="BZ557">
        <v>2006</v>
      </c>
      <c r="CA557" t="s">
        <v>109</v>
      </c>
      <c r="CB557" t="s">
        <v>110</v>
      </c>
      <c r="CC557">
        <v>113000</v>
      </c>
    </row>
    <row r="558" spans="1:81" x14ac:dyDescent="0.3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H558" t="s">
        <v>119</v>
      </c>
      <c r="I558" t="s">
        <v>84</v>
      </c>
      <c r="J558" t="s">
        <v>85</v>
      </c>
      <c r="K558" t="s">
        <v>86</v>
      </c>
      <c r="L558" t="s">
        <v>87</v>
      </c>
      <c r="M558" t="s">
        <v>270</v>
      </c>
      <c r="N558" t="s">
        <v>89</v>
      </c>
      <c r="O558" t="s">
        <v>89</v>
      </c>
      <c r="P558" t="s">
        <v>90</v>
      </c>
      <c r="Q558" t="s">
        <v>114</v>
      </c>
      <c r="R558">
        <v>5</v>
      </c>
      <c r="S558">
        <v>5</v>
      </c>
      <c r="T558">
        <v>1957</v>
      </c>
      <c r="U558">
        <v>1957</v>
      </c>
      <c r="V558" t="s">
        <v>92</v>
      </c>
      <c r="W558" t="s">
        <v>93</v>
      </c>
      <c r="X558" t="s">
        <v>123</v>
      </c>
      <c r="Y558" t="s">
        <v>123</v>
      </c>
      <c r="Z558" t="s">
        <v>116</v>
      </c>
      <c r="AA558">
        <v>0</v>
      </c>
      <c r="AB558" t="s">
        <v>97</v>
      </c>
      <c r="AC558" t="s">
        <v>97</v>
      </c>
      <c r="AD558" t="s">
        <v>117</v>
      </c>
      <c r="AE558" t="s">
        <v>97</v>
      </c>
      <c r="AF558" t="s">
        <v>97</v>
      </c>
      <c r="AG558" t="s">
        <v>99</v>
      </c>
      <c r="AH558" t="s">
        <v>152</v>
      </c>
      <c r="AI558">
        <v>895</v>
      </c>
      <c r="AJ558" t="s">
        <v>101</v>
      </c>
      <c r="AK558">
        <v>0</v>
      </c>
      <c r="AL558">
        <v>197</v>
      </c>
      <c r="AM558">
        <v>1092</v>
      </c>
      <c r="AN558" t="s">
        <v>102</v>
      </c>
      <c r="AO558" t="s">
        <v>97</v>
      </c>
      <c r="AP558" t="s">
        <v>104</v>
      </c>
      <c r="AQ558" t="s">
        <v>163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97</v>
      </c>
      <c r="BC558">
        <v>6</v>
      </c>
      <c r="BD558" t="s">
        <v>106</v>
      </c>
      <c r="BE558">
        <v>1</v>
      </c>
      <c r="BF558" t="s">
        <v>97</v>
      </c>
      <c r="BG558" t="s">
        <v>107</v>
      </c>
      <c r="BH558">
        <v>1957</v>
      </c>
      <c r="BI558" t="s">
        <v>156</v>
      </c>
      <c r="BJ558">
        <v>1</v>
      </c>
      <c r="BK558">
        <v>299</v>
      </c>
      <c r="BL558" t="s">
        <v>97</v>
      </c>
      <c r="BM558" t="s">
        <v>97</v>
      </c>
      <c r="BN558" t="s">
        <v>104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V558" t="s">
        <v>217</v>
      </c>
      <c r="BX558">
        <v>0</v>
      </c>
      <c r="BY558">
        <v>5</v>
      </c>
      <c r="BZ558">
        <v>2006</v>
      </c>
      <c r="CA558" t="s">
        <v>109</v>
      </c>
      <c r="CB558" t="s">
        <v>110</v>
      </c>
      <c r="CC558">
        <v>141000</v>
      </c>
    </row>
    <row r="559" spans="1:81" x14ac:dyDescent="0.3">
      <c r="A559">
        <v>558</v>
      </c>
      <c r="B559">
        <v>50</v>
      </c>
      <c r="C559" t="s">
        <v>182</v>
      </c>
      <c r="D559">
        <v>60</v>
      </c>
      <c r="E559">
        <v>11040</v>
      </c>
      <c r="F559" t="s">
        <v>82</v>
      </c>
      <c r="H559" t="s">
        <v>83</v>
      </c>
      <c r="I559" t="s">
        <v>194</v>
      </c>
      <c r="J559" t="s">
        <v>85</v>
      </c>
      <c r="K559" t="s">
        <v>86</v>
      </c>
      <c r="L559" t="s">
        <v>193</v>
      </c>
      <c r="M559" t="s">
        <v>175</v>
      </c>
      <c r="N559" t="s">
        <v>89</v>
      </c>
      <c r="O559" t="s">
        <v>89</v>
      </c>
      <c r="P559" t="s">
        <v>90</v>
      </c>
      <c r="Q559" t="s">
        <v>131</v>
      </c>
      <c r="R559">
        <v>4</v>
      </c>
      <c r="S559">
        <v>6</v>
      </c>
      <c r="T559">
        <v>1920</v>
      </c>
      <c r="U559">
        <v>1950</v>
      </c>
      <c r="V559" t="s">
        <v>92</v>
      </c>
      <c r="W559" t="s">
        <v>93</v>
      </c>
      <c r="X559" t="s">
        <v>115</v>
      </c>
      <c r="Y559" t="s">
        <v>115</v>
      </c>
      <c r="Z559" t="s">
        <v>116</v>
      </c>
      <c r="AA559">
        <v>0</v>
      </c>
      <c r="AB559" t="s">
        <v>97</v>
      </c>
      <c r="AC559" t="s">
        <v>97</v>
      </c>
      <c r="AD559" t="s">
        <v>117</v>
      </c>
      <c r="AE559" t="s">
        <v>97</v>
      </c>
      <c r="AF559" t="s">
        <v>97</v>
      </c>
      <c r="AG559" t="s">
        <v>99</v>
      </c>
      <c r="AH559" t="s">
        <v>152</v>
      </c>
      <c r="AI559">
        <v>637</v>
      </c>
      <c r="AJ559" t="s">
        <v>101</v>
      </c>
      <c r="AK559">
        <v>0</v>
      </c>
      <c r="AL559">
        <v>0</v>
      </c>
      <c r="AM559">
        <v>637</v>
      </c>
      <c r="AN559" t="s">
        <v>102</v>
      </c>
      <c r="AO559" t="s">
        <v>96</v>
      </c>
      <c r="AP559" t="s">
        <v>104</v>
      </c>
      <c r="AQ559" t="s">
        <v>105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97</v>
      </c>
      <c r="BC559">
        <v>7</v>
      </c>
      <c r="BD559" t="s">
        <v>106</v>
      </c>
      <c r="BE559">
        <v>0</v>
      </c>
      <c r="BG559" t="s">
        <v>168</v>
      </c>
      <c r="BH559">
        <v>1994</v>
      </c>
      <c r="BI559" t="s">
        <v>101</v>
      </c>
      <c r="BJ559">
        <v>1</v>
      </c>
      <c r="BK559">
        <v>570</v>
      </c>
      <c r="BL559" t="s">
        <v>97</v>
      </c>
      <c r="BM559" t="s">
        <v>97</v>
      </c>
      <c r="BN559" t="s">
        <v>104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X559">
        <v>0</v>
      </c>
      <c r="BY559">
        <v>9</v>
      </c>
      <c r="BZ559">
        <v>2006</v>
      </c>
      <c r="CA559" t="s">
        <v>172</v>
      </c>
      <c r="CB559" t="s">
        <v>110</v>
      </c>
      <c r="CC559">
        <v>108000</v>
      </c>
    </row>
    <row r="560" spans="1:81" x14ac:dyDescent="0.3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H560" t="s">
        <v>159</v>
      </c>
      <c r="I560" t="s">
        <v>198</v>
      </c>
      <c r="J560" t="s">
        <v>85</v>
      </c>
      <c r="K560" t="s">
        <v>111</v>
      </c>
      <c r="L560" t="s">
        <v>87</v>
      </c>
      <c r="M560" t="s">
        <v>192</v>
      </c>
      <c r="N560" t="s">
        <v>89</v>
      </c>
      <c r="O560" t="s">
        <v>89</v>
      </c>
      <c r="P560" t="s">
        <v>90</v>
      </c>
      <c r="Q560" t="s">
        <v>91</v>
      </c>
      <c r="R560">
        <v>7</v>
      </c>
      <c r="S560">
        <v>5</v>
      </c>
      <c r="T560">
        <v>1996</v>
      </c>
      <c r="U560">
        <v>1997</v>
      </c>
      <c r="V560" t="s">
        <v>92</v>
      </c>
      <c r="W560" t="s">
        <v>93</v>
      </c>
      <c r="X560" t="s">
        <v>139</v>
      </c>
      <c r="Y560" t="s">
        <v>139</v>
      </c>
      <c r="Z560" t="s">
        <v>116</v>
      </c>
      <c r="AA560">
        <v>0</v>
      </c>
      <c r="AB560" t="s">
        <v>97</v>
      </c>
      <c r="AC560" t="s">
        <v>97</v>
      </c>
      <c r="AD560" t="s">
        <v>98</v>
      </c>
      <c r="AE560" t="s">
        <v>96</v>
      </c>
      <c r="AF560" t="s">
        <v>97</v>
      </c>
      <c r="AG560" t="s">
        <v>96</v>
      </c>
      <c r="AH560" t="s">
        <v>100</v>
      </c>
      <c r="AI560">
        <v>604</v>
      </c>
      <c r="AJ560" t="s">
        <v>101</v>
      </c>
      <c r="AK560">
        <v>0</v>
      </c>
      <c r="AL560">
        <v>125</v>
      </c>
      <c r="AM560">
        <v>729</v>
      </c>
      <c r="AN560" t="s">
        <v>102</v>
      </c>
      <c r="AO560" t="s">
        <v>103</v>
      </c>
      <c r="AP560" t="s">
        <v>104</v>
      </c>
      <c r="AQ560" t="s">
        <v>105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97</v>
      </c>
      <c r="BC560">
        <v>6</v>
      </c>
      <c r="BD560" t="s">
        <v>106</v>
      </c>
      <c r="BE560">
        <v>1</v>
      </c>
      <c r="BF560" t="s">
        <v>97</v>
      </c>
      <c r="BG560" t="s">
        <v>107</v>
      </c>
      <c r="BH560">
        <v>1996</v>
      </c>
      <c r="BI560" t="s">
        <v>101</v>
      </c>
      <c r="BJ560">
        <v>2</v>
      </c>
      <c r="BK560">
        <v>406</v>
      </c>
      <c r="BL560" t="s">
        <v>97</v>
      </c>
      <c r="BM560" t="s">
        <v>97</v>
      </c>
      <c r="BN560" t="s">
        <v>104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X560">
        <v>0</v>
      </c>
      <c r="BY560">
        <v>8</v>
      </c>
      <c r="BZ560">
        <v>2008</v>
      </c>
      <c r="CA560" t="s">
        <v>109</v>
      </c>
      <c r="CB560" t="s">
        <v>110</v>
      </c>
      <c r="CC560">
        <v>175000</v>
      </c>
    </row>
    <row r="561" spans="1:81" x14ac:dyDescent="0.3">
      <c r="A561">
        <v>560</v>
      </c>
      <c r="B561">
        <v>120</v>
      </c>
      <c r="C561" t="s">
        <v>81</v>
      </c>
      <c r="E561">
        <v>3196</v>
      </c>
      <c r="F561" t="s">
        <v>82</v>
      </c>
      <c r="H561" t="s">
        <v>83</v>
      </c>
      <c r="I561" t="s">
        <v>84</v>
      </c>
      <c r="J561" t="s">
        <v>85</v>
      </c>
      <c r="K561" t="s">
        <v>86</v>
      </c>
      <c r="L561" t="s">
        <v>87</v>
      </c>
      <c r="M561" t="s">
        <v>226</v>
      </c>
      <c r="N561" t="s">
        <v>89</v>
      </c>
      <c r="O561" t="s">
        <v>89</v>
      </c>
      <c r="P561" t="s">
        <v>178</v>
      </c>
      <c r="Q561" t="s">
        <v>114</v>
      </c>
      <c r="R561">
        <v>7</v>
      </c>
      <c r="S561">
        <v>5</v>
      </c>
      <c r="T561">
        <v>2003</v>
      </c>
      <c r="U561">
        <v>2004</v>
      </c>
      <c r="V561" t="s">
        <v>92</v>
      </c>
      <c r="W561" t="s">
        <v>93</v>
      </c>
      <c r="X561" t="s">
        <v>94</v>
      </c>
      <c r="Y561" t="s">
        <v>94</v>
      </c>
      <c r="Z561" t="s">
        <v>95</v>
      </c>
      <c r="AA561">
        <v>18</v>
      </c>
      <c r="AB561" t="s">
        <v>96</v>
      </c>
      <c r="AC561" t="s">
        <v>97</v>
      </c>
      <c r="AD561" t="s">
        <v>98</v>
      </c>
      <c r="AE561" t="s">
        <v>96</v>
      </c>
      <c r="AF561" t="s">
        <v>97</v>
      </c>
      <c r="AG561" t="s">
        <v>96</v>
      </c>
      <c r="AH561" t="s">
        <v>101</v>
      </c>
      <c r="AI561">
        <v>0</v>
      </c>
      <c r="AJ561" t="s">
        <v>101</v>
      </c>
      <c r="AK561">
        <v>0</v>
      </c>
      <c r="AL561">
        <v>1374</v>
      </c>
      <c r="AM561">
        <v>1374</v>
      </c>
      <c r="AN561" t="s">
        <v>102</v>
      </c>
      <c r="AO561" t="s">
        <v>103</v>
      </c>
      <c r="AP561" t="s">
        <v>104</v>
      </c>
      <c r="AQ561" t="s">
        <v>105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96</v>
      </c>
      <c r="BC561">
        <v>7</v>
      </c>
      <c r="BD561" t="s">
        <v>106</v>
      </c>
      <c r="BE561">
        <v>1</v>
      </c>
      <c r="BF561" t="s">
        <v>97</v>
      </c>
      <c r="BG561" t="s">
        <v>107</v>
      </c>
      <c r="BH561">
        <v>2003</v>
      </c>
      <c r="BI561" t="s">
        <v>156</v>
      </c>
      <c r="BJ561">
        <v>2</v>
      </c>
      <c r="BK561">
        <v>420</v>
      </c>
      <c r="BL561" t="s">
        <v>97</v>
      </c>
      <c r="BM561" t="s">
        <v>97</v>
      </c>
      <c r="BN561" t="s">
        <v>104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X561">
        <v>0</v>
      </c>
      <c r="BY561">
        <v>10</v>
      </c>
      <c r="BZ561">
        <v>2006</v>
      </c>
      <c r="CA561" t="s">
        <v>109</v>
      </c>
      <c r="CB561" t="s">
        <v>110</v>
      </c>
      <c r="CC561">
        <v>234000</v>
      </c>
    </row>
    <row r="562" spans="1:81" x14ac:dyDescent="0.3">
      <c r="A562">
        <v>561</v>
      </c>
      <c r="B562">
        <v>20</v>
      </c>
      <c r="C562" t="s">
        <v>81</v>
      </c>
      <c r="E562">
        <v>11341</v>
      </c>
      <c r="F562" t="s">
        <v>82</v>
      </c>
      <c r="H562" t="s">
        <v>119</v>
      </c>
      <c r="I562" t="s">
        <v>84</v>
      </c>
      <c r="J562" t="s">
        <v>85</v>
      </c>
      <c r="K562" t="s">
        <v>86</v>
      </c>
      <c r="L562" t="s">
        <v>87</v>
      </c>
      <c r="M562" t="s">
        <v>150</v>
      </c>
      <c r="N562" t="s">
        <v>89</v>
      </c>
      <c r="O562" t="s">
        <v>89</v>
      </c>
      <c r="P562" t="s">
        <v>90</v>
      </c>
      <c r="Q562" t="s">
        <v>114</v>
      </c>
      <c r="R562">
        <v>5</v>
      </c>
      <c r="S562">
        <v>6</v>
      </c>
      <c r="T562">
        <v>1957</v>
      </c>
      <c r="U562">
        <v>1996</v>
      </c>
      <c r="V562" t="s">
        <v>151</v>
      </c>
      <c r="W562" t="s">
        <v>93</v>
      </c>
      <c r="X562" t="s">
        <v>123</v>
      </c>
      <c r="Y562" t="s">
        <v>123</v>
      </c>
      <c r="Z562" t="s">
        <v>95</v>
      </c>
      <c r="AA562">
        <v>180</v>
      </c>
      <c r="AB562" t="s">
        <v>97</v>
      </c>
      <c r="AC562" t="s">
        <v>97</v>
      </c>
      <c r="AD562" t="s">
        <v>117</v>
      </c>
      <c r="AE562" t="s">
        <v>96</v>
      </c>
      <c r="AF562" t="s">
        <v>97</v>
      </c>
      <c r="AG562" t="s">
        <v>99</v>
      </c>
      <c r="AH562" t="s">
        <v>118</v>
      </c>
      <c r="AI562">
        <v>1302</v>
      </c>
      <c r="AJ562" t="s">
        <v>101</v>
      </c>
      <c r="AK562">
        <v>0</v>
      </c>
      <c r="AL562">
        <v>90</v>
      </c>
      <c r="AM562">
        <v>1392</v>
      </c>
      <c r="AN562" t="s">
        <v>102</v>
      </c>
      <c r="AO562" t="s">
        <v>97</v>
      </c>
      <c r="AP562" t="s">
        <v>104</v>
      </c>
      <c r="AQ562" t="s">
        <v>105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97</v>
      </c>
      <c r="BC562">
        <v>5</v>
      </c>
      <c r="BD562" t="s">
        <v>193</v>
      </c>
      <c r="BE562">
        <v>1</v>
      </c>
      <c r="BF562" t="s">
        <v>96</v>
      </c>
      <c r="BG562" t="s">
        <v>126</v>
      </c>
      <c r="BH562">
        <v>1957</v>
      </c>
      <c r="BI562" t="s">
        <v>101</v>
      </c>
      <c r="BJ562">
        <v>2</v>
      </c>
      <c r="BK562">
        <v>528</v>
      </c>
      <c r="BL562" t="s">
        <v>97</v>
      </c>
      <c r="BM562" t="s">
        <v>97</v>
      </c>
      <c r="BN562" t="s">
        <v>104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X562">
        <v>0</v>
      </c>
      <c r="BY562">
        <v>5</v>
      </c>
      <c r="BZ562">
        <v>2010</v>
      </c>
      <c r="CA562" t="s">
        <v>109</v>
      </c>
      <c r="CB562" t="s">
        <v>110</v>
      </c>
      <c r="CC562">
        <v>121500</v>
      </c>
    </row>
    <row r="563" spans="1:81" x14ac:dyDescent="0.3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H563" t="s">
        <v>83</v>
      </c>
      <c r="I563" t="s">
        <v>84</v>
      </c>
      <c r="J563" t="s">
        <v>85</v>
      </c>
      <c r="K563" t="s">
        <v>86</v>
      </c>
      <c r="L563" t="s">
        <v>193</v>
      </c>
      <c r="M563" t="s">
        <v>130</v>
      </c>
      <c r="N563" t="s">
        <v>89</v>
      </c>
      <c r="O563" t="s">
        <v>89</v>
      </c>
      <c r="P563" t="s">
        <v>90</v>
      </c>
      <c r="Q563" t="s">
        <v>114</v>
      </c>
      <c r="R563">
        <v>5</v>
      </c>
      <c r="S563">
        <v>5</v>
      </c>
      <c r="T563">
        <v>1974</v>
      </c>
      <c r="U563">
        <v>1975</v>
      </c>
      <c r="V563" t="s">
        <v>92</v>
      </c>
      <c r="W563" t="s">
        <v>93</v>
      </c>
      <c r="X563" t="s">
        <v>139</v>
      </c>
      <c r="Y563" t="s">
        <v>139</v>
      </c>
      <c r="Z563" t="s">
        <v>116</v>
      </c>
      <c r="AA563">
        <v>0</v>
      </c>
      <c r="AB563" t="s">
        <v>97</v>
      </c>
      <c r="AC563" t="s">
        <v>97</v>
      </c>
      <c r="AD563" t="s">
        <v>117</v>
      </c>
      <c r="AE563" t="s">
        <v>96</v>
      </c>
      <c r="AF563" t="s">
        <v>97</v>
      </c>
      <c r="AG563" t="s">
        <v>129</v>
      </c>
      <c r="AH563" t="s">
        <v>118</v>
      </c>
      <c r="AI563">
        <v>1071</v>
      </c>
      <c r="AJ563" t="s">
        <v>171</v>
      </c>
      <c r="AK563">
        <v>123</v>
      </c>
      <c r="AL563">
        <v>195</v>
      </c>
      <c r="AM563">
        <v>1389</v>
      </c>
      <c r="AN563" t="s">
        <v>102</v>
      </c>
      <c r="AO563" t="s">
        <v>96</v>
      </c>
      <c r="AP563" t="s">
        <v>104</v>
      </c>
      <c r="AQ563" t="s">
        <v>105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97</v>
      </c>
      <c r="BC563">
        <v>6</v>
      </c>
      <c r="BD563" t="s">
        <v>106</v>
      </c>
      <c r="BE563">
        <v>1</v>
      </c>
      <c r="BF563" t="s">
        <v>97</v>
      </c>
      <c r="BG563" t="s">
        <v>107</v>
      </c>
      <c r="BH563">
        <v>1975</v>
      </c>
      <c r="BI563" t="s">
        <v>108</v>
      </c>
      <c r="BJ563">
        <v>2</v>
      </c>
      <c r="BK563">
        <v>418</v>
      </c>
      <c r="BL563" t="s">
        <v>97</v>
      </c>
      <c r="BM563" t="s">
        <v>97</v>
      </c>
      <c r="BN563" t="s">
        <v>104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X563">
        <v>0</v>
      </c>
      <c r="BY563">
        <v>4</v>
      </c>
      <c r="BZ563">
        <v>2006</v>
      </c>
      <c r="CA563" t="s">
        <v>109</v>
      </c>
      <c r="CB563" t="s">
        <v>110</v>
      </c>
      <c r="CC563">
        <v>170000</v>
      </c>
    </row>
    <row r="564" spans="1:81" x14ac:dyDescent="0.3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H564" t="s">
        <v>83</v>
      </c>
      <c r="I564" t="s">
        <v>84</v>
      </c>
      <c r="J564" t="s">
        <v>85</v>
      </c>
      <c r="K564" t="s">
        <v>86</v>
      </c>
      <c r="L564" t="s">
        <v>87</v>
      </c>
      <c r="M564" t="s">
        <v>184</v>
      </c>
      <c r="N564" t="s">
        <v>89</v>
      </c>
      <c r="O564" t="s">
        <v>89</v>
      </c>
      <c r="P564" t="s">
        <v>90</v>
      </c>
      <c r="Q564" t="s">
        <v>114</v>
      </c>
      <c r="R564">
        <v>5</v>
      </c>
      <c r="S564">
        <v>6</v>
      </c>
      <c r="T564">
        <v>1940</v>
      </c>
      <c r="U564">
        <v>1969</v>
      </c>
      <c r="V564" t="s">
        <v>92</v>
      </c>
      <c r="W564" t="s">
        <v>93</v>
      </c>
      <c r="X564" t="s">
        <v>154</v>
      </c>
      <c r="Y564" t="s">
        <v>124</v>
      </c>
      <c r="Z564" t="s">
        <v>116</v>
      </c>
      <c r="AA564">
        <v>0</v>
      </c>
      <c r="AB564" t="s">
        <v>97</v>
      </c>
      <c r="AC564" t="s">
        <v>97</v>
      </c>
      <c r="AD564" t="s">
        <v>117</v>
      </c>
      <c r="AE564" t="s">
        <v>97</v>
      </c>
      <c r="AF564" t="s">
        <v>97</v>
      </c>
      <c r="AG564" t="s">
        <v>99</v>
      </c>
      <c r="AH564" t="s">
        <v>140</v>
      </c>
      <c r="AI564">
        <v>290</v>
      </c>
      <c r="AJ564" t="s">
        <v>101</v>
      </c>
      <c r="AK564">
        <v>0</v>
      </c>
      <c r="AL564">
        <v>706</v>
      </c>
      <c r="AM564">
        <v>996</v>
      </c>
      <c r="AN564" t="s">
        <v>102</v>
      </c>
      <c r="AO564" t="s">
        <v>103</v>
      </c>
      <c r="AP564" t="s">
        <v>104</v>
      </c>
      <c r="AQ564" t="s">
        <v>105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97</v>
      </c>
      <c r="BC564">
        <v>6</v>
      </c>
      <c r="BD564" t="s">
        <v>106</v>
      </c>
      <c r="BE564">
        <v>1</v>
      </c>
      <c r="BF564" t="s">
        <v>96</v>
      </c>
      <c r="BJ564">
        <v>0</v>
      </c>
      <c r="BK564">
        <v>0</v>
      </c>
      <c r="BN564" t="s">
        <v>104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X564">
        <v>0</v>
      </c>
      <c r="BY564">
        <v>7</v>
      </c>
      <c r="BZ564">
        <v>2008</v>
      </c>
      <c r="CA564" t="s">
        <v>109</v>
      </c>
      <c r="CB564" t="s">
        <v>110</v>
      </c>
      <c r="CC564">
        <v>108000</v>
      </c>
    </row>
    <row r="565" spans="1:81" x14ac:dyDescent="0.3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H565" t="s">
        <v>83</v>
      </c>
      <c r="I565" t="s">
        <v>84</v>
      </c>
      <c r="J565" t="s">
        <v>85</v>
      </c>
      <c r="K565" t="s">
        <v>86</v>
      </c>
      <c r="L565" t="s">
        <v>87</v>
      </c>
      <c r="M565" t="s">
        <v>184</v>
      </c>
      <c r="N565" t="s">
        <v>89</v>
      </c>
      <c r="O565" t="s">
        <v>89</v>
      </c>
      <c r="P565" t="s">
        <v>90</v>
      </c>
      <c r="Q565" t="s">
        <v>131</v>
      </c>
      <c r="R565">
        <v>6</v>
      </c>
      <c r="S565">
        <v>7</v>
      </c>
      <c r="T565">
        <v>1918</v>
      </c>
      <c r="U565">
        <v>1950</v>
      </c>
      <c r="V565" t="s">
        <v>92</v>
      </c>
      <c r="W565" t="s">
        <v>93</v>
      </c>
      <c r="X565" t="s">
        <v>123</v>
      </c>
      <c r="Y565" t="s">
        <v>123</v>
      </c>
      <c r="Z565" t="s">
        <v>116</v>
      </c>
      <c r="AA565">
        <v>0</v>
      </c>
      <c r="AB565" t="s">
        <v>97</v>
      </c>
      <c r="AC565" t="s">
        <v>97</v>
      </c>
      <c r="AD565" t="s">
        <v>125</v>
      </c>
      <c r="AE565" t="s">
        <v>96</v>
      </c>
      <c r="AF565" t="s">
        <v>97</v>
      </c>
      <c r="AG565" t="s">
        <v>120</v>
      </c>
      <c r="AH565" t="s">
        <v>101</v>
      </c>
      <c r="AI565">
        <v>0</v>
      </c>
      <c r="AJ565" t="s">
        <v>101</v>
      </c>
      <c r="AK565">
        <v>0</v>
      </c>
      <c r="AL565">
        <v>1163</v>
      </c>
      <c r="AM565">
        <v>1163</v>
      </c>
      <c r="AN565" t="s">
        <v>102</v>
      </c>
      <c r="AO565" t="s">
        <v>103</v>
      </c>
      <c r="AP565" t="s">
        <v>104</v>
      </c>
      <c r="AQ565" t="s">
        <v>105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97</v>
      </c>
      <c r="BC565">
        <v>8</v>
      </c>
      <c r="BD565" t="s">
        <v>106</v>
      </c>
      <c r="BE565">
        <v>1</v>
      </c>
      <c r="BF565" t="s">
        <v>96</v>
      </c>
      <c r="BG565" t="s">
        <v>126</v>
      </c>
      <c r="BH565">
        <v>1955</v>
      </c>
      <c r="BI565" t="s">
        <v>156</v>
      </c>
      <c r="BJ565">
        <v>2</v>
      </c>
      <c r="BK565">
        <v>396</v>
      </c>
      <c r="BL565" t="s">
        <v>97</v>
      </c>
      <c r="BM565" t="s">
        <v>97</v>
      </c>
      <c r="BN565" t="s">
        <v>176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X565">
        <v>0</v>
      </c>
      <c r="BY565">
        <v>7</v>
      </c>
      <c r="BZ565">
        <v>2008</v>
      </c>
      <c r="CA565" t="s">
        <v>109</v>
      </c>
      <c r="CB565" t="s">
        <v>110</v>
      </c>
      <c r="CC565">
        <v>185000</v>
      </c>
    </row>
    <row r="566" spans="1:81" x14ac:dyDescent="0.3">
      <c r="A566">
        <v>565</v>
      </c>
      <c r="B566">
        <v>60</v>
      </c>
      <c r="C566" t="s">
        <v>81</v>
      </c>
      <c r="E566">
        <v>13346</v>
      </c>
      <c r="F566" t="s">
        <v>82</v>
      </c>
      <c r="H566" t="s">
        <v>119</v>
      </c>
      <c r="I566" t="s">
        <v>84</v>
      </c>
      <c r="J566" t="s">
        <v>85</v>
      </c>
      <c r="K566" t="s">
        <v>165</v>
      </c>
      <c r="L566" t="s">
        <v>87</v>
      </c>
      <c r="M566" t="s">
        <v>128</v>
      </c>
      <c r="N566" t="s">
        <v>89</v>
      </c>
      <c r="O566" t="s">
        <v>89</v>
      </c>
      <c r="P566" t="s">
        <v>90</v>
      </c>
      <c r="Q566" t="s">
        <v>91</v>
      </c>
      <c r="R566">
        <v>7</v>
      </c>
      <c r="S566">
        <v>5</v>
      </c>
      <c r="T566">
        <v>1992</v>
      </c>
      <c r="U566">
        <v>2000</v>
      </c>
      <c r="V566" t="s">
        <v>92</v>
      </c>
      <c r="W566" t="s">
        <v>93</v>
      </c>
      <c r="X566" t="s">
        <v>139</v>
      </c>
      <c r="Y566" t="s">
        <v>139</v>
      </c>
      <c r="Z566" t="s">
        <v>116</v>
      </c>
      <c r="AA566">
        <v>0</v>
      </c>
      <c r="AB566" t="s">
        <v>96</v>
      </c>
      <c r="AC566" t="s">
        <v>97</v>
      </c>
      <c r="AD566" t="s">
        <v>98</v>
      </c>
      <c r="AE566" t="s">
        <v>96</v>
      </c>
      <c r="AF566" t="s">
        <v>97</v>
      </c>
      <c r="AG566" t="s">
        <v>99</v>
      </c>
      <c r="AH566" t="s">
        <v>100</v>
      </c>
      <c r="AI566">
        <v>728</v>
      </c>
      <c r="AJ566" t="s">
        <v>101</v>
      </c>
      <c r="AK566">
        <v>0</v>
      </c>
      <c r="AL566">
        <v>367</v>
      </c>
      <c r="AM566">
        <v>1095</v>
      </c>
      <c r="AN566" t="s">
        <v>102</v>
      </c>
      <c r="AO566" t="s">
        <v>103</v>
      </c>
      <c r="AP566" t="s">
        <v>104</v>
      </c>
      <c r="AQ566" t="s">
        <v>105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96</v>
      </c>
      <c r="BC566">
        <v>9</v>
      </c>
      <c r="BD566" t="s">
        <v>106</v>
      </c>
      <c r="BE566">
        <v>1</v>
      </c>
      <c r="BF566" t="s">
        <v>97</v>
      </c>
      <c r="BG566" t="s">
        <v>107</v>
      </c>
      <c r="BH566">
        <v>1992</v>
      </c>
      <c r="BI566" t="s">
        <v>108</v>
      </c>
      <c r="BJ566">
        <v>2</v>
      </c>
      <c r="BK566">
        <v>590</v>
      </c>
      <c r="BL566" t="s">
        <v>97</v>
      </c>
      <c r="BM566" t="s">
        <v>97</v>
      </c>
      <c r="BN566" t="s">
        <v>104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X566">
        <v>0</v>
      </c>
      <c r="BY566">
        <v>7</v>
      </c>
      <c r="BZ566">
        <v>2006</v>
      </c>
      <c r="CA566" t="s">
        <v>109</v>
      </c>
      <c r="CB566" t="s">
        <v>110</v>
      </c>
      <c r="CC566">
        <v>268000</v>
      </c>
    </row>
    <row r="567" spans="1:81" x14ac:dyDescent="0.3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H567" t="s">
        <v>83</v>
      </c>
      <c r="I567" t="s">
        <v>174</v>
      </c>
      <c r="J567" t="s">
        <v>85</v>
      </c>
      <c r="K567" t="s">
        <v>121</v>
      </c>
      <c r="L567" t="s">
        <v>87</v>
      </c>
      <c r="M567" t="s">
        <v>231</v>
      </c>
      <c r="N567" t="s">
        <v>89</v>
      </c>
      <c r="O567" t="s">
        <v>89</v>
      </c>
      <c r="P567" t="s">
        <v>90</v>
      </c>
      <c r="Q567" t="s">
        <v>91</v>
      </c>
      <c r="R567">
        <v>6</v>
      </c>
      <c r="S567">
        <v>4</v>
      </c>
      <c r="T567">
        <v>1915</v>
      </c>
      <c r="U567">
        <v>1950</v>
      </c>
      <c r="V567" t="s">
        <v>92</v>
      </c>
      <c r="W567" t="s">
        <v>93</v>
      </c>
      <c r="X567" t="s">
        <v>123</v>
      </c>
      <c r="Y567" t="s">
        <v>123</v>
      </c>
      <c r="Z567" t="s">
        <v>116</v>
      </c>
      <c r="AA567">
        <v>0</v>
      </c>
      <c r="AB567" t="s">
        <v>97</v>
      </c>
      <c r="AC567" t="s">
        <v>97</v>
      </c>
      <c r="AD567" t="s">
        <v>98</v>
      </c>
      <c r="AE567" t="s">
        <v>96</v>
      </c>
      <c r="AF567" t="s">
        <v>97</v>
      </c>
      <c r="AG567" t="s">
        <v>99</v>
      </c>
      <c r="AH567" t="s">
        <v>101</v>
      </c>
      <c r="AI567">
        <v>0</v>
      </c>
      <c r="AJ567" t="s">
        <v>101</v>
      </c>
      <c r="AK567">
        <v>0</v>
      </c>
      <c r="AL567">
        <v>806</v>
      </c>
      <c r="AM567">
        <v>806</v>
      </c>
      <c r="AN567" t="s">
        <v>102</v>
      </c>
      <c r="AO567" t="s">
        <v>97</v>
      </c>
      <c r="AP567" t="s">
        <v>176</v>
      </c>
      <c r="AQ567" t="s">
        <v>144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146</v>
      </c>
      <c r="BC567">
        <v>6</v>
      </c>
      <c r="BD567" t="s">
        <v>106</v>
      </c>
      <c r="BE567">
        <v>0</v>
      </c>
      <c r="BG567" t="s">
        <v>126</v>
      </c>
      <c r="BH567">
        <v>1920</v>
      </c>
      <c r="BI567" t="s">
        <v>101</v>
      </c>
      <c r="BJ567">
        <v>1</v>
      </c>
      <c r="BK567">
        <v>216</v>
      </c>
      <c r="BL567" t="s">
        <v>97</v>
      </c>
      <c r="BM567" t="s">
        <v>97</v>
      </c>
      <c r="BN567" t="s">
        <v>104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X567">
        <v>0</v>
      </c>
      <c r="BY567">
        <v>5</v>
      </c>
      <c r="BZ567">
        <v>2010</v>
      </c>
      <c r="CA567" t="s">
        <v>109</v>
      </c>
      <c r="CB567" t="s">
        <v>110</v>
      </c>
      <c r="CC567">
        <v>128000</v>
      </c>
    </row>
    <row r="568" spans="1:81" x14ac:dyDescent="0.3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H568" t="s">
        <v>119</v>
      </c>
      <c r="I568" t="s">
        <v>84</v>
      </c>
      <c r="J568" t="s">
        <v>85</v>
      </c>
      <c r="K568" t="s">
        <v>86</v>
      </c>
      <c r="L568" t="s">
        <v>87</v>
      </c>
      <c r="M568" t="s">
        <v>199</v>
      </c>
      <c r="N568" t="s">
        <v>89</v>
      </c>
      <c r="O568" t="s">
        <v>89</v>
      </c>
      <c r="P568" t="s">
        <v>90</v>
      </c>
      <c r="Q568" t="s">
        <v>91</v>
      </c>
      <c r="R568">
        <v>9</v>
      </c>
      <c r="S568">
        <v>5</v>
      </c>
      <c r="T568">
        <v>2005</v>
      </c>
      <c r="U568">
        <v>2007</v>
      </c>
      <c r="V568" t="s">
        <v>151</v>
      </c>
      <c r="W568" t="s">
        <v>93</v>
      </c>
      <c r="X568" t="s">
        <v>94</v>
      </c>
      <c r="Y568" t="s">
        <v>94</v>
      </c>
      <c r="Z568" t="s">
        <v>95</v>
      </c>
      <c r="AA568">
        <v>245</v>
      </c>
      <c r="AB568" t="s">
        <v>96</v>
      </c>
      <c r="AC568" t="s">
        <v>97</v>
      </c>
      <c r="AD568" t="s">
        <v>98</v>
      </c>
      <c r="AE568" t="s">
        <v>96</v>
      </c>
      <c r="AF568" t="s">
        <v>96</v>
      </c>
      <c r="AG568" t="s">
        <v>99</v>
      </c>
      <c r="AH568" t="s">
        <v>101</v>
      </c>
      <c r="AI568">
        <v>0</v>
      </c>
      <c r="AJ568" t="s">
        <v>101</v>
      </c>
      <c r="AK568">
        <v>0</v>
      </c>
      <c r="AL568">
        <v>1122</v>
      </c>
      <c r="AM568">
        <v>1122</v>
      </c>
      <c r="AN568" t="s">
        <v>102</v>
      </c>
      <c r="AO568" t="s">
        <v>103</v>
      </c>
      <c r="AP568" t="s">
        <v>104</v>
      </c>
      <c r="AQ568" t="s">
        <v>105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103</v>
      </c>
      <c r="BC568">
        <v>11</v>
      </c>
      <c r="BD568" t="s">
        <v>106</v>
      </c>
      <c r="BE568">
        <v>1</v>
      </c>
      <c r="BF568" t="s">
        <v>96</v>
      </c>
      <c r="BG568" t="s">
        <v>155</v>
      </c>
      <c r="BH568">
        <v>2005</v>
      </c>
      <c r="BI568" t="s">
        <v>156</v>
      </c>
      <c r="BJ568">
        <v>3</v>
      </c>
      <c r="BK568">
        <v>656</v>
      </c>
      <c r="BL568" t="s">
        <v>97</v>
      </c>
      <c r="BM568" t="s">
        <v>97</v>
      </c>
      <c r="BN568" t="s">
        <v>104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X568">
        <v>0</v>
      </c>
      <c r="BY568">
        <v>6</v>
      </c>
      <c r="BZ568">
        <v>2008</v>
      </c>
      <c r="CA568" t="s">
        <v>109</v>
      </c>
      <c r="CB568" t="s">
        <v>110</v>
      </c>
      <c r="CC568">
        <v>325000</v>
      </c>
    </row>
    <row r="569" spans="1:81" x14ac:dyDescent="0.3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H569" t="s">
        <v>119</v>
      </c>
      <c r="I569" t="s">
        <v>84</v>
      </c>
      <c r="J569" t="s">
        <v>85</v>
      </c>
      <c r="K569" t="s">
        <v>86</v>
      </c>
      <c r="L569" t="s">
        <v>87</v>
      </c>
      <c r="M569" t="s">
        <v>153</v>
      </c>
      <c r="N569" t="s">
        <v>89</v>
      </c>
      <c r="O569" t="s">
        <v>89</v>
      </c>
      <c r="P569" t="s">
        <v>90</v>
      </c>
      <c r="Q569" t="s">
        <v>114</v>
      </c>
      <c r="R569">
        <v>7</v>
      </c>
      <c r="S569">
        <v>5</v>
      </c>
      <c r="T569">
        <v>2004</v>
      </c>
      <c r="U569">
        <v>2004</v>
      </c>
      <c r="V569" t="s">
        <v>92</v>
      </c>
      <c r="W569" t="s">
        <v>93</v>
      </c>
      <c r="X569" t="s">
        <v>94</v>
      </c>
      <c r="Y569" t="s">
        <v>94</v>
      </c>
      <c r="Z569" t="s">
        <v>95</v>
      </c>
      <c r="AA569">
        <v>168</v>
      </c>
      <c r="AB569" t="s">
        <v>96</v>
      </c>
      <c r="AC569" t="s">
        <v>97</v>
      </c>
      <c r="AD569" t="s">
        <v>98</v>
      </c>
      <c r="AE569" t="s">
        <v>96</v>
      </c>
      <c r="AF569" t="s">
        <v>97</v>
      </c>
      <c r="AG569" t="s">
        <v>99</v>
      </c>
      <c r="AH569" t="s">
        <v>100</v>
      </c>
      <c r="AI569">
        <v>2</v>
      </c>
      <c r="AJ569" t="s">
        <v>101</v>
      </c>
      <c r="AK569">
        <v>0</v>
      </c>
      <c r="AL569">
        <v>1515</v>
      </c>
      <c r="AM569">
        <v>1517</v>
      </c>
      <c r="AN569" t="s">
        <v>102</v>
      </c>
      <c r="AO569" t="s">
        <v>103</v>
      </c>
      <c r="AP569" t="s">
        <v>104</v>
      </c>
      <c r="AQ569" t="s">
        <v>105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96</v>
      </c>
      <c r="BC569">
        <v>7</v>
      </c>
      <c r="BD569" t="s">
        <v>106</v>
      </c>
      <c r="BE569">
        <v>0</v>
      </c>
      <c r="BG569" t="s">
        <v>107</v>
      </c>
      <c r="BH569">
        <v>2004</v>
      </c>
      <c r="BI569" t="s">
        <v>108</v>
      </c>
      <c r="BJ569">
        <v>2</v>
      </c>
      <c r="BK569">
        <v>532</v>
      </c>
      <c r="BL569" t="s">
        <v>97</v>
      </c>
      <c r="BM569" t="s">
        <v>97</v>
      </c>
      <c r="BN569" t="s">
        <v>104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X569">
        <v>0</v>
      </c>
      <c r="BY569">
        <v>3</v>
      </c>
      <c r="BZ569">
        <v>2010</v>
      </c>
      <c r="CA569" t="s">
        <v>109</v>
      </c>
      <c r="CB569" t="s">
        <v>110</v>
      </c>
      <c r="CC569">
        <v>214000</v>
      </c>
    </row>
    <row r="570" spans="1:81" x14ac:dyDescent="0.3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H570" t="s">
        <v>119</v>
      </c>
      <c r="I570" t="s">
        <v>194</v>
      </c>
      <c r="J570" t="s">
        <v>85</v>
      </c>
      <c r="K570" t="s">
        <v>86</v>
      </c>
      <c r="L570" t="s">
        <v>193</v>
      </c>
      <c r="M570" t="s">
        <v>169</v>
      </c>
      <c r="N570" t="s">
        <v>89</v>
      </c>
      <c r="O570" t="s">
        <v>89</v>
      </c>
      <c r="P570" t="s">
        <v>90</v>
      </c>
      <c r="Q570" t="s">
        <v>131</v>
      </c>
      <c r="R570">
        <v>8</v>
      </c>
      <c r="S570">
        <v>8</v>
      </c>
      <c r="T570">
        <v>1983</v>
      </c>
      <c r="U570">
        <v>2009</v>
      </c>
      <c r="V570" t="s">
        <v>92</v>
      </c>
      <c r="W570" t="s">
        <v>93</v>
      </c>
      <c r="X570" t="s">
        <v>123</v>
      </c>
      <c r="Y570" t="s">
        <v>123</v>
      </c>
      <c r="Z570" t="s">
        <v>116</v>
      </c>
      <c r="AA570">
        <v>0</v>
      </c>
      <c r="AB570" t="s">
        <v>96</v>
      </c>
      <c r="AC570" t="s">
        <v>97</v>
      </c>
      <c r="AD570" t="s">
        <v>117</v>
      </c>
      <c r="AE570" t="s">
        <v>96</v>
      </c>
      <c r="AF570" t="s">
        <v>97</v>
      </c>
      <c r="AG570" t="s">
        <v>96</v>
      </c>
      <c r="AH570" t="s">
        <v>100</v>
      </c>
      <c r="AI570">
        <v>1441</v>
      </c>
      <c r="AJ570" t="s">
        <v>101</v>
      </c>
      <c r="AK570">
        <v>0</v>
      </c>
      <c r="AL570">
        <v>55</v>
      </c>
      <c r="AM570">
        <v>1496</v>
      </c>
      <c r="AN570" t="s">
        <v>102</v>
      </c>
      <c r="AO570" t="s">
        <v>103</v>
      </c>
      <c r="AP570" t="s">
        <v>104</v>
      </c>
      <c r="AQ570" t="s">
        <v>105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96</v>
      </c>
      <c r="BC570">
        <v>5</v>
      </c>
      <c r="BD570" t="s">
        <v>223</v>
      </c>
      <c r="BE570">
        <v>1</v>
      </c>
      <c r="BF570" t="s">
        <v>96</v>
      </c>
      <c r="BG570" t="s">
        <v>155</v>
      </c>
      <c r="BH570">
        <v>1983</v>
      </c>
      <c r="BI570" t="s">
        <v>156</v>
      </c>
      <c r="BJ570">
        <v>2</v>
      </c>
      <c r="BK570">
        <v>612</v>
      </c>
      <c r="BL570" t="s">
        <v>96</v>
      </c>
      <c r="BM570" t="s">
        <v>97</v>
      </c>
      <c r="BN570" t="s">
        <v>104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X570">
        <v>0</v>
      </c>
      <c r="BY570">
        <v>9</v>
      </c>
      <c r="BZ570">
        <v>2009</v>
      </c>
      <c r="CA570" t="s">
        <v>109</v>
      </c>
      <c r="CB570" t="s">
        <v>110</v>
      </c>
      <c r="CC570">
        <v>316600</v>
      </c>
    </row>
    <row r="571" spans="1:81" x14ac:dyDescent="0.3">
      <c r="A571">
        <v>570</v>
      </c>
      <c r="B571">
        <v>90</v>
      </c>
      <c r="C571" t="s">
        <v>81</v>
      </c>
      <c r="E571">
        <v>7032</v>
      </c>
      <c r="F571" t="s">
        <v>82</v>
      </c>
      <c r="H571" t="s">
        <v>119</v>
      </c>
      <c r="I571" t="s">
        <v>84</v>
      </c>
      <c r="J571" t="s">
        <v>85</v>
      </c>
      <c r="K571" t="s">
        <v>121</v>
      </c>
      <c r="L571" t="s">
        <v>87</v>
      </c>
      <c r="M571" t="s">
        <v>270</v>
      </c>
      <c r="N571" t="s">
        <v>89</v>
      </c>
      <c r="O571" t="s">
        <v>89</v>
      </c>
      <c r="P571" t="s">
        <v>166</v>
      </c>
      <c r="Q571" t="s">
        <v>190</v>
      </c>
      <c r="R571">
        <v>5</v>
      </c>
      <c r="S571">
        <v>5</v>
      </c>
      <c r="T571">
        <v>1979</v>
      </c>
      <c r="U571">
        <v>1979</v>
      </c>
      <c r="V571" t="s">
        <v>92</v>
      </c>
      <c r="W571" t="s">
        <v>93</v>
      </c>
      <c r="X571" t="s">
        <v>115</v>
      </c>
      <c r="Y571" t="s">
        <v>115</v>
      </c>
      <c r="Z571" t="s">
        <v>116</v>
      </c>
      <c r="AA571">
        <v>0</v>
      </c>
      <c r="AB571" t="s">
        <v>97</v>
      </c>
      <c r="AC571" t="s">
        <v>97</v>
      </c>
      <c r="AD571" t="s">
        <v>117</v>
      </c>
      <c r="AE571" t="s">
        <v>96</v>
      </c>
      <c r="AF571" t="s">
        <v>97</v>
      </c>
      <c r="AG571" t="s">
        <v>96</v>
      </c>
      <c r="AH571" t="s">
        <v>100</v>
      </c>
      <c r="AI571">
        <v>943</v>
      </c>
      <c r="AJ571" t="s">
        <v>101</v>
      </c>
      <c r="AK571">
        <v>0</v>
      </c>
      <c r="AL571">
        <v>0</v>
      </c>
      <c r="AM571">
        <v>943</v>
      </c>
      <c r="AN571" t="s">
        <v>102</v>
      </c>
      <c r="AO571" t="s">
        <v>97</v>
      </c>
      <c r="AP571" t="s">
        <v>104</v>
      </c>
      <c r="AQ571" t="s">
        <v>105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97</v>
      </c>
      <c r="BC571">
        <v>4</v>
      </c>
      <c r="BD571" t="s">
        <v>106</v>
      </c>
      <c r="BE571">
        <v>2</v>
      </c>
      <c r="BF571" t="s">
        <v>97</v>
      </c>
      <c r="BG571" t="s">
        <v>126</v>
      </c>
      <c r="BH571">
        <v>1979</v>
      </c>
      <c r="BI571" t="s">
        <v>101</v>
      </c>
      <c r="BJ571">
        <v>2</v>
      </c>
      <c r="BK571">
        <v>600</v>
      </c>
      <c r="BL571" t="s">
        <v>97</v>
      </c>
      <c r="BM571" t="s">
        <v>97</v>
      </c>
      <c r="BN571" t="s">
        <v>104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X571">
        <v>0</v>
      </c>
      <c r="BY571">
        <v>12</v>
      </c>
      <c r="BZ571">
        <v>2006</v>
      </c>
      <c r="CA571" t="s">
        <v>109</v>
      </c>
      <c r="CB571" t="s">
        <v>110</v>
      </c>
      <c r="CC571">
        <v>135960</v>
      </c>
    </row>
    <row r="572" spans="1:81" x14ac:dyDescent="0.3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H572" t="s">
        <v>119</v>
      </c>
      <c r="I572" t="s">
        <v>84</v>
      </c>
      <c r="J572" t="s">
        <v>85</v>
      </c>
      <c r="K572" t="s">
        <v>86</v>
      </c>
      <c r="L572" t="s">
        <v>87</v>
      </c>
      <c r="M572" t="s">
        <v>270</v>
      </c>
      <c r="N572" t="s">
        <v>89</v>
      </c>
      <c r="O572" t="s">
        <v>89</v>
      </c>
      <c r="P572" t="s">
        <v>166</v>
      </c>
      <c r="Q572" t="s">
        <v>114</v>
      </c>
      <c r="R572">
        <v>5</v>
      </c>
      <c r="S572">
        <v>5</v>
      </c>
      <c r="T572">
        <v>1965</v>
      </c>
      <c r="U572">
        <v>1965</v>
      </c>
      <c r="V572" t="s">
        <v>92</v>
      </c>
      <c r="W572" t="s">
        <v>93</v>
      </c>
      <c r="X572" t="s">
        <v>139</v>
      </c>
      <c r="Y572" t="s">
        <v>139</v>
      </c>
      <c r="Z572" t="s">
        <v>95</v>
      </c>
      <c r="AA572">
        <v>108</v>
      </c>
      <c r="AB572" t="s">
        <v>97</v>
      </c>
      <c r="AC572" t="s">
        <v>97</v>
      </c>
      <c r="AD572" t="s">
        <v>117</v>
      </c>
      <c r="AE572" t="s">
        <v>97</v>
      </c>
      <c r="AF572" t="s">
        <v>97</v>
      </c>
      <c r="AG572" t="s">
        <v>99</v>
      </c>
      <c r="AH572" t="s">
        <v>171</v>
      </c>
      <c r="AI572">
        <v>231</v>
      </c>
      <c r="AJ572" t="s">
        <v>101</v>
      </c>
      <c r="AK572">
        <v>0</v>
      </c>
      <c r="AL572">
        <v>1497</v>
      </c>
      <c r="AM572">
        <v>1728</v>
      </c>
      <c r="AN572" t="s">
        <v>102</v>
      </c>
      <c r="AO572" t="s">
        <v>97</v>
      </c>
      <c r="AP572" t="s">
        <v>104</v>
      </c>
      <c r="AQ572" t="s">
        <v>105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97</v>
      </c>
      <c r="BC572">
        <v>10</v>
      </c>
      <c r="BD572" t="s">
        <v>106</v>
      </c>
      <c r="BE572">
        <v>0</v>
      </c>
      <c r="BG572" t="s">
        <v>126</v>
      </c>
      <c r="BH572">
        <v>1987</v>
      </c>
      <c r="BI572" t="s">
        <v>101</v>
      </c>
      <c r="BJ572">
        <v>2</v>
      </c>
      <c r="BK572">
        <v>576</v>
      </c>
      <c r="BL572" t="s">
        <v>97</v>
      </c>
      <c r="BM572" t="s">
        <v>97</v>
      </c>
      <c r="BN572" t="s">
        <v>104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X572">
        <v>0</v>
      </c>
      <c r="BY572">
        <v>11</v>
      </c>
      <c r="BZ572">
        <v>2008</v>
      </c>
      <c r="CA572" t="s">
        <v>109</v>
      </c>
      <c r="CB572" t="s">
        <v>110</v>
      </c>
      <c r="CC572">
        <v>142600</v>
      </c>
    </row>
    <row r="573" spans="1:81" x14ac:dyDescent="0.3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H573" t="s">
        <v>83</v>
      </c>
      <c r="I573" t="s">
        <v>84</v>
      </c>
      <c r="J573" t="s">
        <v>85</v>
      </c>
      <c r="K573" t="s">
        <v>86</v>
      </c>
      <c r="L573" t="s">
        <v>87</v>
      </c>
      <c r="M573" t="s">
        <v>270</v>
      </c>
      <c r="N573" t="s">
        <v>89</v>
      </c>
      <c r="O573" t="s">
        <v>89</v>
      </c>
      <c r="P573" t="s">
        <v>90</v>
      </c>
      <c r="Q573" t="s">
        <v>114</v>
      </c>
      <c r="R573">
        <v>6</v>
      </c>
      <c r="S573">
        <v>6</v>
      </c>
      <c r="T573">
        <v>1959</v>
      </c>
      <c r="U573">
        <v>1959</v>
      </c>
      <c r="V573" t="s">
        <v>92</v>
      </c>
      <c r="W573" t="s">
        <v>93</v>
      </c>
      <c r="X573" t="s">
        <v>154</v>
      </c>
      <c r="Y573" t="s">
        <v>124</v>
      </c>
      <c r="Z573" t="s">
        <v>95</v>
      </c>
      <c r="AA573">
        <v>207</v>
      </c>
      <c r="AB573" t="s">
        <v>97</v>
      </c>
      <c r="AC573" t="s">
        <v>97</v>
      </c>
      <c r="AD573" t="s">
        <v>117</v>
      </c>
      <c r="AE573" t="s">
        <v>97</v>
      </c>
      <c r="AF573" t="s">
        <v>97</v>
      </c>
      <c r="AG573" t="s">
        <v>99</v>
      </c>
      <c r="AH573" t="s">
        <v>140</v>
      </c>
      <c r="AI573">
        <v>414</v>
      </c>
      <c r="AJ573" t="s">
        <v>101</v>
      </c>
      <c r="AK573">
        <v>0</v>
      </c>
      <c r="AL573">
        <v>450</v>
      </c>
      <c r="AM573">
        <v>864</v>
      </c>
      <c r="AN573" t="s">
        <v>102</v>
      </c>
      <c r="AO573" t="s">
        <v>103</v>
      </c>
      <c r="AP573" t="s">
        <v>104</v>
      </c>
      <c r="AQ573" t="s">
        <v>105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96</v>
      </c>
      <c r="BC573">
        <v>4</v>
      </c>
      <c r="BD573" t="s">
        <v>106</v>
      </c>
      <c r="BE573">
        <v>0</v>
      </c>
      <c r="BG573" t="s">
        <v>107</v>
      </c>
      <c r="BH573">
        <v>1959</v>
      </c>
      <c r="BI573" t="s">
        <v>101</v>
      </c>
      <c r="BJ573">
        <v>1</v>
      </c>
      <c r="BK573">
        <v>288</v>
      </c>
      <c r="BL573" t="s">
        <v>97</v>
      </c>
      <c r="BM573" t="s">
        <v>97</v>
      </c>
      <c r="BN573" t="s">
        <v>104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X573">
        <v>0</v>
      </c>
      <c r="BY573">
        <v>10</v>
      </c>
      <c r="BZ573">
        <v>2006</v>
      </c>
      <c r="CA573" t="s">
        <v>109</v>
      </c>
      <c r="CB573" t="s">
        <v>127</v>
      </c>
      <c r="CC573">
        <v>120000</v>
      </c>
    </row>
    <row r="574" spans="1:81" x14ac:dyDescent="0.3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H574" t="s">
        <v>119</v>
      </c>
      <c r="I574" t="s">
        <v>198</v>
      </c>
      <c r="J574" t="s">
        <v>85</v>
      </c>
      <c r="K574" t="s">
        <v>121</v>
      </c>
      <c r="L574" t="s">
        <v>87</v>
      </c>
      <c r="M574" t="s">
        <v>188</v>
      </c>
      <c r="N574" t="s">
        <v>89</v>
      </c>
      <c r="O574" t="s">
        <v>89</v>
      </c>
      <c r="P574" t="s">
        <v>90</v>
      </c>
      <c r="Q574" t="s">
        <v>91</v>
      </c>
      <c r="R574">
        <v>7</v>
      </c>
      <c r="S574">
        <v>5</v>
      </c>
      <c r="T574">
        <v>2009</v>
      </c>
      <c r="U574">
        <v>2009</v>
      </c>
      <c r="V574" t="s">
        <v>92</v>
      </c>
      <c r="W574" t="s">
        <v>93</v>
      </c>
      <c r="X574" t="s">
        <v>94</v>
      </c>
      <c r="Y574" t="s">
        <v>94</v>
      </c>
      <c r="Z574" t="s">
        <v>116</v>
      </c>
      <c r="AA574">
        <v>0</v>
      </c>
      <c r="AB574" t="s">
        <v>97</v>
      </c>
      <c r="AC574" t="s">
        <v>97</v>
      </c>
      <c r="AD574" t="s">
        <v>98</v>
      </c>
      <c r="AE574" t="s">
        <v>103</v>
      </c>
      <c r="AF574" t="s">
        <v>97</v>
      </c>
      <c r="AG574" t="s">
        <v>129</v>
      </c>
      <c r="AH574" t="s">
        <v>101</v>
      </c>
      <c r="AI574">
        <v>0</v>
      </c>
      <c r="AJ574" t="s">
        <v>101</v>
      </c>
      <c r="AK574">
        <v>0</v>
      </c>
      <c r="AL574">
        <v>846</v>
      </c>
      <c r="AM574">
        <v>846</v>
      </c>
      <c r="AN574" t="s">
        <v>102</v>
      </c>
      <c r="AO574" t="s">
        <v>96</v>
      </c>
      <c r="AP574" t="s">
        <v>104</v>
      </c>
      <c r="AQ574" t="s">
        <v>105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96</v>
      </c>
      <c r="BC574">
        <v>6</v>
      </c>
      <c r="BD574" t="s">
        <v>106</v>
      </c>
      <c r="BE574">
        <v>0</v>
      </c>
      <c r="BG574" t="s">
        <v>107</v>
      </c>
      <c r="BH574">
        <v>2009</v>
      </c>
      <c r="BI574" t="s">
        <v>108</v>
      </c>
      <c r="BJ574">
        <v>2</v>
      </c>
      <c r="BK574">
        <v>650</v>
      </c>
      <c r="BL574" t="s">
        <v>97</v>
      </c>
      <c r="BM574" t="s">
        <v>97</v>
      </c>
      <c r="BN574" t="s">
        <v>104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X574">
        <v>0</v>
      </c>
      <c r="BY574">
        <v>7</v>
      </c>
      <c r="BZ574">
        <v>2009</v>
      </c>
      <c r="CA574" t="s">
        <v>157</v>
      </c>
      <c r="CB574" t="s">
        <v>158</v>
      </c>
      <c r="CC574">
        <v>224500</v>
      </c>
    </row>
    <row r="575" spans="1:81" x14ac:dyDescent="0.3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H575" t="s">
        <v>119</v>
      </c>
      <c r="I575" t="s">
        <v>84</v>
      </c>
      <c r="J575" t="s">
        <v>85</v>
      </c>
      <c r="K575" t="s">
        <v>86</v>
      </c>
      <c r="L575" t="s">
        <v>87</v>
      </c>
      <c r="M575" t="s">
        <v>192</v>
      </c>
      <c r="N575" t="s">
        <v>89</v>
      </c>
      <c r="O575" t="s">
        <v>89</v>
      </c>
      <c r="P575" t="s">
        <v>90</v>
      </c>
      <c r="Q575" t="s">
        <v>196</v>
      </c>
      <c r="R575">
        <v>7</v>
      </c>
      <c r="S575">
        <v>5</v>
      </c>
      <c r="T575">
        <v>2000</v>
      </c>
      <c r="U575">
        <v>2000</v>
      </c>
      <c r="V575" t="s">
        <v>92</v>
      </c>
      <c r="W575" t="s">
        <v>93</v>
      </c>
      <c r="X575" t="s">
        <v>94</v>
      </c>
      <c r="Y575" t="s">
        <v>94</v>
      </c>
      <c r="Z575" t="s">
        <v>116</v>
      </c>
      <c r="AA575">
        <v>0</v>
      </c>
      <c r="AB575" t="s">
        <v>97</v>
      </c>
      <c r="AC575" t="s">
        <v>97</v>
      </c>
      <c r="AD575" t="s">
        <v>98</v>
      </c>
      <c r="AE575" t="s">
        <v>96</v>
      </c>
      <c r="AF575" t="s">
        <v>97</v>
      </c>
      <c r="AG575" t="s">
        <v>99</v>
      </c>
      <c r="AH575" t="s">
        <v>101</v>
      </c>
      <c r="AI575">
        <v>0</v>
      </c>
      <c r="AJ575" t="s">
        <v>101</v>
      </c>
      <c r="AK575">
        <v>0</v>
      </c>
      <c r="AL575">
        <v>384</v>
      </c>
      <c r="AM575">
        <v>384</v>
      </c>
      <c r="AN575" t="s">
        <v>102</v>
      </c>
      <c r="AO575" t="s">
        <v>103</v>
      </c>
      <c r="AP575" t="s">
        <v>104</v>
      </c>
      <c r="AQ575" t="s">
        <v>105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97</v>
      </c>
      <c r="BC575">
        <v>8</v>
      </c>
      <c r="BD575" t="s">
        <v>106</v>
      </c>
      <c r="BE575">
        <v>1</v>
      </c>
      <c r="BF575" t="s">
        <v>97</v>
      </c>
      <c r="BG575" t="s">
        <v>155</v>
      </c>
      <c r="BH575">
        <v>2000</v>
      </c>
      <c r="BI575" t="s">
        <v>108</v>
      </c>
      <c r="BJ575">
        <v>2</v>
      </c>
      <c r="BK575">
        <v>400</v>
      </c>
      <c r="BL575" t="s">
        <v>97</v>
      </c>
      <c r="BM575" t="s">
        <v>97</v>
      </c>
      <c r="BN575" t="s">
        <v>104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X575">
        <v>0</v>
      </c>
      <c r="BY575">
        <v>12</v>
      </c>
      <c r="BZ575">
        <v>2007</v>
      </c>
      <c r="CA575" t="s">
        <v>109</v>
      </c>
      <c r="CB575" t="s">
        <v>110</v>
      </c>
      <c r="CC575">
        <v>170000</v>
      </c>
    </row>
    <row r="576" spans="1:81" x14ac:dyDescent="0.3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H576" t="s">
        <v>83</v>
      </c>
      <c r="I576" t="s">
        <v>84</v>
      </c>
      <c r="J576" t="s">
        <v>85</v>
      </c>
      <c r="K576" t="s">
        <v>111</v>
      </c>
      <c r="L576" t="s">
        <v>87</v>
      </c>
      <c r="M576" t="s">
        <v>270</v>
      </c>
      <c r="N576" t="s">
        <v>89</v>
      </c>
      <c r="O576" t="s">
        <v>89</v>
      </c>
      <c r="P576" t="s">
        <v>90</v>
      </c>
      <c r="Q576" t="s">
        <v>196</v>
      </c>
      <c r="R576">
        <v>5</v>
      </c>
      <c r="S576">
        <v>7</v>
      </c>
      <c r="T576">
        <v>1971</v>
      </c>
      <c r="U576">
        <v>2005</v>
      </c>
      <c r="V576" t="s">
        <v>183</v>
      </c>
      <c r="W576" t="s">
        <v>93</v>
      </c>
      <c r="X576" t="s">
        <v>115</v>
      </c>
      <c r="Y576" t="s">
        <v>235</v>
      </c>
      <c r="Z576" t="s">
        <v>95</v>
      </c>
      <c r="AA576">
        <v>82</v>
      </c>
      <c r="AB576" t="s">
        <v>97</v>
      </c>
      <c r="AC576" t="s">
        <v>97</v>
      </c>
      <c r="AD576" t="s">
        <v>117</v>
      </c>
      <c r="AE576" t="s">
        <v>97</v>
      </c>
      <c r="AF576" t="s">
        <v>97</v>
      </c>
      <c r="AG576" t="s">
        <v>129</v>
      </c>
      <c r="AH576" t="s">
        <v>118</v>
      </c>
      <c r="AI576">
        <v>349</v>
      </c>
      <c r="AJ576" t="s">
        <v>101</v>
      </c>
      <c r="AK576">
        <v>0</v>
      </c>
      <c r="AL576">
        <v>23</v>
      </c>
      <c r="AM576">
        <v>372</v>
      </c>
      <c r="AN576" t="s">
        <v>102</v>
      </c>
      <c r="AO576" t="s">
        <v>97</v>
      </c>
      <c r="AP576" t="s">
        <v>104</v>
      </c>
      <c r="AQ576" t="s">
        <v>105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97</v>
      </c>
      <c r="BC576">
        <v>5</v>
      </c>
      <c r="BD576" t="s">
        <v>106</v>
      </c>
      <c r="BE576">
        <v>0</v>
      </c>
      <c r="BG576" t="s">
        <v>155</v>
      </c>
      <c r="BH576">
        <v>1971</v>
      </c>
      <c r="BI576" t="s">
        <v>101</v>
      </c>
      <c r="BJ576">
        <v>1</v>
      </c>
      <c r="BK576">
        <v>288</v>
      </c>
      <c r="BL576" t="s">
        <v>97</v>
      </c>
      <c r="BM576" t="s">
        <v>97</v>
      </c>
      <c r="BN576" t="s">
        <v>104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V576" t="s">
        <v>162</v>
      </c>
      <c r="BX576">
        <v>0</v>
      </c>
      <c r="BY576">
        <v>12</v>
      </c>
      <c r="BZ576">
        <v>2007</v>
      </c>
      <c r="CA576" t="s">
        <v>109</v>
      </c>
      <c r="CB576" t="s">
        <v>110</v>
      </c>
      <c r="CC576">
        <v>139000</v>
      </c>
    </row>
    <row r="577" spans="1:81" x14ac:dyDescent="0.3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H577" t="s">
        <v>83</v>
      </c>
      <c r="I577" t="s">
        <v>84</v>
      </c>
      <c r="J577" t="s">
        <v>85</v>
      </c>
      <c r="K577" t="s">
        <v>86</v>
      </c>
      <c r="L577" t="s">
        <v>87</v>
      </c>
      <c r="M577" t="s">
        <v>270</v>
      </c>
      <c r="N577" t="s">
        <v>89</v>
      </c>
      <c r="O577" t="s">
        <v>89</v>
      </c>
      <c r="P577" t="s">
        <v>90</v>
      </c>
      <c r="Q577" t="s">
        <v>131</v>
      </c>
      <c r="R577">
        <v>5</v>
      </c>
      <c r="S577">
        <v>5</v>
      </c>
      <c r="T577">
        <v>1947</v>
      </c>
      <c r="U577">
        <v>1950</v>
      </c>
      <c r="V577" t="s">
        <v>92</v>
      </c>
      <c r="W577" t="s">
        <v>93</v>
      </c>
      <c r="X577" t="s">
        <v>115</v>
      </c>
      <c r="Y577" t="s">
        <v>115</v>
      </c>
      <c r="Z577" t="s">
        <v>116</v>
      </c>
      <c r="AA577">
        <v>0</v>
      </c>
      <c r="AB577" t="s">
        <v>97</v>
      </c>
      <c r="AC577" t="s">
        <v>97</v>
      </c>
      <c r="AD577" t="s">
        <v>117</v>
      </c>
      <c r="AE577" t="s">
        <v>97</v>
      </c>
      <c r="AF577" t="s">
        <v>97</v>
      </c>
      <c r="AG577" t="s">
        <v>99</v>
      </c>
      <c r="AH577" t="s">
        <v>152</v>
      </c>
      <c r="AI577">
        <v>442</v>
      </c>
      <c r="AJ577" t="s">
        <v>101</v>
      </c>
      <c r="AK577">
        <v>0</v>
      </c>
      <c r="AL577">
        <v>390</v>
      </c>
      <c r="AM577">
        <v>832</v>
      </c>
      <c r="AN577" t="s">
        <v>102</v>
      </c>
      <c r="AO577" t="s">
        <v>97</v>
      </c>
      <c r="AP577" t="s">
        <v>104</v>
      </c>
      <c r="AQ577" t="s">
        <v>105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97</v>
      </c>
      <c r="BC577">
        <v>6</v>
      </c>
      <c r="BD577" t="s">
        <v>106</v>
      </c>
      <c r="BE577">
        <v>0</v>
      </c>
      <c r="BG577" t="s">
        <v>126</v>
      </c>
      <c r="BH577">
        <v>1947</v>
      </c>
      <c r="BI577" t="s">
        <v>101</v>
      </c>
      <c r="BJ577">
        <v>1</v>
      </c>
      <c r="BK577">
        <v>336</v>
      </c>
      <c r="BL577" t="s">
        <v>97</v>
      </c>
      <c r="BM577" t="s">
        <v>97</v>
      </c>
      <c r="BN577" t="s">
        <v>104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X577">
        <v>0</v>
      </c>
      <c r="BY577">
        <v>10</v>
      </c>
      <c r="BZ577">
        <v>2008</v>
      </c>
      <c r="CA577" t="s">
        <v>172</v>
      </c>
      <c r="CB577" t="s">
        <v>127</v>
      </c>
      <c r="CC577">
        <v>118500</v>
      </c>
    </row>
    <row r="578" spans="1:81" x14ac:dyDescent="0.3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H578" t="s">
        <v>83</v>
      </c>
      <c r="I578" t="s">
        <v>84</v>
      </c>
      <c r="J578" t="s">
        <v>85</v>
      </c>
      <c r="K578" t="s">
        <v>86</v>
      </c>
      <c r="L578" t="s">
        <v>87</v>
      </c>
      <c r="M578" t="s">
        <v>231</v>
      </c>
      <c r="N578" t="s">
        <v>89</v>
      </c>
      <c r="O578" t="s">
        <v>89</v>
      </c>
      <c r="P578" t="s">
        <v>90</v>
      </c>
      <c r="Q578" t="s">
        <v>131</v>
      </c>
      <c r="R578">
        <v>7</v>
      </c>
      <c r="S578">
        <v>7</v>
      </c>
      <c r="T578">
        <v>1928</v>
      </c>
      <c r="U578">
        <v>1950</v>
      </c>
      <c r="V578" t="s">
        <v>92</v>
      </c>
      <c r="W578" t="s">
        <v>93</v>
      </c>
      <c r="X578" t="s">
        <v>123</v>
      </c>
      <c r="Y578" t="s">
        <v>123</v>
      </c>
      <c r="Z578" t="s">
        <v>116</v>
      </c>
      <c r="AA578">
        <v>0</v>
      </c>
      <c r="AB578" t="s">
        <v>97</v>
      </c>
      <c r="AC578" t="s">
        <v>97</v>
      </c>
      <c r="AD578" t="s">
        <v>125</v>
      </c>
      <c r="AE578" t="s">
        <v>97</v>
      </c>
      <c r="AF578" t="s">
        <v>97</v>
      </c>
      <c r="AG578" t="s">
        <v>99</v>
      </c>
      <c r="AH578" t="s">
        <v>101</v>
      </c>
      <c r="AI578">
        <v>0</v>
      </c>
      <c r="AJ578" t="s">
        <v>101</v>
      </c>
      <c r="AK578">
        <v>0</v>
      </c>
      <c r="AL578">
        <v>861</v>
      </c>
      <c r="AM578">
        <v>861</v>
      </c>
      <c r="AN578" t="s">
        <v>102</v>
      </c>
      <c r="AO578" t="s">
        <v>96</v>
      </c>
      <c r="AP578" t="s">
        <v>104</v>
      </c>
      <c r="AQ578" t="s">
        <v>105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97</v>
      </c>
      <c r="BC578">
        <v>6</v>
      </c>
      <c r="BD578" t="s">
        <v>106</v>
      </c>
      <c r="BE578">
        <v>1</v>
      </c>
      <c r="BF578" t="s">
        <v>96</v>
      </c>
      <c r="BG578" t="s">
        <v>126</v>
      </c>
      <c r="BH578">
        <v>1928</v>
      </c>
      <c r="BI578" t="s">
        <v>101</v>
      </c>
      <c r="BJ578">
        <v>1</v>
      </c>
      <c r="BK578">
        <v>216</v>
      </c>
      <c r="BL578" t="s">
        <v>97</v>
      </c>
      <c r="BM578" t="s">
        <v>97</v>
      </c>
      <c r="BN578" t="s">
        <v>104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X578">
        <v>0</v>
      </c>
      <c r="BY578">
        <v>8</v>
      </c>
      <c r="BZ578">
        <v>2009</v>
      </c>
      <c r="CA578" t="s">
        <v>109</v>
      </c>
      <c r="CB578" t="s">
        <v>110</v>
      </c>
      <c r="CC578">
        <v>145000</v>
      </c>
    </row>
    <row r="579" spans="1:81" x14ac:dyDescent="0.3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H579" t="s">
        <v>119</v>
      </c>
      <c r="I579" t="s">
        <v>84</v>
      </c>
      <c r="J579" t="s">
        <v>85</v>
      </c>
      <c r="K579" t="s">
        <v>86</v>
      </c>
      <c r="L579" t="s">
        <v>87</v>
      </c>
      <c r="M579" t="s">
        <v>150</v>
      </c>
      <c r="N579" t="s">
        <v>89</v>
      </c>
      <c r="O579" t="s">
        <v>89</v>
      </c>
      <c r="P579" t="s">
        <v>90</v>
      </c>
      <c r="Q579" t="s">
        <v>196</v>
      </c>
      <c r="R579">
        <v>5</v>
      </c>
      <c r="S579">
        <v>6</v>
      </c>
      <c r="T579">
        <v>1966</v>
      </c>
      <c r="U579">
        <v>1966</v>
      </c>
      <c r="V579" t="s">
        <v>92</v>
      </c>
      <c r="W579" t="s">
        <v>93</v>
      </c>
      <c r="X579" t="s">
        <v>94</v>
      </c>
      <c r="Y579" t="s">
        <v>94</v>
      </c>
      <c r="Z579" t="s">
        <v>95</v>
      </c>
      <c r="AA579">
        <v>97</v>
      </c>
      <c r="AB579" t="s">
        <v>97</v>
      </c>
      <c r="AC579" t="s">
        <v>97</v>
      </c>
      <c r="AD579" t="s">
        <v>117</v>
      </c>
      <c r="AE579" t="s">
        <v>97</v>
      </c>
      <c r="AF579" t="s">
        <v>97</v>
      </c>
      <c r="AG579" t="s">
        <v>129</v>
      </c>
      <c r="AH579" t="s">
        <v>171</v>
      </c>
      <c r="AI579">
        <v>328</v>
      </c>
      <c r="AJ579" t="s">
        <v>118</v>
      </c>
      <c r="AK579">
        <v>551</v>
      </c>
      <c r="AL579">
        <v>285</v>
      </c>
      <c r="AM579">
        <v>1164</v>
      </c>
      <c r="AN579" t="s">
        <v>102</v>
      </c>
      <c r="AO579" t="s">
        <v>103</v>
      </c>
      <c r="AP579" t="s">
        <v>104</v>
      </c>
      <c r="AQ579" t="s">
        <v>105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97</v>
      </c>
      <c r="BC579">
        <v>6</v>
      </c>
      <c r="BD579" t="s">
        <v>106</v>
      </c>
      <c r="BE579">
        <v>2</v>
      </c>
      <c r="BF579" t="s">
        <v>146</v>
      </c>
      <c r="BG579" t="s">
        <v>107</v>
      </c>
      <c r="BH579">
        <v>1966</v>
      </c>
      <c r="BI579" t="s">
        <v>108</v>
      </c>
      <c r="BJ579">
        <v>2</v>
      </c>
      <c r="BK579">
        <v>564</v>
      </c>
      <c r="BL579" t="s">
        <v>97</v>
      </c>
      <c r="BM579" t="s">
        <v>97</v>
      </c>
      <c r="BN579" t="s">
        <v>104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X579">
        <v>0</v>
      </c>
      <c r="BY579">
        <v>5</v>
      </c>
      <c r="BZ579">
        <v>2006</v>
      </c>
      <c r="CA579" t="s">
        <v>109</v>
      </c>
      <c r="CB579" t="s">
        <v>127</v>
      </c>
      <c r="CC579">
        <v>164500</v>
      </c>
    </row>
    <row r="580" spans="1:81" x14ac:dyDescent="0.3">
      <c r="A580">
        <v>579</v>
      </c>
      <c r="B580">
        <v>160</v>
      </c>
      <c r="C580" t="s">
        <v>191</v>
      </c>
      <c r="D580">
        <v>34</v>
      </c>
      <c r="E580">
        <v>3604</v>
      </c>
      <c r="F580" t="s">
        <v>82</v>
      </c>
      <c r="G580" t="s">
        <v>82</v>
      </c>
      <c r="H580" t="s">
        <v>83</v>
      </c>
      <c r="I580" t="s">
        <v>84</v>
      </c>
      <c r="J580" t="s">
        <v>85</v>
      </c>
      <c r="K580" t="s">
        <v>121</v>
      </c>
      <c r="L580" t="s">
        <v>87</v>
      </c>
      <c r="M580" t="s">
        <v>135</v>
      </c>
      <c r="N580" t="s">
        <v>89</v>
      </c>
      <c r="O580" t="s">
        <v>89</v>
      </c>
      <c r="P580" t="s">
        <v>178</v>
      </c>
      <c r="Q580" t="s">
        <v>91</v>
      </c>
      <c r="R580">
        <v>7</v>
      </c>
      <c r="S580">
        <v>5</v>
      </c>
      <c r="T580">
        <v>2007</v>
      </c>
      <c r="U580">
        <v>2007</v>
      </c>
      <c r="V580" t="s">
        <v>92</v>
      </c>
      <c r="W580" t="s">
        <v>93</v>
      </c>
      <c r="X580" t="s">
        <v>94</v>
      </c>
      <c r="Y580" t="s">
        <v>94</v>
      </c>
      <c r="Z580" t="s">
        <v>116</v>
      </c>
      <c r="AA580">
        <v>0</v>
      </c>
      <c r="AB580" t="s">
        <v>96</v>
      </c>
      <c r="AC580" t="s">
        <v>97</v>
      </c>
      <c r="AD580" t="s">
        <v>98</v>
      </c>
      <c r="AE580" t="s">
        <v>96</v>
      </c>
      <c r="AF580" t="s">
        <v>97</v>
      </c>
      <c r="AG580" t="s">
        <v>99</v>
      </c>
      <c r="AH580" t="s">
        <v>101</v>
      </c>
      <c r="AI580">
        <v>0</v>
      </c>
      <c r="AJ580" t="s">
        <v>101</v>
      </c>
      <c r="AK580">
        <v>0</v>
      </c>
      <c r="AL580">
        <v>689</v>
      </c>
      <c r="AM580">
        <v>689</v>
      </c>
      <c r="AN580" t="s">
        <v>102</v>
      </c>
      <c r="AO580" t="s">
        <v>103</v>
      </c>
      <c r="AP580" t="s">
        <v>104</v>
      </c>
      <c r="AQ580" t="s">
        <v>105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96</v>
      </c>
      <c r="BC580">
        <v>5</v>
      </c>
      <c r="BD580" t="s">
        <v>106</v>
      </c>
      <c r="BE580">
        <v>0</v>
      </c>
      <c r="BG580" t="s">
        <v>126</v>
      </c>
      <c r="BH580">
        <v>2007</v>
      </c>
      <c r="BI580" t="s">
        <v>101</v>
      </c>
      <c r="BJ580">
        <v>2</v>
      </c>
      <c r="BK580">
        <v>540</v>
      </c>
      <c r="BL580" t="s">
        <v>97</v>
      </c>
      <c r="BM580" t="s">
        <v>97</v>
      </c>
      <c r="BN580" t="s">
        <v>104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X580">
        <v>0</v>
      </c>
      <c r="BY580">
        <v>2</v>
      </c>
      <c r="BZ580">
        <v>2008</v>
      </c>
      <c r="CA580" t="s">
        <v>109</v>
      </c>
      <c r="CB580" t="s">
        <v>127</v>
      </c>
      <c r="CC580">
        <v>146000</v>
      </c>
    </row>
    <row r="581" spans="1:81" x14ac:dyDescent="0.3">
      <c r="A581">
        <v>580</v>
      </c>
      <c r="B581">
        <v>50</v>
      </c>
      <c r="C581" t="s">
        <v>141</v>
      </c>
      <c r="D581">
        <v>81</v>
      </c>
      <c r="E581">
        <v>12150</v>
      </c>
      <c r="F581" t="s">
        <v>82</v>
      </c>
      <c r="G581" t="s">
        <v>173</v>
      </c>
      <c r="H581" t="s">
        <v>83</v>
      </c>
      <c r="I581" t="s">
        <v>84</v>
      </c>
      <c r="J581" t="s">
        <v>85</v>
      </c>
      <c r="K581" t="s">
        <v>86</v>
      </c>
      <c r="L581" t="s">
        <v>87</v>
      </c>
      <c r="M581" t="s">
        <v>142</v>
      </c>
      <c r="N581" t="s">
        <v>89</v>
      </c>
      <c r="O581" t="s">
        <v>89</v>
      </c>
      <c r="P581" t="s">
        <v>90</v>
      </c>
      <c r="Q581" t="s">
        <v>131</v>
      </c>
      <c r="R581">
        <v>5</v>
      </c>
      <c r="S581">
        <v>5</v>
      </c>
      <c r="T581">
        <v>1954</v>
      </c>
      <c r="U581">
        <v>1954</v>
      </c>
      <c r="V581" t="s">
        <v>92</v>
      </c>
      <c r="W581" t="s">
        <v>93</v>
      </c>
      <c r="X581" t="s">
        <v>115</v>
      </c>
      <c r="Y581" t="s">
        <v>115</v>
      </c>
      <c r="Z581" t="s">
        <v>95</v>
      </c>
      <c r="AA581">
        <v>335</v>
      </c>
      <c r="AB581" t="s">
        <v>97</v>
      </c>
      <c r="AC581" t="s">
        <v>97</v>
      </c>
      <c r="AD581" t="s">
        <v>125</v>
      </c>
      <c r="AE581" t="s">
        <v>97</v>
      </c>
      <c r="AF581" t="s">
        <v>97</v>
      </c>
      <c r="AG581" t="s">
        <v>99</v>
      </c>
      <c r="AH581" t="s">
        <v>101</v>
      </c>
      <c r="AI581">
        <v>0</v>
      </c>
      <c r="AJ581" t="s">
        <v>101</v>
      </c>
      <c r="AK581">
        <v>0</v>
      </c>
      <c r="AL581">
        <v>1050</v>
      </c>
      <c r="AM581">
        <v>1050</v>
      </c>
      <c r="AN581" t="s">
        <v>102</v>
      </c>
      <c r="AO581" t="s">
        <v>103</v>
      </c>
      <c r="AP581" t="s">
        <v>176</v>
      </c>
      <c r="AQ581" t="s">
        <v>144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97</v>
      </c>
      <c r="BC581">
        <v>7</v>
      </c>
      <c r="BD581" t="s">
        <v>106</v>
      </c>
      <c r="BE581">
        <v>0</v>
      </c>
      <c r="BG581" t="s">
        <v>107</v>
      </c>
      <c r="BH581">
        <v>1954</v>
      </c>
      <c r="BI581" t="s">
        <v>101</v>
      </c>
      <c r="BJ581">
        <v>1</v>
      </c>
      <c r="BK581">
        <v>352</v>
      </c>
      <c r="BL581" t="s">
        <v>146</v>
      </c>
      <c r="BM581" t="s">
        <v>97</v>
      </c>
      <c r="BN581" t="s">
        <v>104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X581">
        <v>0</v>
      </c>
      <c r="BY581">
        <v>11</v>
      </c>
      <c r="BZ581">
        <v>2008</v>
      </c>
      <c r="CA581" t="s">
        <v>109</v>
      </c>
      <c r="CB581" t="s">
        <v>110</v>
      </c>
      <c r="CC581">
        <v>131500</v>
      </c>
    </row>
    <row r="582" spans="1:81" x14ac:dyDescent="0.3">
      <c r="A582">
        <v>581</v>
      </c>
      <c r="B582">
        <v>20</v>
      </c>
      <c r="C582" t="s">
        <v>81</v>
      </c>
      <c r="E582">
        <v>14585</v>
      </c>
      <c r="F582" t="s">
        <v>82</v>
      </c>
      <c r="H582" t="s">
        <v>119</v>
      </c>
      <c r="I582" t="s">
        <v>84</v>
      </c>
      <c r="J582" t="s">
        <v>85</v>
      </c>
      <c r="K582" t="s">
        <v>165</v>
      </c>
      <c r="L582" t="s">
        <v>87</v>
      </c>
      <c r="M582" t="s">
        <v>270</v>
      </c>
      <c r="N582" t="s">
        <v>89</v>
      </c>
      <c r="O582" t="s">
        <v>89</v>
      </c>
      <c r="P582" t="s">
        <v>90</v>
      </c>
      <c r="Q582" t="s">
        <v>114</v>
      </c>
      <c r="R582">
        <v>6</v>
      </c>
      <c r="S582">
        <v>6</v>
      </c>
      <c r="T582">
        <v>1960</v>
      </c>
      <c r="U582">
        <v>1987</v>
      </c>
      <c r="V582" t="s">
        <v>92</v>
      </c>
      <c r="W582" t="s">
        <v>93</v>
      </c>
      <c r="X582" t="s">
        <v>123</v>
      </c>
      <c r="Y582" t="s">
        <v>123</v>
      </c>
      <c r="Z582" t="s">
        <v>95</v>
      </c>
      <c r="AA582">
        <v>85</v>
      </c>
      <c r="AB582" t="s">
        <v>97</v>
      </c>
      <c r="AC582" t="s">
        <v>97</v>
      </c>
      <c r="AD582" t="s">
        <v>117</v>
      </c>
      <c r="AE582" t="s">
        <v>97</v>
      </c>
      <c r="AF582" t="s">
        <v>97</v>
      </c>
      <c r="AG582" t="s">
        <v>99</v>
      </c>
      <c r="AH582" t="s">
        <v>140</v>
      </c>
      <c r="AI582">
        <v>594</v>
      </c>
      <c r="AJ582" t="s">
        <v>152</v>
      </c>
      <c r="AK582">
        <v>219</v>
      </c>
      <c r="AL582">
        <v>331</v>
      </c>
      <c r="AM582">
        <v>1144</v>
      </c>
      <c r="AN582" t="s">
        <v>102</v>
      </c>
      <c r="AO582" t="s">
        <v>103</v>
      </c>
      <c r="AP582" t="s">
        <v>104</v>
      </c>
      <c r="AQ582" t="s">
        <v>105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96</v>
      </c>
      <c r="BC582">
        <v>7</v>
      </c>
      <c r="BD582" t="s">
        <v>106</v>
      </c>
      <c r="BE582">
        <v>2</v>
      </c>
      <c r="BF582" t="s">
        <v>96</v>
      </c>
      <c r="BG582" t="s">
        <v>107</v>
      </c>
      <c r="BH582">
        <v>1960</v>
      </c>
      <c r="BI582" t="s">
        <v>101</v>
      </c>
      <c r="BJ582">
        <v>2</v>
      </c>
      <c r="BK582">
        <v>572</v>
      </c>
      <c r="BL582" t="s">
        <v>97</v>
      </c>
      <c r="BM582" t="s">
        <v>97</v>
      </c>
      <c r="BN582" t="s">
        <v>104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X582">
        <v>0</v>
      </c>
      <c r="BY582">
        <v>6</v>
      </c>
      <c r="BZ582">
        <v>2007</v>
      </c>
      <c r="CA582" t="s">
        <v>109</v>
      </c>
      <c r="CB582" t="s">
        <v>110</v>
      </c>
      <c r="CC582">
        <v>181900</v>
      </c>
    </row>
    <row r="583" spans="1:81" x14ac:dyDescent="0.3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H583" t="s">
        <v>83</v>
      </c>
      <c r="I583" t="s">
        <v>84</v>
      </c>
      <c r="J583" t="s">
        <v>85</v>
      </c>
      <c r="K583" t="s">
        <v>86</v>
      </c>
      <c r="L583" t="s">
        <v>87</v>
      </c>
      <c r="M583" t="s">
        <v>153</v>
      </c>
      <c r="N583" t="s">
        <v>89</v>
      </c>
      <c r="O583" t="s">
        <v>89</v>
      </c>
      <c r="P583" t="s">
        <v>90</v>
      </c>
      <c r="Q583" t="s">
        <v>114</v>
      </c>
      <c r="R583">
        <v>8</v>
      </c>
      <c r="S583">
        <v>5</v>
      </c>
      <c r="T583">
        <v>2008</v>
      </c>
      <c r="U583">
        <v>2009</v>
      </c>
      <c r="V583" t="s">
        <v>151</v>
      </c>
      <c r="W583" t="s">
        <v>93</v>
      </c>
      <c r="X583" t="s">
        <v>94</v>
      </c>
      <c r="Y583" t="s">
        <v>94</v>
      </c>
      <c r="Z583" t="s">
        <v>95</v>
      </c>
      <c r="AA583">
        <v>306</v>
      </c>
      <c r="AB583" t="s">
        <v>103</v>
      </c>
      <c r="AC583" t="s">
        <v>97</v>
      </c>
      <c r="AD583" t="s">
        <v>98</v>
      </c>
      <c r="AE583" t="s">
        <v>103</v>
      </c>
      <c r="AF583" t="s">
        <v>97</v>
      </c>
      <c r="AG583" t="s">
        <v>99</v>
      </c>
      <c r="AH583" t="s">
        <v>101</v>
      </c>
      <c r="AI583">
        <v>0</v>
      </c>
      <c r="AJ583" t="s">
        <v>101</v>
      </c>
      <c r="AK583">
        <v>0</v>
      </c>
      <c r="AL583">
        <v>2042</v>
      </c>
      <c r="AM583">
        <v>2042</v>
      </c>
      <c r="AN583" t="s">
        <v>102</v>
      </c>
      <c r="AO583" t="s">
        <v>103</v>
      </c>
      <c r="AP583" t="s">
        <v>104</v>
      </c>
      <c r="AQ583" t="s">
        <v>105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103</v>
      </c>
      <c r="BC583">
        <v>8</v>
      </c>
      <c r="BD583" t="s">
        <v>106</v>
      </c>
      <c r="BE583">
        <v>1</v>
      </c>
      <c r="BF583" t="s">
        <v>96</v>
      </c>
      <c r="BG583" t="s">
        <v>107</v>
      </c>
      <c r="BH583">
        <v>2009</v>
      </c>
      <c r="BI583" t="s">
        <v>108</v>
      </c>
      <c r="BJ583">
        <v>3</v>
      </c>
      <c r="BK583">
        <v>1390</v>
      </c>
      <c r="BL583" t="s">
        <v>97</v>
      </c>
      <c r="BM583" t="s">
        <v>97</v>
      </c>
      <c r="BN583" t="s">
        <v>104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X583">
        <v>0</v>
      </c>
      <c r="BY583">
        <v>8</v>
      </c>
      <c r="BZ583">
        <v>2009</v>
      </c>
      <c r="CA583" t="s">
        <v>157</v>
      </c>
      <c r="CB583" t="s">
        <v>158</v>
      </c>
      <c r="CC583">
        <v>253293</v>
      </c>
    </row>
    <row r="584" spans="1:81" x14ac:dyDescent="0.3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173</v>
      </c>
      <c r="H584" t="s">
        <v>83</v>
      </c>
      <c r="I584" t="s">
        <v>84</v>
      </c>
      <c r="J584" t="s">
        <v>85</v>
      </c>
      <c r="K584" t="s">
        <v>86</v>
      </c>
      <c r="L584" t="s">
        <v>87</v>
      </c>
      <c r="M584" t="s">
        <v>184</v>
      </c>
      <c r="N584" t="s">
        <v>89</v>
      </c>
      <c r="O584" t="s">
        <v>89</v>
      </c>
      <c r="P584" t="s">
        <v>166</v>
      </c>
      <c r="Q584" t="s">
        <v>190</v>
      </c>
      <c r="R584">
        <v>6</v>
      </c>
      <c r="S584">
        <v>5</v>
      </c>
      <c r="T584">
        <v>1990</v>
      </c>
      <c r="U584">
        <v>1990</v>
      </c>
      <c r="V584" t="s">
        <v>92</v>
      </c>
      <c r="W584" t="s">
        <v>93</v>
      </c>
      <c r="X584" t="s">
        <v>139</v>
      </c>
      <c r="Y584" t="s">
        <v>139</v>
      </c>
      <c r="Z584" t="s">
        <v>95</v>
      </c>
      <c r="AA584">
        <v>104</v>
      </c>
      <c r="AB584" t="s">
        <v>97</v>
      </c>
      <c r="AC584" t="s">
        <v>96</v>
      </c>
      <c r="AD584" t="s">
        <v>117</v>
      </c>
      <c r="AE584" t="s">
        <v>96</v>
      </c>
      <c r="AF584" t="s">
        <v>97</v>
      </c>
      <c r="AG584" t="s">
        <v>129</v>
      </c>
      <c r="AH584" t="s">
        <v>100</v>
      </c>
      <c r="AI584">
        <v>816</v>
      </c>
      <c r="AJ584" t="s">
        <v>101</v>
      </c>
      <c r="AK584">
        <v>0</v>
      </c>
      <c r="AL584">
        <v>0</v>
      </c>
      <c r="AM584">
        <v>816</v>
      </c>
      <c r="AN584" t="s">
        <v>102</v>
      </c>
      <c r="AO584" t="s">
        <v>97</v>
      </c>
      <c r="AP584" t="s">
        <v>104</v>
      </c>
      <c r="AQ584" t="s">
        <v>105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97</v>
      </c>
      <c r="BC584">
        <v>5</v>
      </c>
      <c r="BD584" t="s">
        <v>106</v>
      </c>
      <c r="BE584">
        <v>0</v>
      </c>
      <c r="BJ584">
        <v>0</v>
      </c>
      <c r="BK584">
        <v>0</v>
      </c>
      <c r="BN584" t="s">
        <v>104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X584">
        <v>0</v>
      </c>
      <c r="BY584">
        <v>5</v>
      </c>
      <c r="BZ584">
        <v>2007</v>
      </c>
      <c r="CA584" t="s">
        <v>109</v>
      </c>
      <c r="CB584" t="s">
        <v>110</v>
      </c>
      <c r="CC584">
        <v>118500</v>
      </c>
    </row>
    <row r="585" spans="1:81" x14ac:dyDescent="0.3">
      <c r="A585">
        <v>584</v>
      </c>
      <c r="B585">
        <v>75</v>
      </c>
      <c r="C585" t="s">
        <v>141</v>
      </c>
      <c r="D585">
        <v>75</v>
      </c>
      <c r="E585">
        <v>13500</v>
      </c>
      <c r="F585" t="s">
        <v>82</v>
      </c>
      <c r="H585" t="s">
        <v>83</v>
      </c>
      <c r="I585" t="s">
        <v>84</v>
      </c>
      <c r="J585" t="s">
        <v>85</v>
      </c>
      <c r="K585" t="s">
        <v>86</v>
      </c>
      <c r="L585" t="s">
        <v>87</v>
      </c>
      <c r="M585" t="s">
        <v>142</v>
      </c>
      <c r="N585" t="s">
        <v>143</v>
      </c>
      <c r="O585" t="s">
        <v>203</v>
      </c>
      <c r="P585" t="s">
        <v>90</v>
      </c>
      <c r="Q585" t="s">
        <v>200</v>
      </c>
      <c r="R585">
        <v>10</v>
      </c>
      <c r="S585">
        <v>9</v>
      </c>
      <c r="T585">
        <v>1893</v>
      </c>
      <c r="U585">
        <v>2000</v>
      </c>
      <c r="V585" t="s">
        <v>92</v>
      </c>
      <c r="W585" t="s">
        <v>93</v>
      </c>
      <c r="X585" t="s">
        <v>123</v>
      </c>
      <c r="Y585" t="s">
        <v>123</v>
      </c>
      <c r="Z585" t="s">
        <v>116</v>
      </c>
      <c r="AA585">
        <v>0</v>
      </c>
      <c r="AB585" t="s">
        <v>103</v>
      </c>
      <c r="AC585" t="s">
        <v>103</v>
      </c>
      <c r="AD585" t="s">
        <v>125</v>
      </c>
      <c r="AE585" t="s">
        <v>97</v>
      </c>
      <c r="AF585" t="s">
        <v>97</v>
      </c>
      <c r="AG585" t="s">
        <v>99</v>
      </c>
      <c r="AH585" t="s">
        <v>101</v>
      </c>
      <c r="AI585">
        <v>0</v>
      </c>
      <c r="AJ585" t="s">
        <v>101</v>
      </c>
      <c r="AK585">
        <v>0</v>
      </c>
      <c r="AL585">
        <v>1237</v>
      </c>
      <c r="AM585">
        <v>1237</v>
      </c>
      <c r="AN585" t="s">
        <v>102</v>
      </c>
      <c r="AO585" t="s">
        <v>96</v>
      </c>
      <c r="AP585" t="s">
        <v>104</v>
      </c>
      <c r="AQ585" t="s">
        <v>105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96</v>
      </c>
      <c r="BC585">
        <v>9</v>
      </c>
      <c r="BD585" t="s">
        <v>106</v>
      </c>
      <c r="BE585">
        <v>1</v>
      </c>
      <c r="BF585" t="s">
        <v>96</v>
      </c>
      <c r="BG585" t="s">
        <v>126</v>
      </c>
      <c r="BH585">
        <v>1988</v>
      </c>
      <c r="BI585" t="s">
        <v>101</v>
      </c>
      <c r="BJ585">
        <v>2</v>
      </c>
      <c r="BK585">
        <v>880</v>
      </c>
      <c r="BL585" t="s">
        <v>96</v>
      </c>
      <c r="BM585" t="s">
        <v>97</v>
      </c>
      <c r="BN585" t="s">
        <v>104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X585">
        <v>0</v>
      </c>
      <c r="BY585">
        <v>7</v>
      </c>
      <c r="BZ585">
        <v>2008</v>
      </c>
      <c r="CA585" t="s">
        <v>109</v>
      </c>
      <c r="CB585" t="s">
        <v>110</v>
      </c>
      <c r="CC585">
        <v>325000</v>
      </c>
    </row>
    <row r="586" spans="1:81" x14ac:dyDescent="0.3">
      <c r="A586">
        <v>585</v>
      </c>
      <c r="B586">
        <v>50</v>
      </c>
      <c r="C586" t="s">
        <v>141</v>
      </c>
      <c r="D586">
        <v>51</v>
      </c>
      <c r="E586">
        <v>6120</v>
      </c>
      <c r="F586" t="s">
        <v>82</v>
      </c>
      <c r="H586" t="s">
        <v>83</v>
      </c>
      <c r="I586" t="s">
        <v>84</v>
      </c>
      <c r="J586" t="s">
        <v>85</v>
      </c>
      <c r="K586" t="s">
        <v>86</v>
      </c>
      <c r="L586" t="s">
        <v>87</v>
      </c>
      <c r="M586" t="s">
        <v>147</v>
      </c>
      <c r="N586" t="s">
        <v>89</v>
      </c>
      <c r="O586" t="s">
        <v>89</v>
      </c>
      <c r="P586" t="s">
        <v>90</v>
      </c>
      <c r="Q586" t="s">
        <v>131</v>
      </c>
      <c r="R586">
        <v>4</v>
      </c>
      <c r="S586">
        <v>7</v>
      </c>
      <c r="T586">
        <v>1935</v>
      </c>
      <c r="U586">
        <v>1995</v>
      </c>
      <c r="V586" t="s">
        <v>92</v>
      </c>
      <c r="W586" t="s">
        <v>93</v>
      </c>
      <c r="X586" t="s">
        <v>185</v>
      </c>
      <c r="Y586" t="s">
        <v>185</v>
      </c>
      <c r="Z586" t="s">
        <v>116</v>
      </c>
      <c r="AA586">
        <v>0</v>
      </c>
      <c r="AB586" t="s">
        <v>97</v>
      </c>
      <c r="AC586" t="s">
        <v>97</v>
      </c>
      <c r="AD586" t="s">
        <v>125</v>
      </c>
      <c r="AE586" t="s">
        <v>97</v>
      </c>
      <c r="AF586" t="s">
        <v>97</v>
      </c>
      <c r="AG586" t="s">
        <v>99</v>
      </c>
      <c r="AH586" t="s">
        <v>101</v>
      </c>
      <c r="AI586">
        <v>0</v>
      </c>
      <c r="AJ586" t="s">
        <v>101</v>
      </c>
      <c r="AK586">
        <v>0</v>
      </c>
      <c r="AL586">
        <v>884</v>
      </c>
      <c r="AM586">
        <v>884</v>
      </c>
      <c r="AN586" t="s">
        <v>102</v>
      </c>
      <c r="AO586" t="s">
        <v>103</v>
      </c>
      <c r="AP586" t="s">
        <v>104</v>
      </c>
      <c r="AQ586" t="s">
        <v>105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96</v>
      </c>
      <c r="BC586">
        <v>6</v>
      </c>
      <c r="BD586" t="s">
        <v>106</v>
      </c>
      <c r="BE586">
        <v>0</v>
      </c>
      <c r="BG586" t="s">
        <v>126</v>
      </c>
      <c r="BH586">
        <v>1935</v>
      </c>
      <c r="BI586" t="s">
        <v>101</v>
      </c>
      <c r="BJ586">
        <v>1</v>
      </c>
      <c r="BK586">
        <v>240</v>
      </c>
      <c r="BL586" t="s">
        <v>97</v>
      </c>
      <c r="BM586" t="s">
        <v>97</v>
      </c>
      <c r="BN586" t="s">
        <v>104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X586">
        <v>0</v>
      </c>
      <c r="BY586">
        <v>7</v>
      </c>
      <c r="BZ586">
        <v>2009</v>
      </c>
      <c r="CA586" t="s">
        <v>109</v>
      </c>
      <c r="CB586" t="s">
        <v>110</v>
      </c>
      <c r="CC586">
        <v>133000</v>
      </c>
    </row>
    <row r="587" spans="1:81" x14ac:dyDescent="0.3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H587" t="s">
        <v>83</v>
      </c>
      <c r="I587" t="s">
        <v>84</v>
      </c>
      <c r="J587" t="s">
        <v>85</v>
      </c>
      <c r="K587" t="s">
        <v>86</v>
      </c>
      <c r="L587" t="s">
        <v>87</v>
      </c>
      <c r="M587" t="s">
        <v>188</v>
      </c>
      <c r="N587" t="s">
        <v>89</v>
      </c>
      <c r="O587" t="s">
        <v>89</v>
      </c>
      <c r="P587" t="s">
        <v>90</v>
      </c>
      <c r="Q587" t="s">
        <v>114</v>
      </c>
      <c r="R587">
        <v>8</v>
      </c>
      <c r="S587">
        <v>5</v>
      </c>
      <c r="T587">
        <v>2005</v>
      </c>
      <c r="U587">
        <v>2006</v>
      </c>
      <c r="V587" t="s">
        <v>151</v>
      </c>
      <c r="W587" t="s">
        <v>93</v>
      </c>
      <c r="X587" t="s">
        <v>94</v>
      </c>
      <c r="Y587" t="s">
        <v>94</v>
      </c>
      <c r="Z587" t="s">
        <v>95</v>
      </c>
      <c r="AA587">
        <v>208</v>
      </c>
      <c r="AB587" t="s">
        <v>96</v>
      </c>
      <c r="AC587" t="s">
        <v>97</v>
      </c>
      <c r="AD587" t="s">
        <v>98</v>
      </c>
      <c r="AE587" t="s">
        <v>103</v>
      </c>
      <c r="AF587" t="s">
        <v>97</v>
      </c>
      <c r="AG587" t="s">
        <v>96</v>
      </c>
      <c r="AH587" t="s">
        <v>100</v>
      </c>
      <c r="AI587">
        <v>1460</v>
      </c>
      <c r="AJ587" t="s">
        <v>101</v>
      </c>
      <c r="AK587">
        <v>0</v>
      </c>
      <c r="AL587">
        <v>408</v>
      </c>
      <c r="AM587">
        <v>1868</v>
      </c>
      <c r="AN587" t="s">
        <v>102</v>
      </c>
      <c r="AO587" t="s">
        <v>103</v>
      </c>
      <c r="AP587" t="s">
        <v>104</v>
      </c>
      <c r="AQ587" t="s">
        <v>105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96</v>
      </c>
      <c r="BC587">
        <v>7</v>
      </c>
      <c r="BD587" t="s">
        <v>106</v>
      </c>
      <c r="BE587">
        <v>2</v>
      </c>
      <c r="BF587" t="s">
        <v>96</v>
      </c>
      <c r="BG587" t="s">
        <v>107</v>
      </c>
      <c r="BH587">
        <v>2005</v>
      </c>
      <c r="BI587" t="s">
        <v>108</v>
      </c>
      <c r="BJ587">
        <v>3</v>
      </c>
      <c r="BK587">
        <v>880</v>
      </c>
      <c r="BL587" t="s">
        <v>97</v>
      </c>
      <c r="BM587" t="s">
        <v>97</v>
      </c>
      <c r="BN587" t="s">
        <v>104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X587">
        <v>0</v>
      </c>
      <c r="BY587">
        <v>3</v>
      </c>
      <c r="BZ587">
        <v>2006</v>
      </c>
      <c r="CA587" t="s">
        <v>157</v>
      </c>
      <c r="CB587" t="s">
        <v>158</v>
      </c>
      <c r="CC587">
        <v>369900</v>
      </c>
    </row>
    <row r="588" spans="1:81" x14ac:dyDescent="0.3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H588" t="s">
        <v>83</v>
      </c>
      <c r="I588" t="s">
        <v>84</v>
      </c>
      <c r="J588" t="s">
        <v>85</v>
      </c>
      <c r="K588" t="s">
        <v>86</v>
      </c>
      <c r="L588" t="s">
        <v>87</v>
      </c>
      <c r="M588" t="s">
        <v>147</v>
      </c>
      <c r="N588" t="s">
        <v>201</v>
      </c>
      <c r="O588" t="s">
        <v>89</v>
      </c>
      <c r="P588" t="s">
        <v>90</v>
      </c>
      <c r="Q588" t="s">
        <v>114</v>
      </c>
      <c r="R588">
        <v>6</v>
      </c>
      <c r="S588">
        <v>7</v>
      </c>
      <c r="T588">
        <v>1918</v>
      </c>
      <c r="U588">
        <v>2000</v>
      </c>
      <c r="V588" t="s">
        <v>92</v>
      </c>
      <c r="W588" t="s">
        <v>93</v>
      </c>
      <c r="X588" t="s">
        <v>202</v>
      </c>
      <c r="Y588" t="s">
        <v>124</v>
      </c>
      <c r="Z588" t="s">
        <v>116</v>
      </c>
      <c r="AA588">
        <v>0</v>
      </c>
      <c r="AB588" t="s">
        <v>97</v>
      </c>
      <c r="AC588" t="s">
        <v>96</v>
      </c>
      <c r="AD588" t="s">
        <v>125</v>
      </c>
      <c r="AE588" t="s">
        <v>97</v>
      </c>
      <c r="AF588" t="s">
        <v>96</v>
      </c>
      <c r="AG588" t="s">
        <v>120</v>
      </c>
      <c r="AH588" t="s">
        <v>152</v>
      </c>
      <c r="AI588">
        <v>210</v>
      </c>
      <c r="AJ588" t="s">
        <v>118</v>
      </c>
      <c r="AK588">
        <v>606</v>
      </c>
      <c r="AL588">
        <v>0</v>
      </c>
      <c r="AM588">
        <v>816</v>
      </c>
      <c r="AN588" t="s">
        <v>102</v>
      </c>
      <c r="AO588" t="s">
        <v>103</v>
      </c>
      <c r="AP588" t="s">
        <v>104</v>
      </c>
      <c r="AQ588" t="s">
        <v>105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146</v>
      </c>
      <c r="BC588">
        <v>5</v>
      </c>
      <c r="BD588" t="s">
        <v>106</v>
      </c>
      <c r="BE588">
        <v>0</v>
      </c>
      <c r="BG588" t="s">
        <v>126</v>
      </c>
      <c r="BH588">
        <v>1961</v>
      </c>
      <c r="BI588" t="s">
        <v>156</v>
      </c>
      <c r="BJ588">
        <v>1</v>
      </c>
      <c r="BK588">
        <v>275</v>
      </c>
      <c r="BL588" t="s">
        <v>97</v>
      </c>
      <c r="BM588" t="s">
        <v>97</v>
      </c>
      <c r="BN588" t="s">
        <v>176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V588" t="s">
        <v>217</v>
      </c>
      <c r="BX588">
        <v>0</v>
      </c>
      <c r="BY588">
        <v>5</v>
      </c>
      <c r="BZ588">
        <v>2008</v>
      </c>
      <c r="CA588" t="s">
        <v>109</v>
      </c>
      <c r="CB588" t="s">
        <v>110</v>
      </c>
      <c r="CC588">
        <v>130000</v>
      </c>
    </row>
    <row r="589" spans="1:81" x14ac:dyDescent="0.3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H589" t="s">
        <v>119</v>
      </c>
      <c r="I589" t="s">
        <v>84</v>
      </c>
      <c r="J589" t="s">
        <v>85</v>
      </c>
      <c r="K589" t="s">
        <v>86</v>
      </c>
      <c r="L589" t="s">
        <v>87</v>
      </c>
      <c r="M589" t="s">
        <v>150</v>
      </c>
      <c r="N589" t="s">
        <v>89</v>
      </c>
      <c r="O589" t="s">
        <v>89</v>
      </c>
      <c r="P589" t="s">
        <v>90</v>
      </c>
      <c r="Q589" t="s">
        <v>190</v>
      </c>
      <c r="R589">
        <v>5</v>
      </c>
      <c r="S589">
        <v>6</v>
      </c>
      <c r="T589">
        <v>1982</v>
      </c>
      <c r="U589">
        <v>1982</v>
      </c>
      <c r="V589" t="s">
        <v>151</v>
      </c>
      <c r="W589" t="s">
        <v>93</v>
      </c>
      <c r="X589" t="s">
        <v>139</v>
      </c>
      <c r="Y589" t="s">
        <v>139</v>
      </c>
      <c r="Z589" t="s">
        <v>116</v>
      </c>
      <c r="AA589">
        <v>0</v>
      </c>
      <c r="AB589" t="s">
        <v>97</v>
      </c>
      <c r="AC589" t="s">
        <v>97</v>
      </c>
      <c r="AD589" t="s">
        <v>117</v>
      </c>
      <c r="AE589" t="s">
        <v>97</v>
      </c>
      <c r="AF589" t="s">
        <v>97</v>
      </c>
      <c r="AG589" t="s">
        <v>129</v>
      </c>
      <c r="AH589" t="s">
        <v>118</v>
      </c>
      <c r="AI589">
        <v>672</v>
      </c>
      <c r="AJ589" t="s">
        <v>101</v>
      </c>
      <c r="AK589">
        <v>0</v>
      </c>
      <c r="AL589">
        <v>168</v>
      </c>
      <c r="AM589">
        <v>840</v>
      </c>
      <c r="AN589" t="s">
        <v>102</v>
      </c>
      <c r="AO589" t="s">
        <v>97</v>
      </c>
      <c r="AP589" t="s">
        <v>104</v>
      </c>
      <c r="AQ589" t="s">
        <v>105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97</v>
      </c>
      <c r="BC589">
        <v>4</v>
      </c>
      <c r="BD589" t="s">
        <v>106</v>
      </c>
      <c r="BE589">
        <v>0</v>
      </c>
      <c r="BG589" t="s">
        <v>126</v>
      </c>
      <c r="BH589">
        <v>1996</v>
      </c>
      <c r="BI589" t="s">
        <v>101</v>
      </c>
      <c r="BJ589">
        <v>2</v>
      </c>
      <c r="BK589">
        <v>528</v>
      </c>
      <c r="BL589" t="s">
        <v>97</v>
      </c>
      <c r="BM589" t="s">
        <v>97</v>
      </c>
      <c r="BN589" t="s">
        <v>104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X589">
        <v>0</v>
      </c>
      <c r="BY589">
        <v>7</v>
      </c>
      <c r="BZ589">
        <v>2009</v>
      </c>
      <c r="CA589" t="s">
        <v>109</v>
      </c>
      <c r="CB589" t="s">
        <v>110</v>
      </c>
      <c r="CC589">
        <v>137000</v>
      </c>
    </row>
    <row r="590" spans="1:81" x14ac:dyDescent="0.3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H590" t="s">
        <v>119</v>
      </c>
      <c r="I590" t="s">
        <v>194</v>
      </c>
      <c r="J590" t="s">
        <v>85</v>
      </c>
      <c r="K590" t="s">
        <v>86</v>
      </c>
      <c r="L590" t="s">
        <v>212</v>
      </c>
      <c r="M590" t="s">
        <v>204</v>
      </c>
      <c r="N590" t="s">
        <v>89</v>
      </c>
      <c r="O590" t="s">
        <v>89</v>
      </c>
      <c r="P590" t="s">
        <v>90</v>
      </c>
      <c r="Q590" t="s">
        <v>114</v>
      </c>
      <c r="R590">
        <v>5</v>
      </c>
      <c r="S590">
        <v>8</v>
      </c>
      <c r="T590">
        <v>1968</v>
      </c>
      <c r="U590">
        <v>2003</v>
      </c>
      <c r="V590" t="s">
        <v>213</v>
      </c>
      <c r="W590" t="s">
        <v>241</v>
      </c>
      <c r="X590" t="s">
        <v>123</v>
      </c>
      <c r="Y590" t="s">
        <v>123</v>
      </c>
      <c r="Z590" t="s">
        <v>116</v>
      </c>
      <c r="AA590">
        <v>0</v>
      </c>
      <c r="AB590" t="s">
        <v>97</v>
      </c>
      <c r="AC590" t="s">
        <v>97</v>
      </c>
      <c r="AD590" t="s">
        <v>117</v>
      </c>
      <c r="AE590" t="s">
        <v>97</v>
      </c>
      <c r="AF590" t="s">
        <v>97</v>
      </c>
      <c r="AG590" t="s">
        <v>96</v>
      </c>
      <c r="AH590" t="s">
        <v>100</v>
      </c>
      <c r="AI590">
        <v>1324</v>
      </c>
      <c r="AJ590" t="s">
        <v>101</v>
      </c>
      <c r="AK590">
        <v>0</v>
      </c>
      <c r="AL590">
        <v>113</v>
      </c>
      <c r="AM590">
        <v>1437</v>
      </c>
      <c r="AN590" t="s">
        <v>102</v>
      </c>
      <c r="AO590" t="s">
        <v>103</v>
      </c>
      <c r="AP590" t="s">
        <v>104</v>
      </c>
      <c r="AQ590" t="s">
        <v>105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103</v>
      </c>
      <c r="BC590">
        <v>5</v>
      </c>
      <c r="BD590" t="s">
        <v>106</v>
      </c>
      <c r="BE590">
        <v>2</v>
      </c>
      <c r="BF590" t="s">
        <v>96</v>
      </c>
      <c r="BG590" t="s">
        <v>107</v>
      </c>
      <c r="BH590">
        <v>1968</v>
      </c>
      <c r="BI590" t="s">
        <v>101</v>
      </c>
      <c r="BJ590">
        <v>1</v>
      </c>
      <c r="BK590">
        <v>452</v>
      </c>
      <c r="BL590" t="s">
        <v>97</v>
      </c>
      <c r="BM590" t="s">
        <v>97</v>
      </c>
      <c r="BN590" t="s">
        <v>104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X590">
        <v>0</v>
      </c>
      <c r="BY590">
        <v>6</v>
      </c>
      <c r="BZ590">
        <v>2009</v>
      </c>
      <c r="CA590" t="s">
        <v>109</v>
      </c>
      <c r="CB590" t="s">
        <v>158</v>
      </c>
      <c r="CC590">
        <v>143000</v>
      </c>
    </row>
    <row r="591" spans="1:81" x14ac:dyDescent="0.3">
      <c r="A591">
        <v>590</v>
      </c>
      <c r="B591">
        <v>40</v>
      </c>
      <c r="C591" t="s">
        <v>141</v>
      </c>
      <c r="D591">
        <v>50</v>
      </c>
      <c r="E591">
        <v>9100</v>
      </c>
      <c r="F591" t="s">
        <v>82</v>
      </c>
      <c r="H591" t="s">
        <v>83</v>
      </c>
      <c r="I591" t="s">
        <v>84</v>
      </c>
      <c r="J591" t="s">
        <v>85</v>
      </c>
      <c r="K591" t="s">
        <v>86</v>
      </c>
      <c r="L591" t="s">
        <v>87</v>
      </c>
      <c r="M591" t="s">
        <v>147</v>
      </c>
      <c r="N591" t="s">
        <v>201</v>
      </c>
      <c r="O591" t="s">
        <v>113</v>
      </c>
      <c r="P591" t="s">
        <v>90</v>
      </c>
      <c r="Q591" t="s">
        <v>114</v>
      </c>
      <c r="R591">
        <v>5</v>
      </c>
      <c r="S591">
        <v>6</v>
      </c>
      <c r="T591">
        <v>1930</v>
      </c>
      <c r="U591">
        <v>1960</v>
      </c>
      <c r="V591" t="s">
        <v>92</v>
      </c>
      <c r="W591" t="s">
        <v>93</v>
      </c>
      <c r="X591" t="s">
        <v>94</v>
      </c>
      <c r="Y591" t="s">
        <v>94</v>
      </c>
      <c r="Z591" t="s">
        <v>116</v>
      </c>
      <c r="AA591">
        <v>0</v>
      </c>
      <c r="AB591" t="s">
        <v>97</v>
      </c>
      <c r="AC591" t="s">
        <v>97</v>
      </c>
      <c r="AD591" t="s">
        <v>125</v>
      </c>
      <c r="AE591" t="s">
        <v>97</v>
      </c>
      <c r="AF591" t="s">
        <v>97</v>
      </c>
      <c r="AG591" t="s">
        <v>99</v>
      </c>
      <c r="AH591" t="s">
        <v>101</v>
      </c>
      <c r="AI591">
        <v>0</v>
      </c>
      <c r="AJ591" t="s">
        <v>101</v>
      </c>
      <c r="AK591">
        <v>0</v>
      </c>
      <c r="AL591">
        <v>742</v>
      </c>
      <c r="AM591">
        <v>742</v>
      </c>
      <c r="AN591" t="s">
        <v>102</v>
      </c>
      <c r="AO591" t="s">
        <v>97</v>
      </c>
      <c r="AP591" t="s">
        <v>104</v>
      </c>
      <c r="AQ591" t="s">
        <v>163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97</v>
      </c>
      <c r="BC591">
        <v>4</v>
      </c>
      <c r="BD591" t="s">
        <v>106</v>
      </c>
      <c r="BE591">
        <v>0</v>
      </c>
      <c r="BG591" t="s">
        <v>126</v>
      </c>
      <c r="BH591">
        <v>1988</v>
      </c>
      <c r="BI591" t="s">
        <v>101</v>
      </c>
      <c r="BJ591">
        <v>1</v>
      </c>
      <c r="BK591">
        <v>308</v>
      </c>
      <c r="BL591" t="s">
        <v>97</v>
      </c>
      <c r="BM591" t="s">
        <v>97</v>
      </c>
      <c r="BN591" t="s">
        <v>189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W591" t="s">
        <v>134</v>
      </c>
      <c r="BX591">
        <v>600</v>
      </c>
      <c r="BY591">
        <v>8</v>
      </c>
      <c r="BZ591">
        <v>2008</v>
      </c>
      <c r="CA591" t="s">
        <v>109</v>
      </c>
      <c r="CB591" t="s">
        <v>110</v>
      </c>
      <c r="CC591">
        <v>79500</v>
      </c>
    </row>
    <row r="592" spans="1:81" x14ac:dyDescent="0.3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H592" t="s">
        <v>83</v>
      </c>
      <c r="I592" t="s">
        <v>84</v>
      </c>
      <c r="J592" t="s">
        <v>85</v>
      </c>
      <c r="K592" t="s">
        <v>86</v>
      </c>
      <c r="L592" t="s">
        <v>87</v>
      </c>
      <c r="M592" t="s">
        <v>88</v>
      </c>
      <c r="N592" t="s">
        <v>89</v>
      </c>
      <c r="O592" t="s">
        <v>89</v>
      </c>
      <c r="P592" t="s">
        <v>90</v>
      </c>
      <c r="Q592" t="s">
        <v>91</v>
      </c>
      <c r="R592">
        <v>7</v>
      </c>
      <c r="S592">
        <v>5</v>
      </c>
      <c r="T592">
        <v>2004</v>
      </c>
      <c r="U592">
        <v>2004</v>
      </c>
      <c r="V592" t="s">
        <v>92</v>
      </c>
      <c r="W592" t="s">
        <v>93</v>
      </c>
      <c r="X592" t="s">
        <v>94</v>
      </c>
      <c r="Y592" t="s">
        <v>94</v>
      </c>
      <c r="Z592" t="s">
        <v>116</v>
      </c>
      <c r="AA592">
        <v>0</v>
      </c>
      <c r="AB592" t="s">
        <v>96</v>
      </c>
      <c r="AC592" t="s">
        <v>97</v>
      </c>
      <c r="AD592" t="s">
        <v>98</v>
      </c>
      <c r="AE592" t="s">
        <v>96</v>
      </c>
      <c r="AF592" t="s">
        <v>97</v>
      </c>
      <c r="AG592" t="s">
        <v>99</v>
      </c>
      <c r="AH592" t="s">
        <v>100</v>
      </c>
      <c r="AI592">
        <v>490</v>
      </c>
      <c r="AJ592" t="s">
        <v>101</v>
      </c>
      <c r="AK592">
        <v>0</v>
      </c>
      <c r="AL592">
        <v>280</v>
      </c>
      <c r="AM592">
        <v>770</v>
      </c>
      <c r="AN592" t="s">
        <v>102</v>
      </c>
      <c r="AO592" t="s">
        <v>103</v>
      </c>
      <c r="AP592" t="s">
        <v>104</v>
      </c>
      <c r="AQ592" t="s">
        <v>105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96</v>
      </c>
      <c r="BC592">
        <v>6</v>
      </c>
      <c r="BD592" t="s">
        <v>106</v>
      </c>
      <c r="BE592">
        <v>0</v>
      </c>
      <c r="BG592" t="s">
        <v>107</v>
      </c>
      <c r="BH592">
        <v>2004</v>
      </c>
      <c r="BI592" t="s">
        <v>108</v>
      </c>
      <c r="BJ592">
        <v>2</v>
      </c>
      <c r="BK592">
        <v>520</v>
      </c>
      <c r="BL592" t="s">
        <v>97</v>
      </c>
      <c r="BM592" t="s">
        <v>97</v>
      </c>
      <c r="BN592" t="s">
        <v>104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X592">
        <v>0</v>
      </c>
      <c r="BY592">
        <v>9</v>
      </c>
      <c r="BZ592">
        <v>2008</v>
      </c>
      <c r="CA592" t="s">
        <v>109</v>
      </c>
      <c r="CB592" t="s">
        <v>110</v>
      </c>
      <c r="CC592">
        <v>185900</v>
      </c>
    </row>
    <row r="593" spans="1:81" x14ac:dyDescent="0.3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H593" t="s">
        <v>119</v>
      </c>
      <c r="I593" t="s">
        <v>84</v>
      </c>
      <c r="J593" t="s">
        <v>85</v>
      </c>
      <c r="K593" t="s">
        <v>121</v>
      </c>
      <c r="L593" t="s">
        <v>87</v>
      </c>
      <c r="M593" t="s">
        <v>153</v>
      </c>
      <c r="N593" t="s">
        <v>89</v>
      </c>
      <c r="O593" t="s">
        <v>89</v>
      </c>
      <c r="P593" t="s">
        <v>90</v>
      </c>
      <c r="Q593" t="s">
        <v>91</v>
      </c>
      <c r="R593">
        <v>10</v>
      </c>
      <c r="S593">
        <v>5</v>
      </c>
      <c r="T593">
        <v>2008</v>
      </c>
      <c r="U593">
        <v>2008</v>
      </c>
      <c r="V593" t="s">
        <v>92</v>
      </c>
      <c r="W593" t="s">
        <v>93</v>
      </c>
      <c r="X593" t="s">
        <v>179</v>
      </c>
      <c r="Y593" t="s">
        <v>180</v>
      </c>
      <c r="Z593" t="s">
        <v>136</v>
      </c>
      <c r="AA593">
        <v>420</v>
      </c>
      <c r="AB593" t="s">
        <v>103</v>
      </c>
      <c r="AC593" t="s">
        <v>97</v>
      </c>
      <c r="AD593" t="s">
        <v>98</v>
      </c>
      <c r="AE593" t="s">
        <v>103</v>
      </c>
      <c r="AF593" t="s">
        <v>97</v>
      </c>
      <c r="AG593" t="s">
        <v>96</v>
      </c>
      <c r="AH593" t="s">
        <v>100</v>
      </c>
      <c r="AI593">
        <v>1338</v>
      </c>
      <c r="AJ593" t="s">
        <v>101</v>
      </c>
      <c r="AK593">
        <v>0</v>
      </c>
      <c r="AL593">
        <v>384</v>
      </c>
      <c r="AM593">
        <v>1722</v>
      </c>
      <c r="AN593" t="s">
        <v>102</v>
      </c>
      <c r="AO593" t="s">
        <v>103</v>
      </c>
      <c r="AP593" t="s">
        <v>104</v>
      </c>
      <c r="AQ593" t="s">
        <v>105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103</v>
      </c>
      <c r="BC593">
        <v>10</v>
      </c>
      <c r="BD593" t="s">
        <v>106</v>
      </c>
      <c r="BE593">
        <v>1</v>
      </c>
      <c r="BF593" t="s">
        <v>96</v>
      </c>
      <c r="BG593" t="s">
        <v>155</v>
      </c>
      <c r="BH593">
        <v>2008</v>
      </c>
      <c r="BI593" t="s">
        <v>108</v>
      </c>
      <c r="BJ593">
        <v>3</v>
      </c>
      <c r="BK593">
        <v>842</v>
      </c>
      <c r="BL593" t="s">
        <v>97</v>
      </c>
      <c r="BM593" t="s">
        <v>97</v>
      </c>
      <c r="BN593" t="s">
        <v>104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X593">
        <v>0</v>
      </c>
      <c r="BY593">
        <v>6</v>
      </c>
      <c r="BZ593">
        <v>2009</v>
      </c>
      <c r="CA593" t="s">
        <v>219</v>
      </c>
      <c r="CB593" t="s">
        <v>110</v>
      </c>
      <c r="CC593">
        <v>451950</v>
      </c>
    </row>
    <row r="594" spans="1:81" x14ac:dyDescent="0.3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H594" t="s">
        <v>83</v>
      </c>
      <c r="I594" t="s">
        <v>84</v>
      </c>
      <c r="J594" t="s">
        <v>85</v>
      </c>
      <c r="K594" t="s">
        <v>86</v>
      </c>
      <c r="L594" t="s">
        <v>87</v>
      </c>
      <c r="M594" t="s">
        <v>130</v>
      </c>
      <c r="N594" t="s">
        <v>89</v>
      </c>
      <c r="O594" t="s">
        <v>89</v>
      </c>
      <c r="P594" t="s">
        <v>90</v>
      </c>
      <c r="Q594" t="s">
        <v>114</v>
      </c>
      <c r="R594">
        <v>5</v>
      </c>
      <c r="S594">
        <v>8</v>
      </c>
      <c r="T594">
        <v>1982</v>
      </c>
      <c r="U594">
        <v>2003</v>
      </c>
      <c r="V594" t="s">
        <v>92</v>
      </c>
      <c r="W594" t="s">
        <v>93</v>
      </c>
      <c r="X594" t="s">
        <v>139</v>
      </c>
      <c r="Y594" t="s">
        <v>139</v>
      </c>
      <c r="Z594" t="s">
        <v>116</v>
      </c>
      <c r="AA594">
        <v>0</v>
      </c>
      <c r="AB594" t="s">
        <v>97</v>
      </c>
      <c r="AC594" t="s">
        <v>96</v>
      </c>
      <c r="AD594" t="s">
        <v>98</v>
      </c>
      <c r="AE594" t="s">
        <v>97</v>
      </c>
      <c r="AF594" t="s">
        <v>96</v>
      </c>
      <c r="AG594" t="s">
        <v>99</v>
      </c>
      <c r="AH594" t="s">
        <v>100</v>
      </c>
      <c r="AI594">
        <v>816</v>
      </c>
      <c r="AJ594" t="s">
        <v>101</v>
      </c>
      <c r="AK594">
        <v>0</v>
      </c>
      <c r="AL594">
        <v>0</v>
      </c>
      <c r="AM594">
        <v>816</v>
      </c>
      <c r="AN594" t="s">
        <v>102</v>
      </c>
      <c r="AO594" t="s">
        <v>103</v>
      </c>
      <c r="AP594" t="s">
        <v>104</v>
      </c>
      <c r="AQ594" t="s">
        <v>105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97</v>
      </c>
      <c r="BC594">
        <v>4</v>
      </c>
      <c r="BD594" t="s">
        <v>106</v>
      </c>
      <c r="BE594">
        <v>0</v>
      </c>
      <c r="BG594" t="s">
        <v>126</v>
      </c>
      <c r="BH594">
        <v>1985</v>
      </c>
      <c r="BI594" t="s">
        <v>156</v>
      </c>
      <c r="BJ594">
        <v>2</v>
      </c>
      <c r="BK594">
        <v>816</v>
      </c>
      <c r="BL594" t="s">
        <v>97</v>
      </c>
      <c r="BM594" t="s">
        <v>97</v>
      </c>
      <c r="BN594" t="s">
        <v>104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X594">
        <v>0</v>
      </c>
      <c r="BY594">
        <v>6</v>
      </c>
      <c r="BZ594">
        <v>2008</v>
      </c>
      <c r="CA594" t="s">
        <v>109</v>
      </c>
      <c r="CB594" t="s">
        <v>110</v>
      </c>
      <c r="CC594">
        <v>138000</v>
      </c>
    </row>
    <row r="595" spans="1:81" x14ac:dyDescent="0.3">
      <c r="A595">
        <v>594</v>
      </c>
      <c r="B595">
        <v>120</v>
      </c>
      <c r="C595" t="s">
        <v>141</v>
      </c>
      <c r="E595">
        <v>4435</v>
      </c>
      <c r="F595" t="s">
        <v>82</v>
      </c>
      <c r="H595" t="s">
        <v>83</v>
      </c>
      <c r="I595" t="s">
        <v>84</v>
      </c>
      <c r="J595" t="s">
        <v>85</v>
      </c>
      <c r="K595" t="s">
        <v>86</v>
      </c>
      <c r="L595" t="s">
        <v>87</v>
      </c>
      <c r="M595" t="s">
        <v>88</v>
      </c>
      <c r="N595" t="s">
        <v>89</v>
      </c>
      <c r="O595" t="s">
        <v>89</v>
      </c>
      <c r="P595" t="s">
        <v>178</v>
      </c>
      <c r="Q595" t="s">
        <v>114</v>
      </c>
      <c r="R595">
        <v>6</v>
      </c>
      <c r="S595">
        <v>5</v>
      </c>
      <c r="T595">
        <v>2003</v>
      </c>
      <c r="U595">
        <v>2003</v>
      </c>
      <c r="V595" t="s">
        <v>92</v>
      </c>
      <c r="W595" t="s">
        <v>93</v>
      </c>
      <c r="X595" t="s">
        <v>94</v>
      </c>
      <c r="Y595" t="s">
        <v>94</v>
      </c>
      <c r="Z595" t="s">
        <v>95</v>
      </c>
      <c r="AA595">
        <v>170</v>
      </c>
      <c r="AB595" t="s">
        <v>96</v>
      </c>
      <c r="AC595" t="s">
        <v>97</v>
      </c>
      <c r="AD595" t="s">
        <v>98</v>
      </c>
      <c r="AE595" t="s">
        <v>96</v>
      </c>
      <c r="AF595" t="s">
        <v>97</v>
      </c>
      <c r="AG595" t="s">
        <v>129</v>
      </c>
      <c r="AH595" t="s">
        <v>100</v>
      </c>
      <c r="AI595">
        <v>685</v>
      </c>
      <c r="AJ595" t="s">
        <v>101</v>
      </c>
      <c r="AK595">
        <v>0</v>
      </c>
      <c r="AL595">
        <v>163</v>
      </c>
      <c r="AM595">
        <v>848</v>
      </c>
      <c r="AN595" t="s">
        <v>102</v>
      </c>
      <c r="AO595" t="s">
        <v>103</v>
      </c>
      <c r="AP595" t="s">
        <v>104</v>
      </c>
      <c r="AQ595" t="s">
        <v>105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96</v>
      </c>
      <c r="BC595">
        <v>4</v>
      </c>
      <c r="BD595" t="s">
        <v>106</v>
      </c>
      <c r="BE595">
        <v>0</v>
      </c>
      <c r="BG595" t="s">
        <v>107</v>
      </c>
      <c r="BH595">
        <v>2003</v>
      </c>
      <c r="BI595" t="s">
        <v>156</v>
      </c>
      <c r="BJ595">
        <v>2</v>
      </c>
      <c r="BK595">
        <v>420</v>
      </c>
      <c r="BL595" t="s">
        <v>97</v>
      </c>
      <c r="BM595" t="s">
        <v>97</v>
      </c>
      <c r="BN595" t="s">
        <v>104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X595">
        <v>0</v>
      </c>
      <c r="BY595">
        <v>5</v>
      </c>
      <c r="BZ595">
        <v>2009</v>
      </c>
      <c r="CA595" t="s">
        <v>109</v>
      </c>
      <c r="CB595" t="s">
        <v>110</v>
      </c>
      <c r="CC595">
        <v>140000</v>
      </c>
    </row>
    <row r="596" spans="1:81" x14ac:dyDescent="0.3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H596" t="s">
        <v>119</v>
      </c>
      <c r="I596" t="s">
        <v>84</v>
      </c>
      <c r="J596" t="s">
        <v>85</v>
      </c>
      <c r="K596" t="s">
        <v>86</v>
      </c>
      <c r="L596" t="s">
        <v>87</v>
      </c>
      <c r="M596" t="s">
        <v>88</v>
      </c>
      <c r="N596" t="s">
        <v>89</v>
      </c>
      <c r="O596" t="s">
        <v>89</v>
      </c>
      <c r="P596" t="s">
        <v>90</v>
      </c>
      <c r="Q596" t="s">
        <v>114</v>
      </c>
      <c r="R596">
        <v>5</v>
      </c>
      <c r="S596">
        <v>6</v>
      </c>
      <c r="T596">
        <v>1975</v>
      </c>
      <c r="U596">
        <v>1975</v>
      </c>
      <c r="V596" t="s">
        <v>151</v>
      </c>
      <c r="W596" t="s">
        <v>93</v>
      </c>
      <c r="X596" t="s">
        <v>139</v>
      </c>
      <c r="Y596" t="s">
        <v>139</v>
      </c>
      <c r="Z596" t="s">
        <v>116</v>
      </c>
      <c r="AA596">
        <v>0</v>
      </c>
      <c r="AB596" t="s">
        <v>97</v>
      </c>
      <c r="AC596" t="s">
        <v>97</v>
      </c>
      <c r="AD596" t="s">
        <v>117</v>
      </c>
      <c r="AE596" t="s">
        <v>96</v>
      </c>
      <c r="AF596" t="s">
        <v>97</v>
      </c>
      <c r="AG596" t="s">
        <v>99</v>
      </c>
      <c r="AH596" t="s">
        <v>101</v>
      </c>
      <c r="AI596">
        <v>0</v>
      </c>
      <c r="AJ596" t="s">
        <v>101</v>
      </c>
      <c r="AK596">
        <v>0</v>
      </c>
      <c r="AL596">
        <v>924</v>
      </c>
      <c r="AM596">
        <v>924</v>
      </c>
      <c r="AN596" t="s">
        <v>102</v>
      </c>
      <c r="AO596" t="s">
        <v>97</v>
      </c>
      <c r="AP596" t="s">
        <v>104</v>
      </c>
      <c r="AQ596" t="s">
        <v>105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97</v>
      </c>
      <c r="BC596">
        <v>5</v>
      </c>
      <c r="BD596" t="s">
        <v>106</v>
      </c>
      <c r="BE596">
        <v>0</v>
      </c>
      <c r="BG596" t="s">
        <v>126</v>
      </c>
      <c r="BH596">
        <v>1981</v>
      </c>
      <c r="BI596" t="s">
        <v>101</v>
      </c>
      <c r="BJ596">
        <v>1</v>
      </c>
      <c r="BK596">
        <v>280</v>
      </c>
      <c r="BL596" t="s">
        <v>97</v>
      </c>
      <c r="BM596" t="s">
        <v>97</v>
      </c>
      <c r="BN596" t="s">
        <v>104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V596" t="s">
        <v>133</v>
      </c>
      <c r="BX596">
        <v>0</v>
      </c>
      <c r="BY596">
        <v>4</v>
      </c>
      <c r="BZ596">
        <v>2008</v>
      </c>
      <c r="CA596" t="s">
        <v>109</v>
      </c>
      <c r="CB596" t="s">
        <v>110</v>
      </c>
      <c r="CC596">
        <v>110000</v>
      </c>
    </row>
    <row r="597" spans="1:81" x14ac:dyDescent="0.3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H597" t="s">
        <v>119</v>
      </c>
      <c r="I597" t="s">
        <v>84</v>
      </c>
      <c r="J597" t="s">
        <v>85</v>
      </c>
      <c r="K597" t="s">
        <v>86</v>
      </c>
      <c r="L597" t="s">
        <v>87</v>
      </c>
      <c r="M597" t="s">
        <v>199</v>
      </c>
      <c r="N597" t="s">
        <v>89</v>
      </c>
      <c r="O597" t="s">
        <v>89</v>
      </c>
      <c r="P597" t="s">
        <v>90</v>
      </c>
      <c r="Q597" t="s">
        <v>114</v>
      </c>
      <c r="R597">
        <v>8</v>
      </c>
      <c r="S597">
        <v>5</v>
      </c>
      <c r="T597">
        <v>2005</v>
      </c>
      <c r="U597">
        <v>2006</v>
      </c>
      <c r="V597" t="s">
        <v>92</v>
      </c>
      <c r="W597" t="s">
        <v>93</v>
      </c>
      <c r="X597" t="s">
        <v>94</v>
      </c>
      <c r="Y597" t="s">
        <v>245</v>
      </c>
      <c r="Z597" t="s">
        <v>95</v>
      </c>
      <c r="AA597">
        <v>238</v>
      </c>
      <c r="AB597" t="s">
        <v>96</v>
      </c>
      <c r="AC597" t="s">
        <v>97</v>
      </c>
      <c r="AD597" t="s">
        <v>98</v>
      </c>
      <c r="AE597" t="s">
        <v>96</v>
      </c>
      <c r="AF597" t="s">
        <v>97</v>
      </c>
      <c r="AG597" t="s">
        <v>96</v>
      </c>
      <c r="AH597" t="s">
        <v>100</v>
      </c>
      <c r="AI597">
        <v>1422</v>
      </c>
      <c r="AJ597" t="s">
        <v>101</v>
      </c>
      <c r="AK597">
        <v>0</v>
      </c>
      <c r="AL597">
        <v>392</v>
      </c>
      <c r="AM597">
        <v>1814</v>
      </c>
      <c r="AN597" t="s">
        <v>102</v>
      </c>
      <c r="AO597" t="s">
        <v>103</v>
      </c>
      <c r="AP597" t="s">
        <v>104</v>
      </c>
      <c r="AQ597" t="s">
        <v>105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96</v>
      </c>
      <c r="BC597">
        <v>7</v>
      </c>
      <c r="BD597" t="s">
        <v>106</v>
      </c>
      <c r="BE597">
        <v>1</v>
      </c>
      <c r="BF597" t="s">
        <v>97</v>
      </c>
      <c r="BG597" t="s">
        <v>107</v>
      </c>
      <c r="BH597">
        <v>2005</v>
      </c>
      <c r="BI597" t="s">
        <v>156</v>
      </c>
      <c r="BJ597">
        <v>3</v>
      </c>
      <c r="BK597">
        <v>758</v>
      </c>
      <c r="BL597" t="s">
        <v>97</v>
      </c>
      <c r="BM597" t="s">
        <v>97</v>
      </c>
      <c r="BN597" t="s">
        <v>104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X597">
        <v>0</v>
      </c>
      <c r="BY597">
        <v>8</v>
      </c>
      <c r="BZ597">
        <v>2006</v>
      </c>
      <c r="CA597" t="s">
        <v>157</v>
      </c>
      <c r="CB597" t="s">
        <v>158</v>
      </c>
      <c r="CC597">
        <v>319000</v>
      </c>
    </row>
    <row r="598" spans="1:81" x14ac:dyDescent="0.3">
      <c r="A598">
        <v>597</v>
      </c>
      <c r="B598">
        <v>70</v>
      </c>
      <c r="C598" t="s">
        <v>141</v>
      </c>
      <c r="D598">
        <v>60</v>
      </c>
      <c r="E598">
        <v>3600</v>
      </c>
      <c r="F598" t="s">
        <v>82</v>
      </c>
      <c r="G598" t="s">
        <v>173</v>
      </c>
      <c r="H598" t="s">
        <v>83</v>
      </c>
      <c r="I598" t="s">
        <v>84</v>
      </c>
      <c r="J598" t="s">
        <v>85</v>
      </c>
      <c r="K598" t="s">
        <v>86</v>
      </c>
      <c r="L598" t="s">
        <v>87</v>
      </c>
      <c r="M598" t="s">
        <v>142</v>
      </c>
      <c r="N598" t="s">
        <v>89</v>
      </c>
      <c r="O598" t="s">
        <v>89</v>
      </c>
      <c r="P598" t="s">
        <v>90</v>
      </c>
      <c r="Q598" t="s">
        <v>91</v>
      </c>
      <c r="R598">
        <v>6</v>
      </c>
      <c r="S598">
        <v>7</v>
      </c>
      <c r="T598">
        <v>1910</v>
      </c>
      <c r="U598">
        <v>1993</v>
      </c>
      <c r="V598" t="s">
        <v>92</v>
      </c>
      <c r="W598" t="s">
        <v>93</v>
      </c>
      <c r="X598" t="s">
        <v>94</v>
      </c>
      <c r="Y598" t="s">
        <v>94</v>
      </c>
      <c r="Z598" t="s">
        <v>116</v>
      </c>
      <c r="AA598">
        <v>0</v>
      </c>
      <c r="AB598" t="s">
        <v>97</v>
      </c>
      <c r="AC598" t="s">
        <v>97</v>
      </c>
      <c r="AD598" t="s">
        <v>117</v>
      </c>
      <c r="AE598" t="s">
        <v>97</v>
      </c>
      <c r="AF598" t="s">
        <v>97</v>
      </c>
      <c r="AG598" t="s">
        <v>99</v>
      </c>
      <c r="AH598" t="s">
        <v>101</v>
      </c>
      <c r="AI598">
        <v>0</v>
      </c>
      <c r="AJ598" t="s">
        <v>101</v>
      </c>
      <c r="AK598">
        <v>0</v>
      </c>
      <c r="AL598">
        <v>684</v>
      </c>
      <c r="AM598">
        <v>684</v>
      </c>
      <c r="AN598" t="s">
        <v>102</v>
      </c>
      <c r="AO598" t="s">
        <v>103</v>
      </c>
      <c r="AP598" t="s">
        <v>176</v>
      </c>
      <c r="AQ598" t="s">
        <v>163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97</v>
      </c>
      <c r="BC598">
        <v>7</v>
      </c>
      <c r="BD598" t="s">
        <v>106</v>
      </c>
      <c r="BE598">
        <v>0</v>
      </c>
      <c r="BG598" t="s">
        <v>126</v>
      </c>
      <c r="BH598">
        <v>1930</v>
      </c>
      <c r="BI598" t="s">
        <v>101</v>
      </c>
      <c r="BJ598">
        <v>1</v>
      </c>
      <c r="BK598">
        <v>216</v>
      </c>
      <c r="BL598" t="s">
        <v>97</v>
      </c>
      <c r="BM598" t="s">
        <v>146</v>
      </c>
      <c r="BN598" t="s">
        <v>176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X598">
        <v>0</v>
      </c>
      <c r="BY598">
        <v>10</v>
      </c>
      <c r="BZ598">
        <v>2006</v>
      </c>
      <c r="CA598" t="s">
        <v>109</v>
      </c>
      <c r="CB598" t="s">
        <v>110</v>
      </c>
      <c r="CC598">
        <v>114504</v>
      </c>
    </row>
    <row r="599" spans="1:81" x14ac:dyDescent="0.3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H599" t="s">
        <v>83</v>
      </c>
      <c r="I599" t="s">
        <v>84</v>
      </c>
      <c r="J599" t="s">
        <v>85</v>
      </c>
      <c r="K599" t="s">
        <v>86</v>
      </c>
      <c r="L599" t="s">
        <v>87</v>
      </c>
      <c r="M599" t="s">
        <v>226</v>
      </c>
      <c r="N599" t="s">
        <v>89</v>
      </c>
      <c r="O599" t="s">
        <v>89</v>
      </c>
      <c r="P599" t="s">
        <v>178</v>
      </c>
      <c r="Q599" t="s">
        <v>114</v>
      </c>
      <c r="R599">
        <v>7</v>
      </c>
      <c r="S599">
        <v>5</v>
      </c>
      <c r="T599">
        <v>2006</v>
      </c>
      <c r="U599">
        <v>2007</v>
      </c>
      <c r="V599" t="s">
        <v>92</v>
      </c>
      <c r="W599" t="s">
        <v>93</v>
      </c>
      <c r="X599" t="s">
        <v>94</v>
      </c>
      <c r="Y599" t="s">
        <v>94</v>
      </c>
      <c r="Z599" t="s">
        <v>95</v>
      </c>
      <c r="AA599">
        <v>72</v>
      </c>
      <c r="AB599" t="s">
        <v>96</v>
      </c>
      <c r="AC599" t="s">
        <v>97</v>
      </c>
      <c r="AD599" t="s">
        <v>98</v>
      </c>
      <c r="AE599" t="s">
        <v>103</v>
      </c>
      <c r="AF599" t="s">
        <v>97</v>
      </c>
      <c r="AG599" t="s">
        <v>129</v>
      </c>
      <c r="AH599" t="s">
        <v>101</v>
      </c>
      <c r="AI599">
        <v>0</v>
      </c>
      <c r="AJ599" t="s">
        <v>101</v>
      </c>
      <c r="AK599">
        <v>0</v>
      </c>
      <c r="AL599">
        <v>1258</v>
      </c>
      <c r="AM599">
        <v>1258</v>
      </c>
      <c r="AN599" t="s">
        <v>102</v>
      </c>
      <c r="AO599" t="s">
        <v>103</v>
      </c>
      <c r="AP599" t="s">
        <v>104</v>
      </c>
      <c r="AQ599" t="s">
        <v>105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96</v>
      </c>
      <c r="BC599">
        <v>7</v>
      </c>
      <c r="BD599" t="s">
        <v>106</v>
      </c>
      <c r="BE599">
        <v>1</v>
      </c>
      <c r="BF599" t="s">
        <v>96</v>
      </c>
      <c r="BG599" t="s">
        <v>107</v>
      </c>
      <c r="BH599">
        <v>2006</v>
      </c>
      <c r="BI599" t="s">
        <v>156</v>
      </c>
      <c r="BJ599">
        <v>3</v>
      </c>
      <c r="BK599">
        <v>648</v>
      </c>
      <c r="BL599" t="s">
        <v>97</v>
      </c>
      <c r="BM599" t="s">
        <v>97</v>
      </c>
      <c r="BN599" t="s">
        <v>104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X599">
        <v>0</v>
      </c>
      <c r="BY599">
        <v>2</v>
      </c>
      <c r="BZ599">
        <v>2007</v>
      </c>
      <c r="CA599" t="s">
        <v>157</v>
      </c>
      <c r="CB599" t="s">
        <v>158</v>
      </c>
      <c r="CC599">
        <v>194201</v>
      </c>
    </row>
    <row r="600" spans="1:81" x14ac:dyDescent="0.3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H600" t="s">
        <v>83</v>
      </c>
      <c r="I600" t="s">
        <v>174</v>
      </c>
      <c r="J600" t="s">
        <v>85</v>
      </c>
      <c r="K600" t="s">
        <v>86</v>
      </c>
      <c r="L600" t="s">
        <v>87</v>
      </c>
      <c r="M600" t="s">
        <v>122</v>
      </c>
      <c r="N600" t="s">
        <v>89</v>
      </c>
      <c r="O600" t="s">
        <v>89</v>
      </c>
      <c r="P600" t="s">
        <v>90</v>
      </c>
      <c r="Q600" t="s">
        <v>114</v>
      </c>
      <c r="R600">
        <v>5</v>
      </c>
      <c r="S600">
        <v>6</v>
      </c>
      <c r="T600">
        <v>1977</v>
      </c>
      <c r="U600">
        <v>1977</v>
      </c>
      <c r="V600" t="s">
        <v>92</v>
      </c>
      <c r="W600" t="s">
        <v>93</v>
      </c>
      <c r="X600" t="s">
        <v>160</v>
      </c>
      <c r="Y600" t="s">
        <v>160</v>
      </c>
      <c r="Z600" t="s">
        <v>95</v>
      </c>
      <c r="AA600">
        <v>459</v>
      </c>
      <c r="AB600" t="s">
        <v>97</v>
      </c>
      <c r="AC600" t="s">
        <v>97</v>
      </c>
      <c r="AD600" t="s">
        <v>117</v>
      </c>
      <c r="AE600" t="s">
        <v>96</v>
      </c>
      <c r="AF600" t="s">
        <v>97</v>
      </c>
      <c r="AG600" t="s">
        <v>120</v>
      </c>
      <c r="AH600" t="s">
        <v>118</v>
      </c>
      <c r="AI600">
        <v>1283</v>
      </c>
      <c r="AJ600" t="s">
        <v>171</v>
      </c>
      <c r="AK600">
        <v>147</v>
      </c>
      <c r="AL600">
        <v>0</v>
      </c>
      <c r="AM600">
        <v>1430</v>
      </c>
      <c r="AN600" t="s">
        <v>102</v>
      </c>
      <c r="AO600" t="s">
        <v>103</v>
      </c>
      <c r="AP600" t="s">
        <v>104</v>
      </c>
      <c r="AQ600" t="s">
        <v>105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96</v>
      </c>
      <c r="BC600">
        <v>7</v>
      </c>
      <c r="BD600" t="s">
        <v>106</v>
      </c>
      <c r="BE600">
        <v>1</v>
      </c>
      <c r="BF600" t="s">
        <v>97</v>
      </c>
      <c r="BG600" t="s">
        <v>107</v>
      </c>
      <c r="BH600">
        <v>1977</v>
      </c>
      <c r="BI600" t="s">
        <v>156</v>
      </c>
      <c r="BJ600">
        <v>2</v>
      </c>
      <c r="BK600">
        <v>621</v>
      </c>
      <c r="BL600" t="s">
        <v>97</v>
      </c>
      <c r="BM600" t="s">
        <v>97</v>
      </c>
      <c r="BN600" t="s">
        <v>104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X600">
        <v>0</v>
      </c>
      <c r="BY600">
        <v>3</v>
      </c>
      <c r="BZ600">
        <v>2006</v>
      </c>
      <c r="CA600" t="s">
        <v>109</v>
      </c>
      <c r="CB600" t="s">
        <v>110</v>
      </c>
      <c r="CC600">
        <v>217500</v>
      </c>
    </row>
    <row r="601" spans="1:81" x14ac:dyDescent="0.3">
      <c r="A601">
        <v>600</v>
      </c>
      <c r="B601">
        <v>160</v>
      </c>
      <c r="C601" t="s">
        <v>141</v>
      </c>
      <c r="D601">
        <v>24</v>
      </c>
      <c r="E601">
        <v>1950</v>
      </c>
      <c r="F601" t="s">
        <v>82</v>
      </c>
      <c r="H601" t="s">
        <v>83</v>
      </c>
      <c r="I601" t="s">
        <v>84</v>
      </c>
      <c r="J601" t="s">
        <v>85</v>
      </c>
      <c r="K601" t="s">
        <v>86</v>
      </c>
      <c r="L601" t="s">
        <v>87</v>
      </c>
      <c r="M601" t="s">
        <v>246</v>
      </c>
      <c r="N601" t="s">
        <v>89</v>
      </c>
      <c r="O601" t="s">
        <v>89</v>
      </c>
      <c r="P601" t="s">
        <v>197</v>
      </c>
      <c r="Q601" t="s">
        <v>91</v>
      </c>
      <c r="R601">
        <v>6</v>
      </c>
      <c r="S601">
        <v>6</v>
      </c>
      <c r="T601">
        <v>1980</v>
      </c>
      <c r="U601">
        <v>1980</v>
      </c>
      <c r="V601" t="s">
        <v>92</v>
      </c>
      <c r="W601" t="s">
        <v>93</v>
      </c>
      <c r="X601" t="s">
        <v>115</v>
      </c>
      <c r="Y601" t="s">
        <v>115</v>
      </c>
      <c r="Z601" t="s">
        <v>116</v>
      </c>
      <c r="AA601">
        <v>0</v>
      </c>
      <c r="AB601" t="s">
        <v>97</v>
      </c>
      <c r="AC601" t="s">
        <v>96</v>
      </c>
      <c r="AD601" t="s">
        <v>117</v>
      </c>
      <c r="AE601" t="s">
        <v>96</v>
      </c>
      <c r="AF601" t="s">
        <v>97</v>
      </c>
      <c r="AG601" t="s">
        <v>99</v>
      </c>
      <c r="AH601" t="s">
        <v>171</v>
      </c>
      <c r="AI601">
        <v>81</v>
      </c>
      <c r="AJ601" t="s">
        <v>100</v>
      </c>
      <c r="AK601">
        <v>612</v>
      </c>
      <c r="AL601">
        <v>23</v>
      </c>
      <c r="AM601">
        <v>716</v>
      </c>
      <c r="AN601" t="s">
        <v>102</v>
      </c>
      <c r="AO601" t="s">
        <v>97</v>
      </c>
      <c r="AP601" t="s">
        <v>104</v>
      </c>
      <c r="AQ601" t="s">
        <v>105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97</v>
      </c>
      <c r="BC601">
        <v>6</v>
      </c>
      <c r="BD601" t="s">
        <v>106</v>
      </c>
      <c r="BE601">
        <v>1</v>
      </c>
      <c r="BF601" t="s">
        <v>97</v>
      </c>
      <c r="BG601" t="s">
        <v>107</v>
      </c>
      <c r="BH601">
        <v>1980</v>
      </c>
      <c r="BI601" t="s">
        <v>156</v>
      </c>
      <c r="BJ601">
        <v>2</v>
      </c>
      <c r="BK601">
        <v>452</v>
      </c>
      <c r="BL601" t="s">
        <v>97</v>
      </c>
      <c r="BM601" t="s">
        <v>97</v>
      </c>
      <c r="BN601" t="s">
        <v>104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V601" t="s">
        <v>164</v>
      </c>
      <c r="BX601">
        <v>0</v>
      </c>
      <c r="BY601">
        <v>7</v>
      </c>
      <c r="BZ601">
        <v>2008</v>
      </c>
      <c r="CA601" t="s">
        <v>172</v>
      </c>
      <c r="CB601" t="s">
        <v>110</v>
      </c>
      <c r="CC601">
        <v>151000</v>
      </c>
    </row>
    <row r="602" spans="1:81" x14ac:dyDescent="0.3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H602" t="s">
        <v>83</v>
      </c>
      <c r="I602" t="s">
        <v>84</v>
      </c>
      <c r="J602" t="s">
        <v>85</v>
      </c>
      <c r="K602" t="s">
        <v>86</v>
      </c>
      <c r="L602" t="s">
        <v>87</v>
      </c>
      <c r="M602" t="s">
        <v>153</v>
      </c>
      <c r="N602" t="s">
        <v>89</v>
      </c>
      <c r="O602" t="s">
        <v>89</v>
      </c>
      <c r="P602" t="s">
        <v>90</v>
      </c>
      <c r="Q602" t="s">
        <v>91</v>
      </c>
      <c r="R602">
        <v>8</v>
      </c>
      <c r="S602">
        <v>5</v>
      </c>
      <c r="T602">
        <v>2005</v>
      </c>
      <c r="U602">
        <v>2005</v>
      </c>
      <c r="V602" t="s">
        <v>92</v>
      </c>
      <c r="W602" t="s">
        <v>93</v>
      </c>
      <c r="X602" t="s">
        <v>94</v>
      </c>
      <c r="Y602" t="s">
        <v>94</v>
      </c>
      <c r="Z602" t="s">
        <v>95</v>
      </c>
      <c r="AA602">
        <v>280</v>
      </c>
      <c r="AB602" t="s">
        <v>96</v>
      </c>
      <c r="AC602" t="s">
        <v>97</v>
      </c>
      <c r="AD602" t="s">
        <v>98</v>
      </c>
      <c r="AE602" t="s">
        <v>96</v>
      </c>
      <c r="AF602" t="s">
        <v>97</v>
      </c>
      <c r="AG602" t="s">
        <v>129</v>
      </c>
      <c r="AH602" t="s">
        <v>100</v>
      </c>
      <c r="AI602">
        <v>546</v>
      </c>
      <c r="AJ602" t="s">
        <v>101</v>
      </c>
      <c r="AK602">
        <v>0</v>
      </c>
      <c r="AL602">
        <v>512</v>
      </c>
      <c r="AM602">
        <v>1058</v>
      </c>
      <c r="AN602" t="s">
        <v>102</v>
      </c>
      <c r="AO602" t="s">
        <v>103</v>
      </c>
      <c r="AP602" t="s">
        <v>104</v>
      </c>
      <c r="AQ602" t="s">
        <v>105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103</v>
      </c>
      <c r="BC602">
        <v>8</v>
      </c>
      <c r="BD602" t="s">
        <v>106</v>
      </c>
      <c r="BE602">
        <v>1</v>
      </c>
      <c r="BF602" t="s">
        <v>96</v>
      </c>
      <c r="BG602" t="s">
        <v>155</v>
      </c>
      <c r="BH602">
        <v>2003</v>
      </c>
      <c r="BI602" t="s">
        <v>156</v>
      </c>
      <c r="BJ602">
        <v>2</v>
      </c>
      <c r="BK602">
        <v>736</v>
      </c>
      <c r="BL602" t="s">
        <v>97</v>
      </c>
      <c r="BM602" t="s">
        <v>97</v>
      </c>
      <c r="BN602" t="s">
        <v>104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X602">
        <v>0</v>
      </c>
      <c r="BY602">
        <v>6</v>
      </c>
      <c r="BZ602">
        <v>2006</v>
      </c>
      <c r="CA602" t="s">
        <v>109</v>
      </c>
      <c r="CB602" t="s">
        <v>110</v>
      </c>
      <c r="CC602">
        <v>275000</v>
      </c>
    </row>
    <row r="603" spans="1:81" x14ac:dyDescent="0.3">
      <c r="A603">
        <v>602</v>
      </c>
      <c r="B603">
        <v>50</v>
      </c>
      <c r="C603" t="s">
        <v>141</v>
      </c>
      <c r="D603">
        <v>50</v>
      </c>
      <c r="E603">
        <v>9000</v>
      </c>
      <c r="F603" t="s">
        <v>82</v>
      </c>
      <c r="H603" t="s">
        <v>83</v>
      </c>
      <c r="I603" t="s">
        <v>174</v>
      </c>
      <c r="J603" t="s">
        <v>85</v>
      </c>
      <c r="K603" t="s">
        <v>86</v>
      </c>
      <c r="L603" t="s">
        <v>87</v>
      </c>
      <c r="M603" t="s">
        <v>175</v>
      </c>
      <c r="N603" t="s">
        <v>89</v>
      </c>
      <c r="O603" t="s">
        <v>89</v>
      </c>
      <c r="P603" t="s">
        <v>90</v>
      </c>
      <c r="Q603" t="s">
        <v>131</v>
      </c>
      <c r="R603">
        <v>6</v>
      </c>
      <c r="S603">
        <v>6</v>
      </c>
      <c r="T603">
        <v>1937</v>
      </c>
      <c r="U603">
        <v>1950</v>
      </c>
      <c r="V603" t="s">
        <v>92</v>
      </c>
      <c r="W603" t="s">
        <v>93</v>
      </c>
      <c r="X603" t="s">
        <v>123</v>
      </c>
      <c r="Y603" t="s">
        <v>123</v>
      </c>
      <c r="Z603" t="s">
        <v>116</v>
      </c>
      <c r="AA603">
        <v>0</v>
      </c>
      <c r="AB603" t="s">
        <v>97</v>
      </c>
      <c r="AC603" t="s">
        <v>96</v>
      </c>
      <c r="AD603" t="s">
        <v>98</v>
      </c>
      <c r="AE603" t="s">
        <v>97</v>
      </c>
      <c r="AF603" t="s">
        <v>97</v>
      </c>
      <c r="AG603" t="s">
        <v>99</v>
      </c>
      <c r="AH603" t="s">
        <v>101</v>
      </c>
      <c r="AI603">
        <v>0</v>
      </c>
      <c r="AJ603" t="s">
        <v>101</v>
      </c>
      <c r="AK603">
        <v>0</v>
      </c>
      <c r="AL603">
        <v>780</v>
      </c>
      <c r="AM603">
        <v>780</v>
      </c>
      <c r="AN603" t="s">
        <v>102</v>
      </c>
      <c r="AO603" t="s">
        <v>97</v>
      </c>
      <c r="AP603" t="s">
        <v>104</v>
      </c>
      <c r="AQ603" t="s">
        <v>105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96</v>
      </c>
      <c r="BC603">
        <v>6</v>
      </c>
      <c r="BD603" t="s">
        <v>106</v>
      </c>
      <c r="BE603">
        <v>1</v>
      </c>
      <c r="BF603" t="s">
        <v>96</v>
      </c>
      <c r="BG603" t="s">
        <v>126</v>
      </c>
      <c r="BH603">
        <v>1979</v>
      </c>
      <c r="BI603" t="s">
        <v>101</v>
      </c>
      <c r="BJ603">
        <v>1</v>
      </c>
      <c r="BK603">
        <v>544</v>
      </c>
      <c r="BL603" t="s">
        <v>97</v>
      </c>
      <c r="BM603" t="s">
        <v>97</v>
      </c>
      <c r="BN603" t="s">
        <v>189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X603">
        <v>0</v>
      </c>
      <c r="BY603">
        <v>12</v>
      </c>
      <c r="BZ603">
        <v>2007</v>
      </c>
      <c r="CA603" t="s">
        <v>109</v>
      </c>
      <c r="CB603" t="s">
        <v>110</v>
      </c>
      <c r="CC603">
        <v>141000</v>
      </c>
    </row>
    <row r="604" spans="1:81" x14ac:dyDescent="0.3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H604" t="s">
        <v>119</v>
      </c>
      <c r="I604" t="s">
        <v>84</v>
      </c>
      <c r="J604" t="s">
        <v>85</v>
      </c>
      <c r="K604" t="s">
        <v>86</v>
      </c>
      <c r="L604" t="s">
        <v>87</v>
      </c>
      <c r="M604" t="s">
        <v>169</v>
      </c>
      <c r="N604" t="s">
        <v>89</v>
      </c>
      <c r="O604" t="s">
        <v>89</v>
      </c>
      <c r="P604" t="s">
        <v>90</v>
      </c>
      <c r="Q604" t="s">
        <v>91</v>
      </c>
      <c r="R604">
        <v>8</v>
      </c>
      <c r="S604">
        <v>5</v>
      </c>
      <c r="T604">
        <v>1992</v>
      </c>
      <c r="U604">
        <v>1992</v>
      </c>
      <c r="V604" t="s">
        <v>92</v>
      </c>
      <c r="W604" t="s">
        <v>93</v>
      </c>
      <c r="X604" t="s">
        <v>139</v>
      </c>
      <c r="Y604" t="s">
        <v>139</v>
      </c>
      <c r="Z604" t="s">
        <v>116</v>
      </c>
      <c r="AA604">
        <v>0</v>
      </c>
      <c r="AB604" t="s">
        <v>96</v>
      </c>
      <c r="AC604" t="s">
        <v>97</v>
      </c>
      <c r="AD604" t="s">
        <v>98</v>
      </c>
      <c r="AE604" t="s">
        <v>96</v>
      </c>
      <c r="AF604" t="s">
        <v>97</v>
      </c>
      <c r="AG604" t="s">
        <v>120</v>
      </c>
      <c r="AH604" t="s">
        <v>100</v>
      </c>
      <c r="AI604">
        <v>789</v>
      </c>
      <c r="AJ604" t="s">
        <v>101</v>
      </c>
      <c r="AK604">
        <v>0</v>
      </c>
      <c r="AL604">
        <v>119</v>
      </c>
      <c r="AM604">
        <v>908</v>
      </c>
      <c r="AN604" t="s">
        <v>102</v>
      </c>
      <c r="AO604" t="s">
        <v>103</v>
      </c>
      <c r="AP604" t="s">
        <v>104</v>
      </c>
      <c r="AQ604" t="s">
        <v>105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96</v>
      </c>
      <c r="BC604">
        <v>8</v>
      </c>
      <c r="BD604" t="s">
        <v>106</v>
      </c>
      <c r="BE604">
        <v>1</v>
      </c>
      <c r="BF604" t="s">
        <v>97</v>
      </c>
      <c r="BG604" t="s">
        <v>107</v>
      </c>
      <c r="BH604">
        <v>1992</v>
      </c>
      <c r="BI604" t="s">
        <v>156</v>
      </c>
      <c r="BJ604">
        <v>2</v>
      </c>
      <c r="BK604">
        <v>506</v>
      </c>
      <c r="BL604" t="s">
        <v>97</v>
      </c>
      <c r="BM604" t="s">
        <v>97</v>
      </c>
      <c r="BN604" t="s">
        <v>104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X604">
        <v>0</v>
      </c>
      <c r="BY604">
        <v>2</v>
      </c>
      <c r="BZ604">
        <v>2006</v>
      </c>
      <c r="CA604" t="s">
        <v>109</v>
      </c>
      <c r="CB604" t="s">
        <v>127</v>
      </c>
      <c r="CC604">
        <v>220000</v>
      </c>
    </row>
    <row r="605" spans="1:81" x14ac:dyDescent="0.3">
      <c r="A605">
        <v>604</v>
      </c>
      <c r="B605">
        <v>160</v>
      </c>
      <c r="C605" t="s">
        <v>191</v>
      </c>
      <c r="D605">
        <v>30</v>
      </c>
      <c r="E605">
        <v>3182</v>
      </c>
      <c r="F605" t="s">
        <v>82</v>
      </c>
      <c r="G605" t="s">
        <v>82</v>
      </c>
      <c r="H605" t="s">
        <v>83</v>
      </c>
      <c r="I605" t="s">
        <v>84</v>
      </c>
      <c r="J605" t="s">
        <v>85</v>
      </c>
      <c r="K605" t="s">
        <v>86</v>
      </c>
      <c r="L605" t="s">
        <v>87</v>
      </c>
      <c r="M605" t="s">
        <v>135</v>
      </c>
      <c r="N605" t="s">
        <v>89</v>
      </c>
      <c r="O605" t="s">
        <v>89</v>
      </c>
      <c r="P605" t="s">
        <v>178</v>
      </c>
      <c r="Q605" t="s">
        <v>91</v>
      </c>
      <c r="R605">
        <v>7</v>
      </c>
      <c r="S605">
        <v>5</v>
      </c>
      <c r="T605">
        <v>2004</v>
      </c>
      <c r="U605">
        <v>2005</v>
      </c>
      <c r="V605" t="s">
        <v>92</v>
      </c>
      <c r="W605" t="s">
        <v>93</v>
      </c>
      <c r="X605" t="s">
        <v>115</v>
      </c>
      <c r="Y605" t="s">
        <v>115</v>
      </c>
      <c r="Z605" t="s">
        <v>116</v>
      </c>
      <c r="AA605">
        <v>0</v>
      </c>
      <c r="AB605" t="s">
        <v>96</v>
      </c>
      <c r="AC605" t="s">
        <v>97</v>
      </c>
      <c r="AD605" t="s">
        <v>98</v>
      </c>
      <c r="AE605" t="s">
        <v>96</v>
      </c>
      <c r="AF605" t="s">
        <v>97</v>
      </c>
      <c r="AG605" t="s">
        <v>99</v>
      </c>
      <c r="AH605" t="s">
        <v>101</v>
      </c>
      <c r="AI605">
        <v>0</v>
      </c>
      <c r="AJ605" t="s">
        <v>101</v>
      </c>
      <c r="AK605">
        <v>0</v>
      </c>
      <c r="AL605">
        <v>600</v>
      </c>
      <c r="AM605">
        <v>600</v>
      </c>
      <c r="AN605" t="s">
        <v>102</v>
      </c>
      <c r="AO605" t="s">
        <v>103</v>
      </c>
      <c r="AP605" t="s">
        <v>104</v>
      </c>
      <c r="AQ605" t="s">
        <v>105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96</v>
      </c>
      <c r="BC605">
        <v>4</v>
      </c>
      <c r="BD605" t="s">
        <v>106</v>
      </c>
      <c r="BE605">
        <v>0</v>
      </c>
      <c r="BG605" t="s">
        <v>126</v>
      </c>
      <c r="BH605">
        <v>2004</v>
      </c>
      <c r="BI605" t="s">
        <v>108</v>
      </c>
      <c r="BJ605">
        <v>2</v>
      </c>
      <c r="BK605">
        <v>480</v>
      </c>
      <c r="BL605" t="s">
        <v>97</v>
      </c>
      <c r="BM605" t="s">
        <v>97</v>
      </c>
      <c r="BN605" t="s">
        <v>104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X605">
        <v>0</v>
      </c>
      <c r="BY605">
        <v>6</v>
      </c>
      <c r="BZ605">
        <v>2010</v>
      </c>
      <c r="CA605" t="s">
        <v>109</v>
      </c>
      <c r="CB605" t="s">
        <v>110</v>
      </c>
      <c r="CC605">
        <v>151000</v>
      </c>
    </row>
    <row r="606" spans="1:81" x14ac:dyDescent="0.3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H606" t="s">
        <v>119</v>
      </c>
      <c r="I606" t="s">
        <v>84</v>
      </c>
      <c r="J606" t="s">
        <v>85</v>
      </c>
      <c r="K606" t="s">
        <v>86</v>
      </c>
      <c r="L606" t="s">
        <v>87</v>
      </c>
      <c r="M606" t="s">
        <v>88</v>
      </c>
      <c r="N606" t="s">
        <v>89</v>
      </c>
      <c r="O606" t="s">
        <v>89</v>
      </c>
      <c r="P606" t="s">
        <v>90</v>
      </c>
      <c r="Q606" t="s">
        <v>114</v>
      </c>
      <c r="R606">
        <v>7</v>
      </c>
      <c r="S606">
        <v>5</v>
      </c>
      <c r="T606">
        <v>2002</v>
      </c>
      <c r="U606">
        <v>2002</v>
      </c>
      <c r="V606" t="s">
        <v>92</v>
      </c>
      <c r="W606" t="s">
        <v>93</v>
      </c>
      <c r="X606" t="s">
        <v>94</v>
      </c>
      <c r="Y606" t="s">
        <v>94</v>
      </c>
      <c r="Z606" t="s">
        <v>95</v>
      </c>
      <c r="AA606">
        <v>99</v>
      </c>
      <c r="AB606" t="s">
        <v>96</v>
      </c>
      <c r="AC606" t="s">
        <v>97</v>
      </c>
      <c r="AD606" t="s">
        <v>98</v>
      </c>
      <c r="AE606" t="s">
        <v>96</v>
      </c>
      <c r="AF606" t="s">
        <v>97</v>
      </c>
      <c r="AG606" t="s">
        <v>120</v>
      </c>
      <c r="AH606" t="s">
        <v>100</v>
      </c>
      <c r="AI606">
        <v>922</v>
      </c>
      <c r="AJ606" t="s">
        <v>101</v>
      </c>
      <c r="AK606">
        <v>0</v>
      </c>
      <c r="AL606">
        <v>572</v>
      </c>
      <c r="AM606">
        <v>1494</v>
      </c>
      <c r="AN606" t="s">
        <v>102</v>
      </c>
      <c r="AO606" t="s">
        <v>103</v>
      </c>
      <c r="AP606" t="s">
        <v>104</v>
      </c>
      <c r="AQ606" t="s">
        <v>105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96</v>
      </c>
      <c r="BC606">
        <v>6</v>
      </c>
      <c r="BD606" t="s">
        <v>106</v>
      </c>
      <c r="BE606">
        <v>1</v>
      </c>
      <c r="BF606" t="s">
        <v>97</v>
      </c>
      <c r="BG606" t="s">
        <v>107</v>
      </c>
      <c r="BH606">
        <v>2002</v>
      </c>
      <c r="BI606" t="s">
        <v>108</v>
      </c>
      <c r="BJ606">
        <v>2</v>
      </c>
      <c r="BK606">
        <v>530</v>
      </c>
      <c r="BL606" t="s">
        <v>97</v>
      </c>
      <c r="BM606" t="s">
        <v>97</v>
      </c>
      <c r="BN606" t="s">
        <v>104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X606">
        <v>0</v>
      </c>
      <c r="BY606">
        <v>9</v>
      </c>
      <c r="BZ606">
        <v>2008</v>
      </c>
      <c r="CA606" t="s">
        <v>109</v>
      </c>
      <c r="CB606" t="s">
        <v>110</v>
      </c>
      <c r="CC606">
        <v>221000</v>
      </c>
    </row>
    <row r="607" spans="1:81" x14ac:dyDescent="0.3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H607" t="s">
        <v>83</v>
      </c>
      <c r="I607" t="s">
        <v>84</v>
      </c>
      <c r="J607" t="s">
        <v>85</v>
      </c>
      <c r="K607" t="s">
        <v>86</v>
      </c>
      <c r="L607" t="s">
        <v>87</v>
      </c>
      <c r="M607" t="s">
        <v>270</v>
      </c>
      <c r="N607" t="s">
        <v>89</v>
      </c>
      <c r="O607" t="s">
        <v>89</v>
      </c>
      <c r="P607" t="s">
        <v>90</v>
      </c>
      <c r="Q607" t="s">
        <v>91</v>
      </c>
      <c r="R607">
        <v>7</v>
      </c>
      <c r="S607">
        <v>6</v>
      </c>
      <c r="T607">
        <v>1965</v>
      </c>
      <c r="U607">
        <v>1990</v>
      </c>
      <c r="V607" t="s">
        <v>92</v>
      </c>
      <c r="W607" t="s">
        <v>93</v>
      </c>
      <c r="X607" t="s">
        <v>139</v>
      </c>
      <c r="Y607" t="s">
        <v>139</v>
      </c>
      <c r="Z607" t="s">
        <v>95</v>
      </c>
      <c r="AA607">
        <v>176</v>
      </c>
      <c r="AB607" t="s">
        <v>97</v>
      </c>
      <c r="AC607" t="s">
        <v>97</v>
      </c>
      <c r="AD607" t="s">
        <v>117</v>
      </c>
      <c r="AE607" t="s">
        <v>97</v>
      </c>
      <c r="AF607" t="s">
        <v>97</v>
      </c>
      <c r="AG607" t="s">
        <v>99</v>
      </c>
      <c r="AH607" t="s">
        <v>140</v>
      </c>
      <c r="AI607">
        <v>454</v>
      </c>
      <c r="AJ607" t="s">
        <v>101</v>
      </c>
      <c r="AK607">
        <v>0</v>
      </c>
      <c r="AL607">
        <v>314</v>
      </c>
      <c r="AM607">
        <v>768</v>
      </c>
      <c r="AN607" t="s">
        <v>102</v>
      </c>
      <c r="AO607" t="s">
        <v>97</v>
      </c>
      <c r="AP607" t="s">
        <v>104</v>
      </c>
      <c r="AQ607" t="s">
        <v>105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97</v>
      </c>
      <c r="BC607">
        <v>7</v>
      </c>
      <c r="BD607" t="s">
        <v>106</v>
      </c>
      <c r="BE607">
        <v>3</v>
      </c>
      <c r="BF607" t="s">
        <v>146</v>
      </c>
      <c r="BG607" t="s">
        <v>107</v>
      </c>
      <c r="BH607">
        <v>1965</v>
      </c>
      <c r="BI607" t="s">
        <v>101</v>
      </c>
      <c r="BJ607">
        <v>2</v>
      </c>
      <c r="BK607">
        <v>486</v>
      </c>
      <c r="BL607" t="s">
        <v>97</v>
      </c>
      <c r="BM607" t="s">
        <v>97</v>
      </c>
      <c r="BN607" t="s">
        <v>104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X607">
        <v>0</v>
      </c>
      <c r="BY607">
        <v>10</v>
      </c>
      <c r="BZ607">
        <v>2009</v>
      </c>
      <c r="CA607" t="s">
        <v>109</v>
      </c>
      <c r="CB607" t="s">
        <v>110</v>
      </c>
      <c r="CC607">
        <v>205000</v>
      </c>
    </row>
    <row r="608" spans="1:81" x14ac:dyDescent="0.3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H608" t="s">
        <v>159</v>
      </c>
      <c r="I608" t="s">
        <v>194</v>
      </c>
      <c r="J608" t="s">
        <v>85</v>
      </c>
      <c r="K608" t="s">
        <v>121</v>
      </c>
      <c r="L608" t="s">
        <v>193</v>
      </c>
      <c r="M608" t="s">
        <v>88</v>
      </c>
      <c r="N608" t="s">
        <v>89</v>
      </c>
      <c r="O608" t="s">
        <v>89</v>
      </c>
      <c r="P608" t="s">
        <v>90</v>
      </c>
      <c r="Q608" t="s">
        <v>114</v>
      </c>
      <c r="R608">
        <v>5</v>
      </c>
      <c r="S608">
        <v>5</v>
      </c>
      <c r="T608">
        <v>1996</v>
      </c>
      <c r="U608">
        <v>1996</v>
      </c>
      <c r="V608" t="s">
        <v>92</v>
      </c>
      <c r="W608" t="s">
        <v>93</v>
      </c>
      <c r="X608" t="s">
        <v>94</v>
      </c>
      <c r="Y608" t="s">
        <v>94</v>
      </c>
      <c r="Z608" t="s">
        <v>116</v>
      </c>
      <c r="AA608">
        <v>0</v>
      </c>
      <c r="AB608" t="s">
        <v>97</v>
      </c>
      <c r="AC608" t="s">
        <v>96</v>
      </c>
      <c r="AD608" t="s">
        <v>98</v>
      </c>
      <c r="AE608" t="s">
        <v>96</v>
      </c>
      <c r="AF608" t="s">
        <v>97</v>
      </c>
      <c r="AG608" t="s">
        <v>99</v>
      </c>
      <c r="AH608" t="s">
        <v>100</v>
      </c>
      <c r="AI608">
        <v>732</v>
      </c>
      <c r="AJ608" t="s">
        <v>101</v>
      </c>
      <c r="AK608">
        <v>0</v>
      </c>
      <c r="AL608">
        <v>308</v>
      </c>
      <c r="AM608">
        <v>1040</v>
      </c>
      <c r="AN608" t="s">
        <v>102</v>
      </c>
      <c r="AO608" t="s">
        <v>96</v>
      </c>
      <c r="AP608" t="s">
        <v>104</v>
      </c>
      <c r="AQ608" t="s">
        <v>105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96</v>
      </c>
      <c r="BC608">
        <v>6</v>
      </c>
      <c r="BD608" t="s">
        <v>106</v>
      </c>
      <c r="BE608">
        <v>0</v>
      </c>
      <c r="BG608" t="s">
        <v>126</v>
      </c>
      <c r="BH608">
        <v>2000</v>
      </c>
      <c r="BI608" t="s">
        <v>101</v>
      </c>
      <c r="BJ608">
        <v>2</v>
      </c>
      <c r="BK608">
        <v>576</v>
      </c>
      <c r="BL608" t="s">
        <v>97</v>
      </c>
      <c r="BM608" t="s">
        <v>97</v>
      </c>
      <c r="BN608" t="s">
        <v>104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V608" t="s">
        <v>164</v>
      </c>
      <c r="BX608">
        <v>0</v>
      </c>
      <c r="BY608">
        <v>11</v>
      </c>
      <c r="BZ608">
        <v>2009</v>
      </c>
      <c r="CA608" t="s">
        <v>109</v>
      </c>
      <c r="CB608" t="s">
        <v>110</v>
      </c>
      <c r="CC608">
        <v>152000</v>
      </c>
    </row>
    <row r="609" spans="1:81" x14ac:dyDescent="0.3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H609" t="s">
        <v>83</v>
      </c>
      <c r="I609" t="s">
        <v>174</v>
      </c>
      <c r="J609" t="s">
        <v>85</v>
      </c>
      <c r="K609" t="s">
        <v>86</v>
      </c>
      <c r="L609" t="s">
        <v>193</v>
      </c>
      <c r="M609" t="s">
        <v>184</v>
      </c>
      <c r="N609" t="s">
        <v>89</v>
      </c>
      <c r="O609" t="s">
        <v>89</v>
      </c>
      <c r="P609" t="s">
        <v>90</v>
      </c>
      <c r="Q609" t="s">
        <v>91</v>
      </c>
      <c r="R609">
        <v>5</v>
      </c>
      <c r="S609">
        <v>8</v>
      </c>
      <c r="T609">
        <v>1948</v>
      </c>
      <c r="U609">
        <v>2002</v>
      </c>
      <c r="V609" t="s">
        <v>92</v>
      </c>
      <c r="W609" t="s">
        <v>93</v>
      </c>
      <c r="X609" t="s">
        <v>115</v>
      </c>
      <c r="Y609" t="s">
        <v>115</v>
      </c>
      <c r="Z609" t="s">
        <v>116</v>
      </c>
      <c r="AA609">
        <v>0</v>
      </c>
      <c r="AB609" t="s">
        <v>97</v>
      </c>
      <c r="AC609" t="s">
        <v>96</v>
      </c>
      <c r="AD609" t="s">
        <v>117</v>
      </c>
      <c r="AE609" t="s">
        <v>97</v>
      </c>
      <c r="AF609" t="s">
        <v>96</v>
      </c>
      <c r="AG609" t="s">
        <v>99</v>
      </c>
      <c r="AH609" t="s">
        <v>100</v>
      </c>
      <c r="AI609">
        <v>603</v>
      </c>
      <c r="AJ609" t="s">
        <v>101</v>
      </c>
      <c r="AK609">
        <v>0</v>
      </c>
      <c r="AL609">
        <v>293</v>
      </c>
      <c r="AM609">
        <v>896</v>
      </c>
      <c r="AN609" t="s">
        <v>102</v>
      </c>
      <c r="AO609" t="s">
        <v>103</v>
      </c>
      <c r="AP609" t="s">
        <v>104</v>
      </c>
      <c r="AQ609" t="s">
        <v>105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103</v>
      </c>
      <c r="BC609">
        <v>8</v>
      </c>
      <c r="BD609" t="s">
        <v>106</v>
      </c>
      <c r="BE609">
        <v>0</v>
      </c>
      <c r="BG609" t="s">
        <v>107</v>
      </c>
      <c r="BH609">
        <v>1948</v>
      </c>
      <c r="BI609" t="s">
        <v>101</v>
      </c>
      <c r="BJ609">
        <v>1</v>
      </c>
      <c r="BK609">
        <v>230</v>
      </c>
      <c r="BL609" t="s">
        <v>97</v>
      </c>
      <c r="BM609" t="s">
        <v>97</v>
      </c>
      <c r="BN609" t="s">
        <v>104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X609">
        <v>0</v>
      </c>
      <c r="BY609">
        <v>8</v>
      </c>
      <c r="BZ609">
        <v>2006</v>
      </c>
      <c r="CA609" t="s">
        <v>109</v>
      </c>
      <c r="CB609" t="s">
        <v>110</v>
      </c>
      <c r="CC609">
        <v>225000</v>
      </c>
    </row>
    <row r="610" spans="1:81" x14ac:dyDescent="0.3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H610" t="s">
        <v>83</v>
      </c>
      <c r="I610" t="s">
        <v>198</v>
      </c>
      <c r="J610" t="s">
        <v>85</v>
      </c>
      <c r="K610" t="s">
        <v>86</v>
      </c>
      <c r="L610" t="s">
        <v>193</v>
      </c>
      <c r="M610" t="s">
        <v>122</v>
      </c>
      <c r="N610" t="s">
        <v>89</v>
      </c>
      <c r="O610" t="s">
        <v>89</v>
      </c>
      <c r="P610" t="s">
        <v>90</v>
      </c>
      <c r="Q610" t="s">
        <v>91</v>
      </c>
      <c r="R610">
        <v>8</v>
      </c>
      <c r="S610">
        <v>6</v>
      </c>
      <c r="T610">
        <v>1934</v>
      </c>
      <c r="U610">
        <v>1998</v>
      </c>
      <c r="V610" t="s">
        <v>92</v>
      </c>
      <c r="W610" t="s">
        <v>93</v>
      </c>
      <c r="X610" t="s">
        <v>95</v>
      </c>
      <c r="Y610" t="s">
        <v>123</v>
      </c>
      <c r="Z610" t="s">
        <v>116</v>
      </c>
      <c r="AA610">
        <v>0</v>
      </c>
      <c r="AB610" t="s">
        <v>97</v>
      </c>
      <c r="AC610" t="s">
        <v>97</v>
      </c>
      <c r="AD610" t="s">
        <v>98</v>
      </c>
      <c r="AE610" t="s">
        <v>96</v>
      </c>
      <c r="AF610" t="s">
        <v>97</v>
      </c>
      <c r="AG610" t="s">
        <v>120</v>
      </c>
      <c r="AH610" t="s">
        <v>140</v>
      </c>
      <c r="AI610">
        <v>428</v>
      </c>
      <c r="AJ610" t="s">
        <v>101</v>
      </c>
      <c r="AK610">
        <v>0</v>
      </c>
      <c r="AL610">
        <v>537</v>
      </c>
      <c r="AM610">
        <v>965</v>
      </c>
      <c r="AN610" t="s">
        <v>102</v>
      </c>
      <c r="AO610" t="s">
        <v>97</v>
      </c>
      <c r="AP610" t="s">
        <v>104</v>
      </c>
      <c r="AQ610" t="s">
        <v>105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97</v>
      </c>
      <c r="BC610">
        <v>10</v>
      </c>
      <c r="BD610" t="s">
        <v>106</v>
      </c>
      <c r="BE610">
        <v>2</v>
      </c>
      <c r="BF610" t="s">
        <v>96</v>
      </c>
      <c r="BG610" t="s">
        <v>208</v>
      </c>
      <c r="BH610">
        <v>1934</v>
      </c>
      <c r="BI610" t="s">
        <v>101</v>
      </c>
      <c r="BJ610">
        <v>2</v>
      </c>
      <c r="BK610">
        <v>380</v>
      </c>
      <c r="BL610" t="s">
        <v>97</v>
      </c>
      <c r="BM610" t="s">
        <v>97</v>
      </c>
      <c r="BN610" t="s">
        <v>104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X610">
        <v>0</v>
      </c>
      <c r="BY610">
        <v>9</v>
      </c>
      <c r="BZ610">
        <v>2007</v>
      </c>
      <c r="CA610" t="s">
        <v>109</v>
      </c>
      <c r="CB610" t="s">
        <v>209</v>
      </c>
      <c r="CC610">
        <v>359100</v>
      </c>
    </row>
    <row r="611" spans="1:81" x14ac:dyDescent="0.3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H611" t="s">
        <v>83</v>
      </c>
      <c r="I611" t="s">
        <v>84</v>
      </c>
      <c r="J611" t="s">
        <v>85</v>
      </c>
      <c r="K611" t="s">
        <v>86</v>
      </c>
      <c r="L611" t="s">
        <v>87</v>
      </c>
      <c r="M611" t="s">
        <v>150</v>
      </c>
      <c r="N611" t="s">
        <v>113</v>
      </c>
      <c r="O611" t="s">
        <v>89</v>
      </c>
      <c r="P611" t="s">
        <v>90</v>
      </c>
      <c r="Q611" t="s">
        <v>114</v>
      </c>
      <c r="R611">
        <v>4</v>
      </c>
      <c r="S611">
        <v>5</v>
      </c>
      <c r="T611">
        <v>1961</v>
      </c>
      <c r="U611">
        <v>1961</v>
      </c>
      <c r="V611" t="s">
        <v>92</v>
      </c>
      <c r="W611" t="s">
        <v>93</v>
      </c>
      <c r="X611" t="s">
        <v>94</v>
      </c>
      <c r="Y611" t="s">
        <v>94</v>
      </c>
      <c r="Z611" t="s">
        <v>206</v>
      </c>
      <c r="AA611">
        <v>192</v>
      </c>
      <c r="AB611" t="s">
        <v>97</v>
      </c>
      <c r="AC611" t="s">
        <v>146</v>
      </c>
      <c r="AD611" t="s">
        <v>117</v>
      </c>
      <c r="AE611" t="s">
        <v>97</v>
      </c>
      <c r="AF611" t="s">
        <v>97</v>
      </c>
      <c r="AG611" t="s">
        <v>120</v>
      </c>
      <c r="AH611" t="s">
        <v>152</v>
      </c>
      <c r="AI611">
        <v>903</v>
      </c>
      <c r="AJ611" t="s">
        <v>101</v>
      </c>
      <c r="AK611">
        <v>0</v>
      </c>
      <c r="AL611">
        <v>126</v>
      </c>
      <c r="AM611">
        <v>1029</v>
      </c>
      <c r="AN611" t="s">
        <v>102</v>
      </c>
      <c r="AO611" t="s">
        <v>96</v>
      </c>
      <c r="AP611" t="s">
        <v>104</v>
      </c>
      <c r="AQ611" t="s">
        <v>105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97</v>
      </c>
      <c r="BC611">
        <v>5</v>
      </c>
      <c r="BD611" t="s">
        <v>106</v>
      </c>
      <c r="BE611">
        <v>0</v>
      </c>
      <c r="BG611" t="s">
        <v>107</v>
      </c>
      <c r="BH611">
        <v>1961</v>
      </c>
      <c r="BI611" t="s">
        <v>101</v>
      </c>
      <c r="BJ611">
        <v>1</v>
      </c>
      <c r="BK611">
        <v>261</v>
      </c>
      <c r="BL611" t="s">
        <v>97</v>
      </c>
      <c r="BM611" t="s">
        <v>97</v>
      </c>
      <c r="BN611" t="s">
        <v>104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X611">
        <v>0</v>
      </c>
      <c r="BY611">
        <v>4</v>
      </c>
      <c r="BZ611">
        <v>2007</v>
      </c>
      <c r="CA611" t="s">
        <v>109</v>
      </c>
      <c r="CB611" t="s">
        <v>110</v>
      </c>
      <c r="CC611">
        <v>118500</v>
      </c>
    </row>
    <row r="612" spans="1:81" x14ac:dyDescent="0.3">
      <c r="A612">
        <v>611</v>
      </c>
      <c r="B612">
        <v>60</v>
      </c>
      <c r="C612" t="s">
        <v>81</v>
      </c>
      <c r="E612">
        <v>11050</v>
      </c>
      <c r="F612" t="s">
        <v>82</v>
      </c>
      <c r="H612" t="s">
        <v>83</v>
      </c>
      <c r="I612" t="s">
        <v>84</v>
      </c>
      <c r="J612" t="s">
        <v>85</v>
      </c>
      <c r="K612" t="s">
        <v>86</v>
      </c>
      <c r="L612" t="s">
        <v>87</v>
      </c>
      <c r="M612" t="s">
        <v>88</v>
      </c>
      <c r="N612" t="s">
        <v>138</v>
      </c>
      <c r="O612" t="s">
        <v>89</v>
      </c>
      <c r="P612" t="s">
        <v>90</v>
      </c>
      <c r="Q612" t="s">
        <v>91</v>
      </c>
      <c r="R612">
        <v>9</v>
      </c>
      <c r="S612">
        <v>5</v>
      </c>
      <c r="T612">
        <v>2000</v>
      </c>
      <c r="U612">
        <v>2000</v>
      </c>
      <c r="V612" t="s">
        <v>151</v>
      </c>
      <c r="W612" t="s">
        <v>93</v>
      </c>
      <c r="X612" t="s">
        <v>94</v>
      </c>
      <c r="Y612" t="s">
        <v>94</v>
      </c>
      <c r="Z612" t="s">
        <v>95</v>
      </c>
      <c r="AA612">
        <v>204</v>
      </c>
      <c r="AB612" t="s">
        <v>96</v>
      </c>
      <c r="AC612" t="s">
        <v>97</v>
      </c>
      <c r="AD612" t="s">
        <v>98</v>
      </c>
      <c r="AE612" t="s">
        <v>103</v>
      </c>
      <c r="AF612" t="s">
        <v>97</v>
      </c>
      <c r="AG612" t="s">
        <v>120</v>
      </c>
      <c r="AH612" t="s">
        <v>100</v>
      </c>
      <c r="AI612">
        <v>904</v>
      </c>
      <c r="AJ612" t="s">
        <v>101</v>
      </c>
      <c r="AK612">
        <v>0</v>
      </c>
      <c r="AL612">
        <v>536</v>
      </c>
      <c r="AM612">
        <v>1440</v>
      </c>
      <c r="AN612" t="s">
        <v>102</v>
      </c>
      <c r="AO612" t="s">
        <v>103</v>
      </c>
      <c r="AP612" t="s">
        <v>104</v>
      </c>
      <c r="AQ612" t="s">
        <v>105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103</v>
      </c>
      <c r="BC612">
        <v>8</v>
      </c>
      <c r="BD612" t="s">
        <v>106</v>
      </c>
      <c r="BE612">
        <v>2</v>
      </c>
      <c r="BF612" t="s">
        <v>103</v>
      </c>
      <c r="BG612" t="s">
        <v>107</v>
      </c>
      <c r="BH612">
        <v>2000</v>
      </c>
      <c r="BI612" t="s">
        <v>156</v>
      </c>
      <c r="BJ612">
        <v>3</v>
      </c>
      <c r="BK612">
        <v>736</v>
      </c>
      <c r="BL612" t="s">
        <v>97</v>
      </c>
      <c r="BM612" t="s">
        <v>97</v>
      </c>
      <c r="BN612" t="s">
        <v>104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X612">
        <v>0</v>
      </c>
      <c r="BY612">
        <v>5</v>
      </c>
      <c r="BZ612">
        <v>2009</v>
      </c>
      <c r="CA612" t="s">
        <v>109</v>
      </c>
      <c r="CB612" t="s">
        <v>110</v>
      </c>
      <c r="CC612">
        <v>313000</v>
      </c>
    </row>
    <row r="613" spans="1:81" x14ac:dyDescent="0.3">
      <c r="A613">
        <v>612</v>
      </c>
      <c r="B613">
        <v>80</v>
      </c>
      <c r="C613" t="s">
        <v>81</v>
      </c>
      <c r="E613">
        <v>10395</v>
      </c>
      <c r="F613" t="s">
        <v>82</v>
      </c>
      <c r="H613" t="s">
        <v>119</v>
      </c>
      <c r="I613" t="s">
        <v>84</v>
      </c>
      <c r="J613" t="s">
        <v>85</v>
      </c>
      <c r="K613" t="s">
        <v>111</v>
      </c>
      <c r="L613" t="s">
        <v>87</v>
      </c>
      <c r="M613" t="s">
        <v>137</v>
      </c>
      <c r="N613" t="s">
        <v>89</v>
      </c>
      <c r="O613" t="s">
        <v>89</v>
      </c>
      <c r="P613" t="s">
        <v>90</v>
      </c>
      <c r="Q613" t="s">
        <v>196</v>
      </c>
      <c r="R613">
        <v>6</v>
      </c>
      <c r="S613">
        <v>6</v>
      </c>
      <c r="T613">
        <v>1978</v>
      </c>
      <c r="U613">
        <v>1978</v>
      </c>
      <c r="V613" t="s">
        <v>92</v>
      </c>
      <c r="W613" t="s">
        <v>93</v>
      </c>
      <c r="X613" t="s">
        <v>139</v>
      </c>
      <c r="Y613" t="s">
        <v>139</v>
      </c>
      <c r="Z613" t="s">
        <v>95</v>
      </c>
      <c r="AA613">
        <v>233</v>
      </c>
      <c r="AB613" t="s">
        <v>97</v>
      </c>
      <c r="AC613" t="s">
        <v>97</v>
      </c>
      <c r="AD613" t="s">
        <v>117</v>
      </c>
      <c r="AE613" t="s">
        <v>96</v>
      </c>
      <c r="AF613" t="s">
        <v>97</v>
      </c>
      <c r="AG613" t="s">
        <v>129</v>
      </c>
      <c r="AH613" t="s">
        <v>118</v>
      </c>
      <c r="AI613">
        <v>605</v>
      </c>
      <c r="AJ613" t="s">
        <v>101</v>
      </c>
      <c r="AK613">
        <v>0</v>
      </c>
      <c r="AL613">
        <v>427</v>
      </c>
      <c r="AM613">
        <v>1032</v>
      </c>
      <c r="AN613" t="s">
        <v>102</v>
      </c>
      <c r="AO613" t="s">
        <v>97</v>
      </c>
      <c r="AP613" t="s">
        <v>104</v>
      </c>
      <c r="AQ613" t="s">
        <v>105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97</v>
      </c>
      <c r="BC613">
        <v>6</v>
      </c>
      <c r="BD613" t="s">
        <v>106</v>
      </c>
      <c r="BE613">
        <v>1</v>
      </c>
      <c r="BF613" t="s">
        <v>97</v>
      </c>
      <c r="BG613" t="s">
        <v>107</v>
      </c>
      <c r="BH613">
        <v>1978</v>
      </c>
      <c r="BI613" t="s">
        <v>101</v>
      </c>
      <c r="BJ613">
        <v>2</v>
      </c>
      <c r="BK613">
        <v>564</v>
      </c>
      <c r="BL613" t="s">
        <v>97</v>
      </c>
      <c r="BM613" t="s">
        <v>97</v>
      </c>
      <c r="BN613" t="s">
        <v>104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V613" t="s">
        <v>133</v>
      </c>
      <c r="BW613" t="s">
        <v>134</v>
      </c>
      <c r="BX613">
        <v>500</v>
      </c>
      <c r="BY613">
        <v>7</v>
      </c>
      <c r="BZ613">
        <v>2007</v>
      </c>
      <c r="CA613" t="s">
        <v>109</v>
      </c>
      <c r="CB613" t="s">
        <v>110</v>
      </c>
      <c r="CC613">
        <v>148000</v>
      </c>
    </row>
    <row r="614" spans="1:81" x14ac:dyDescent="0.3">
      <c r="A614">
        <v>613</v>
      </c>
      <c r="B614">
        <v>60</v>
      </c>
      <c r="C614" t="s">
        <v>81</v>
      </c>
      <c r="E614">
        <v>11885</v>
      </c>
      <c r="F614" t="s">
        <v>82</v>
      </c>
      <c r="H614" t="s">
        <v>83</v>
      </c>
      <c r="I614" t="s">
        <v>84</v>
      </c>
      <c r="J614" t="s">
        <v>85</v>
      </c>
      <c r="K614" t="s">
        <v>86</v>
      </c>
      <c r="L614" t="s">
        <v>87</v>
      </c>
      <c r="M614" t="s">
        <v>88</v>
      </c>
      <c r="N614" t="s">
        <v>89</v>
      </c>
      <c r="O614" t="s">
        <v>89</v>
      </c>
      <c r="P614" t="s">
        <v>90</v>
      </c>
      <c r="Q614" t="s">
        <v>91</v>
      </c>
      <c r="R614">
        <v>8</v>
      </c>
      <c r="S614">
        <v>5</v>
      </c>
      <c r="T614">
        <v>2001</v>
      </c>
      <c r="U614">
        <v>2001</v>
      </c>
      <c r="V614" t="s">
        <v>92</v>
      </c>
      <c r="W614" t="s">
        <v>93</v>
      </c>
      <c r="X614" t="s">
        <v>94</v>
      </c>
      <c r="Y614" t="s">
        <v>94</v>
      </c>
      <c r="Z614" t="s">
        <v>95</v>
      </c>
      <c r="AA614">
        <v>108</v>
      </c>
      <c r="AB614" t="s">
        <v>96</v>
      </c>
      <c r="AC614" t="s">
        <v>97</v>
      </c>
      <c r="AD614" t="s">
        <v>98</v>
      </c>
      <c r="AE614" t="s">
        <v>96</v>
      </c>
      <c r="AF614" t="s">
        <v>97</v>
      </c>
      <c r="AG614" t="s">
        <v>129</v>
      </c>
      <c r="AH614" t="s">
        <v>100</v>
      </c>
      <c r="AI614">
        <v>990</v>
      </c>
      <c r="AJ614" t="s">
        <v>101</v>
      </c>
      <c r="AK614">
        <v>0</v>
      </c>
      <c r="AL614">
        <v>309</v>
      </c>
      <c r="AM614">
        <v>1299</v>
      </c>
      <c r="AN614" t="s">
        <v>102</v>
      </c>
      <c r="AO614" t="s">
        <v>103</v>
      </c>
      <c r="AP614" t="s">
        <v>104</v>
      </c>
      <c r="AQ614" t="s">
        <v>105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103</v>
      </c>
      <c r="BC614">
        <v>7</v>
      </c>
      <c r="BD614" t="s">
        <v>106</v>
      </c>
      <c r="BE614">
        <v>1</v>
      </c>
      <c r="BF614" t="s">
        <v>97</v>
      </c>
      <c r="BG614" t="s">
        <v>155</v>
      </c>
      <c r="BH614">
        <v>2001</v>
      </c>
      <c r="BI614" t="s">
        <v>108</v>
      </c>
      <c r="BJ614">
        <v>2</v>
      </c>
      <c r="BK614">
        <v>531</v>
      </c>
      <c r="BL614" t="s">
        <v>97</v>
      </c>
      <c r="BM614" t="s">
        <v>97</v>
      </c>
      <c r="BN614" t="s">
        <v>104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X614">
        <v>0</v>
      </c>
      <c r="BY614">
        <v>11</v>
      </c>
      <c r="BZ614">
        <v>2009</v>
      </c>
      <c r="CA614" t="s">
        <v>109</v>
      </c>
      <c r="CB614" t="s">
        <v>110</v>
      </c>
      <c r="CC614">
        <v>261500</v>
      </c>
    </row>
    <row r="615" spans="1:81" x14ac:dyDescent="0.3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H615" t="s">
        <v>83</v>
      </c>
      <c r="I615" t="s">
        <v>84</v>
      </c>
      <c r="J615" t="s">
        <v>85</v>
      </c>
      <c r="K615" t="s">
        <v>86</v>
      </c>
      <c r="L615" t="s">
        <v>87</v>
      </c>
      <c r="M615" t="s">
        <v>130</v>
      </c>
      <c r="N615" t="s">
        <v>113</v>
      </c>
      <c r="O615" t="s">
        <v>89</v>
      </c>
      <c r="P615" t="s">
        <v>90</v>
      </c>
      <c r="Q615" t="s">
        <v>114</v>
      </c>
      <c r="R615">
        <v>5</v>
      </c>
      <c r="S615">
        <v>5</v>
      </c>
      <c r="T615">
        <v>2007</v>
      </c>
      <c r="U615">
        <v>2007</v>
      </c>
      <c r="V615" t="s">
        <v>92</v>
      </c>
      <c r="W615" t="s">
        <v>93</v>
      </c>
      <c r="X615" t="s">
        <v>94</v>
      </c>
      <c r="Y615" t="s">
        <v>94</v>
      </c>
      <c r="Z615" t="s">
        <v>116</v>
      </c>
      <c r="AA615">
        <v>0</v>
      </c>
      <c r="AB615" t="s">
        <v>97</v>
      </c>
      <c r="AC615" t="s">
        <v>97</v>
      </c>
      <c r="AD615" t="s">
        <v>98</v>
      </c>
      <c r="AE615" t="s">
        <v>96</v>
      </c>
      <c r="AF615" t="s">
        <v>97</v>
      </c>
      <c r="AG615" t="s">
        <v>99</v>
      </c>
      <c r="AH615" t="s">
        <v>118</v>
      </c>
      <c r="AI615">
        <v>206</v>
      </c>
      <c r="AJ615" t="s">
        <v>101</v>
      </c>
      <c r="AK615">
        <v>0</v>
      </c>
      <c r="AL615">
        <v>914</v>
      </c>
      <c r="AM615">
        <v>1120</v>
      </c>
      <c r="AN615" t="s">
        <v>102</v>
      </c>
      <c r="AO615" t="s">
        <v>103</v>
      </c>
      <c r="AP615" t="s">
        <v>104</v>
      </c>
      <c r="AQ615" t="s">
        <v>105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97</v>
      </c>
      <c r="BC615">
        <v>6</v>
      </c>
      <c r="BD615" t="s">
        <v>106</v>
      </c>
      <c r="BE615">
        <v>0</v>
      </c>
      <c r="BJ615">
        <v>0</v>
      </c>
      <c r="BK615">
        <v>0</v>
      </c>
      <c r="BN615" t="s">
        <v>104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X615">
        <v>0</v>
      </c>
      <c r="BY615">
        <v>12</v>
      </c>
      <c r="BZ615">
        <v>2007</v>
      </c>
      <c r="CA615" t="s">
        <v>157</v>
      </c>
      <c r="CB615" t="s">
        <v>158</v>
      </c>
      <c r="CC615">
        <v>147000</v>
      </c>
    </row>
    <row r="616" spans="1:81" x14ac:dyDescent="0.3">
      <c r="A616">
        <v>615</v>
      </c>
      <c r="B616">
        <v>180</v>
      </c>
      <c r="C616" t="s">
        <v>141</v>
      </c>
      <c r="D616">
        <v>21</v>
      </c>
      <c r="E616">
        <v>1491</v>
      </c>
      <c r="F616" t="s">
        <v>82</v>
      </c>
      <c r="H616" t="s">
        <v>83</v>
      </c>
      <c r="I616" t="s">
        <v>84</v>
      </c>
      <c r="J616" t="s">
        <v>85</v>
      </c>
      <c r="K616" t="s">
        <v>86</v>
      </c>
      <c r="L616" t="s">
        <v>87</v>
      </c>
      <c r="M616" t="s">
        <v>177</v>
      </c>
      <c r="N616" t="s">
        <v>89</v>
      </c>
      <c r="O616" t="s">
        <v>89</v>
      </c>
      <c r="P616" t="s">
        <v>178</v>
      </c>
      <c r="Q616" t="s">
        <v>190</v>
      </c>
      <c r="R616">
        <v>4</v>
      </c>
      <c r="S616">
        <v>6</v>
      </c>
      <c r="T616">
        <v>1972</v>
      </c>
      <c r="U616">
        <v>1972</v>
      </c>
      <c r="V616" t="s">
        <v>92</v>
      </c>
      <c r="W616" t="s">
        <v>93</v>
      </c>
      <c r="X616" t="s">
        <v>179</v>
      </c>
      <c r="Y616" t="s">
        <v>180</v>
      </c>
      <c r="Z616" t="s">
        <v>116</v>
      </c>
      <c r="AA616">
        <v>0</v>
      </c>
      <c r="AB616" t="s">
        <v>97</v>
      </c>
      <c r="AC616" t="s">
        <v>97</v>
      </c>
      <c r="AD616" t="s">
        <v>117</v>
      </c>
      <c r="AE616" t="s">
        <v>96</v>
      </c>
      <c r="AF616" t="s">
        <v>97</v>
      </c>
      <c r="AG616" t="s">
        <v>129</v>
      </c>
      <c r="AH616" t="s">
        <v>171</v>
      </c>
      <c r="AI616">
        <v>150</v>
      </c>
      <c r="AJ616" t="s">
        <v>100</v>
      </c>
      <c r="AK616">
        <v>480</v>
      </c>
      <c r="AL616">
        <v>0</v>
      </c>
      <c r="AM616">
        <v>630</v>
      </c>
      <c r="AN616" t="s">
        <v>102</v>
      </c>
      <c r="AO616" t="s">
        <v>103</v>
      </c>
      <c r="AP616" t="s">
        <v>104</v>
      </c>
      <c r="AQ616" t="s">
        <v>105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97</v>
      </c>
      <c r="BC616">
        <v>3</v>
      </c>
      <c r="BD616" t="s">
        <v>106</v>
      </c>
      <c r="BE616">
        <v>0</v>
      </c>
      <c r="BJ616">
        <v>0</v>
      </c>
      <c r="BK616">
        <v>0</v>
      </c>
      <c r="BN616" t="s">
        <v>104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X616">
        <v>0</v>
      </c>
      <c r="BY616">
        <v>5</v>
      </c>
      <c r="BZ616">
        <v>2010</v>
      </c>
      <c r="CA616" t="s">
        <v>109</v>
      </c>
      <c r="CB616" t="s">
        <v>110</v>
      </c>
      <c r="CC616">
        <v>75500</v>
      </c>
    </row>
    <row r="617" spans="1:81" x14ac:dyDescent="0.3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M617" t="s">
        <v>270</v>
      </c>
      <c r="N617" t="s">
        <v>113</v>
      </c>
      <c r="O617" t="s">
        <v>89</v>
      </c>
      <c r="P617" t="s">
        <v>90</v>
      </c>
      <c r="Q617" t="s">
        <v>190</v>
      </c>
      <c r="R617">
        <v>6</v>
      </c>
      <c r="S617">
        <v>7</v>
      </c>
      <c r="T617">
        <v>1963</v>
      </c>
      <c r="U617">
        <v>1963</v>
      </c>
      <c r="V617" t="s">
        <v>92</v>
      </c>
      <c r="W617" t="s">
        <v>93</v>
      </c>
      <c r="X617" t="s">
        <v>115</v>
      </c>
      <c r="Y617" t="s">
        <v>115</v>
      </c>
      <c r="Z617" t="s">
        <v>95</v>
      </c>
      <c r="AA617">
        <v>156</v>
      </c>
      <c r="AB617" t="s">
        <v>97</v>
      </c>
      <c r="AC617" t="s">
        <v>96</v>
      </c>
      <c r="AD617" t="s">
        <v>98</v>
      </c>
      <c r="AE617" t="s">
        <v>97</v>
      </c>
      <c r="AF617" t="s">
        <v>97</v>
      </c>
      <c r="AG617" t="s">
        <v>96</v>
      </c>
      <c r="AH617" t="s">
        <v>100</v>
      </c>
      <c r="AI617">
        <v>763</v>
      </c>
      <c r="AJ617" t="s">
        <v>101</v>
      </c>
      <c r="AK617">
        <v>0</v>
      </c>
      <c r="AL617">
        <v>173</v>
      </c>
      <c r="AM617">
        <v>936</v>
      </c>
      <c r="AN617" t="s">
        <v>102</v>
      </c>
      <c r="AO617" t="s">
        <v>103</v>
      </c>
      <c r="AP617" t="s">
        <v>104</v>
      </c>
      <c r="AQ617" t="s">
        <v>105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96</v>
      </c>
      <c r="BC617">
        <v>6</v>
      </c>
      <c r="BD617" t="s">
        <v>106</v>
      </c>
      <c r="BE617">
        <v>0</v>
      </c>
      <c r="BG617" t="s">
        <v>107</v>
      </c>
      <c r="BH617">
        <v>1963</v>
      </c>
      <c r="BI617" t="s">
        <v>108</v>
      </c>
      <c r="BJ617">
        <v>2</v>
      </c>
      <c r="BK617">
        <v>480</v>
      </c>
      <c r="BL617" t="s">
        <v>97</v>
      </c>
      <c r="BM617" t="s">
        <v>97</v>
      </c>
      <c r="BN617" t="s">
        <v>104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V617" t="s">
        <v>133</v>
      </c>
      <c r="BX617">
        <v>0</v>
      </c>
      <c r="BY617">
        <v>5</v>
      </c>
      <c r="BZ617">
        <v>2010</v>
      </c>
      <c r="CA617" t="s">
        <v>109</v>
      </c>
      <c r="CB617" t="s">
        <v>127</v>
      </c>
      <c r="CC617">
        <v>137500</v>
      </c>
    </row>
    <row r="618" spans="1:81" x14ac:dyDescent="0.3">
      <c r="A618">
        <v>617</v>
      </c>
      <c r="B618">
        <v>60</v>
      </c>
      <c r="C618" t="s">
        <v>81</v>
      </c>
      <c r="E618">
        <v>7861</v>
      </c>
      <c r="F618" t="s">
        <v>82</v>
      </c>
      <c r="H618" t="s">
        <v>119</v>
      </c>
      <c r="I618" t="s">
        <v>84</v>
      </c>
      <c r="J618" t="s">
        <v>85</v>
      </c>
      <c r="K618" t="s">
        <v>86</v>
      </c>
      <c r="L618" t="s">
        <v>87</v>
      </c>
      <c r="M618" t="s">
        <v>192</v>
      </c>
      <c r="N618" t="s">
        <v>89</v>
      </c>
      <c r="O618" t="s">
        <v>89</v>
      </c>
      <c r="P618" t="s">
        <v>90</v>
      </c>
      <c r="Q618" t="s">
        <v>91</v>
      </c>
      <c r="R618">
        <v>6</v>
      </c>
      <c r="S618">
        <v>5</v>
      </c>
      <c r="T618">
        <v>2002</v>
      </c>
      <c r="U618">
        <v>2003</v>
      </c>
      <c r="V618" t="s">
        <v>92</v>
      </c>
      <c r="W618" t="s">
        <v>93</v>
      </c>
      <c r="X618" t="s">
        <v>94</v>
      </c>
      <c r="Y618" t="s">
        <v>94</v>
      </c>
      <c r="Z618" t="s">
        <v>116</v>
      </c>
      <c r="AA618">
        <v>0</v>
      </c>
      <c r="AB618" t="s">
        <v>96</v>
      </c>
      <c r="AC618" t="s">
        <v>97</v>
      </c>
      <c r="AD618" t="s">
        <v>98</v>
      </c>
      <c r="AE618" t="s">
        <v>96</v>
      </c>
      <c r="AF618" t="s">
        <v>97</v>
      </c>
      <c r="AG618" t="s">
        <v>99</v>
      </c>
      <c r="AH618" t="s">
        <v>100</v>
      </c>
      <c r="AI618">
        <v>457</v>
      </c>
      <c r="AJ618" t="s">
        <v>101</v>
      </c>
      <c r="AK618">
        <v>0</v>
      </c>
      <c r="AL618">
        <v>326</v>
      </c>
      <c r="AM618">
        <v>783</v>
      </c>
      <c r="AN618" t="s">
        <v>102</v>
      </c>
      <c r="AO618" t="s">
        <v>103</v>
      </c>
      <c r="AP618" t="s">
        <v>104</v>
      </c>
      <c r="AQ618" t="s">
        <v>105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96</v>
      </c>
      <c r="BC618">
        <v>7</v>
      </c>
      <c r="BD618" t="s">
        <v>106</v>
      </c>
      <c r="BE618">
        <v>1</v>
      </c>
      <c r="BF618" t="s">
        <v>96</v>
      </c>
      <c r="BG618" t="s">
        <v>107</v>
      </c>
      <c r="BH618">
        <v>2002</v>
      </c>
      <c r="BI618" t="s">
        <v>156</v>
      </c>
      <c r="BJ618">
        <v>2</v>
      </c>
      <c r="BK618">
        <v>393</v>
      </c>
      <c r="BL618" t="s">
        <v>97</v>
      </c>
      <c r="BM618" t="s">
        <v>97</v>
      </c>
      <c r="BN618" t="s">
        <v>104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X618">
        <v>0</v>
      </c>
      <c r="BY618">
        <v>6</v>
      </c>
      <c r="BZ618">
        <v>2006</v>
      </c>
      <c r="CA618" t="s">
        <v>109</v>
      </c>
      <c r="CB618" t="s">
        <v>110</v>
      </c>
      <c r="CC618">
        <v>183200</v>
      </c>
    </row>
    <row r="619" spans="1:81" x14ac:dyDescent="0.3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H619" t="s">
        <v>83</v>
      </c>
      <c r="I619" t="s">
        <v>198</v>
      </c>
      <c r="J619" t="s">
        <v>85</v>
      </c>
      <c r="K619" t="s">
        <v>121</v>
      </c>
      <c r="L619" t="s">
        <v>193</v>
      </c>
      <c r="M619" t="s">
        <v>270</v>
      </c>
      <c r="N619" t="s">
        <v>143</v>
      </c>
      <c r="O619" t="s">
        <v>89</v>
      </c>
      <c r="P619" t="s">
        <v>90</v>
      </c>
      <c r="Q619" t="s">
        <v>149</v>
      </c>
      <c r="R619">
        <v>6</v>
      </c>
      <c r="S619">
        <v>6</v>
      </c>
      <c r="T619">
        <v>1954</v>
      </c>
      <c r="U619">
        <v>1954</v>
      </c>
      <c r="V619" t="s">
        <v>92</v>
      </c>
      <c r="W619" t="s">
        <v>93</v>
      </c>
      <c r="X619" t="s">
        <v>115</v>
      </c>
      <c r="Y619" t="s">
        <v>115</v>
      </c>
      <c r="Z619" t="s">
        <v>116</v>
      </c>
      <c r="AA619">
        <v>0</v>
      </c>
      <c r="AB619" t="s">
        <v>97</v>
      </c>
      <c r="AC619" t="s">
        <v>97</v>
      </c>
      <c r="AD619" t="s">
        <v>117</v>
      </c>
      <c r="AE619" t="s">
        <v>97</v>
      </c>
      <c r="AF619" t="s">
        <v>97</v>
      </c>
      <c r="AG619" t="s">
        <v>99</v>
      </c>
      <c r="AH619" t="s">
        <v>101</v>
      </c>
      <c r="AI619">
        <v>0</v>
      </c>
      <c r="AJ619" t="s">
        <v>101</v>
      </c>
      <c r="AK619">
        <v>0</v>
      </c>
      <c r="AL619">
        <v>832</v>
      </c>
      <c r="AM619">
        <v>832</v>
      </c>
      <c r="AN619" t="s">
        <v>102</v>
      </c>
      <c r="AO619" t="s">
        <v>96</v>
      </c>
      <c r="AP619" t="s">
        <v>104</v>
      </c>
      <c r="AQ619" t="s">
        <v>105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96</v>
      </c>
      <c r="BC619">
        <v>4</v>
      </c>
      <c r="BD619" t="s">
        <v>106</v>
      </c>
      <c r="BE619">
        <v>0</v>
      </c>
      <c r="BG619" t="s">
        <v>126</v>
      </c>
      <c r="BH619">
        <v>1962</v>
      </c>
      <c r="BI619" t="s">
        <v>101</v>
      </c>
      <c r="BJ619">
        <v>2</v>
      </c>
      <c r="BK619">
        <v>528</v>
      </c>
      <c r="BL619" t="s">
        <v>97</v>
      </c>
      <c r="BM619" t="s">
        <v>97</v>
      </c>
      <c r="BN619" t="s">
        <v>104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X619">
        <v>0</v>
      </c>
      <c r="BY619">
        <v>6</v>
      </c>
      <c r="BZ619">
        <v>2008</v>
      </c>
      <c r="CA619" t="s">
        <v>109</v>
      </c>
      <c r="CB619" t="s">
        <v>110</v>
      </c>
      <c r="CC619">
        <v>105500</v>
      </c>
    </row>
    <row r="620" spans="1:81" x14ac:dyDescent="0.3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H620" t="s">
        <v>83</v>
      </c>
      <c r="I620" t="s">
        <v>84</v>
      </c>
      <c r="J620" t="s">
        <v>85</v>
      </c>
      <c r="K620" t="s">
        <v>86</v>
      </c>
      <c r="L620" t="s">
        <v>87</v>
      </c>
      <c r="M620" t="s">
        <v>153</v>
      </c>
      <c r="N620" t="s">
        <v>89</v>
      </c>
      <c r="O620" t="s">
        <v>89</v>
      </c>
      <c r="P620" t="s">
        <v>90</v>
      </c>
      <c r="Q620" t="s">
        <v>114</v>
      </c>
      <c r="R620">
        <v>9</v>
      </c>
      <c r="S620">
        <v>5</v>
      </c>
      <c r="T620">
        <v>2007</v>
      </c>
      <c r="U620">
        <v>2007</v>
      </c>
      <c r="V620" t="s">
        <v>151</v>
      </c>
      <c r="W620" t="s">
        <v>93</v>
      </c>
      <c r="X620" t="s">
        <v>179</v>
      </c>
      <c r="Y620" t="s">
        <v>180</v>
      </c>
      <c r="Z620" t="s">
        <v>95</v>
      </c>
      <c r="AA620">
        <v>452</v>
      </c>
      <c r="AB620" t="s">
        <v>103</v>
      </c>
      <c r="AC620" t="s">
        <v>97</v>
      </c>
      <c r="AD620" t="s">
        <v>98</v>
      </c>
      <c r="AE620" t="s">
        <v>103</v>
      </c>
      <c r="AF620" t="s">
        <v>97</v>
      </c>
      <c r="AG620" t="s">
        <v>129</v>
      </c>
      <c r="AH620" t="s">
        <v>100</v>
      </c>
      <c r="AI620">
        <v>48</v>
      </c>
      <c r="AJ620" t="s">
        <v>101</v>
      </c>
      <c r="AK620">
        <v>0</v>
      </c>
      <c r="AL620">
        <v>1774</v>
      </c>
      <c r="AM620">
        <v>1822</v>
      </c>
      <c r="AN620" t="s">
        <v>102</v>
      </c>
      <c r="AO620" t="s">
        <v>103</v>
      </c>
      <c r="AP620" t="s">
        <v>104</v>
      </c>
      <c r="AQ620" t="s">
        <v>105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96</v>
      </c>
      <c r="BC620">
        <v>9</v>
      </c>
      <c r="BD620" t="s">
        <v>106</v>
      </c>
      <c r="BE620">
        <v>1</v>
      </c>
      <c r="BF620" t="s">
        <v>96</v>
      </c>
      <c r="BG620" t="s">
        <v>107</v>
      </c>
      <c r="BH620">
        <v>2007</v>
      </c>
      <c r="BI620" t="s">
        <v>101</v>
      </c>
      <c r="BJ620">
        <v>3</v>
      </c>
      <c r="BK620">
        <v>774</v>
      </c>
      <c r="BL620" t="s">
        <v>97</v>
      </c>
      <c r="BM620" t="s">
        <v>97</v>
      </c>
      <c r="BN620" t="s">
        <v>104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X620">
        <v>0</v>
      </c>
      <c r="BY620">
        <v>7</v>
      </c>
      <c r="BZ620">
        <v>2007</v>
      </c>
      <c r="CA620" t="s">
        <v>157</v>
      </c>
      <c r="CB620" t="s">
        <v>158</v>
      </c>
      <c r="CC620">
        <v>314813</v>
      </c>
    </row>
    <row r="621" spans="1:81" x14ac:dyDescent="0.3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H621" t="s">
        <v>83</v>
      </c>
      <c r="I621" t="s">
        <v>84</v>
      </c>
      <c r="J621" t="s">
        <v>85</v>
      </c>
      <c r="K621" t="s">
        <v>86</v>
      </c>
      <c r="L621" t="s">
        <v>87</v>
      </c>
      <c r="M621" t="s">
        <v>188</v>
      </c>
      <c r="N621" t="s">
        <v>89</v>
      </c>
      <c r="O621" t="s">
        <v>89</v>
      </c>
      <c r="P621" t="s">
        <v>90</v>
      </c>
      <c r="Q621" t="s">
        <v>91</v>
      </c>
      <c r="R621">
        <v>8</v>
      </c>
      <c r="S621">
        <v>5</v>
      </c>
      <c r="T621">
        <v>2003</v>
      </c>
      <c r="U621">
        <v>2003</v>
      </c>
      <c r="V621" t="s">
        <v>151</v>
      </c>
      <c r="W621" t="s">
        <v>93</v>
      </c>
      <c r="X621" t="s">
        <v>94</v>
      </c>
      <c r="Y621" t="s">
        <v>94</v>
      </c>
      <c r="Z621" t="s">
        <v>136</v>
      </c>
      <c r="AA621">
        <v>226</v>
      </c>
      <c r="AB621" t="s">
        <v>96</v>
      </c>
      <c r="AC621" t="s">
        <v>97</v>
      </c>
      <c r="AD621" t="s">
        <v>98</v>
      </c>
      <c r="AE621" t="s">
        <v>96</v>
      </c>
      <c r="AF621" t="s">
        <v>97</v>
      </c>
      <c r="AG621" t="s">
        <v>96</v>
      </c>
      <c r="AH621" t="s">
        <v>100</v>
      </c>
      <c r="AI621">
        <v>871</v>
      </c>
      <c r="AJ621" t="s">
        <v>101</v>
      </c>
      <c r="AK621">
        <v>0</v>
      </c>
      <c r="AL621">
        <v>611</v>
      </c>
      <c r="AM621">
        <v>1482</v>
      </c>
      <c r="AN621" t="s">
        <v>102</v>
      </c>
      <c r="AO621" t="s">
        <v>103</v>
      </c>
      <c r="AP621" t="s">
        <v>104</v>
      </c>
      <c r="AQ621" t="s">
        <v>105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96</v>
      </c>
      <c r="BC621">
        <v>10</v>
      </c>
      <c r="BD621" t="s">
        <v>106</v>
      </c>
      <c r="BE621">
        <v>2</v>
      </c>
      <c r="BF621" t="s">
        <v>96</v>
      </c>
      <c r="BG621" t="s">
        <v>107</v>
      </c>
      <c r="BH621">
        <v>2003</v>
      </c>
      <c r="BI621" t="s">
        <v>156</v>
      </c>
      <c r="BJ621">
        <v>3</v>
      </c>
      <c r="BK621">
        <v>749</v>
      </c>
      <c r="BL621" t="s">
        <v>97</v>
      </c>
      <c r="BM621" t="s">
        <v>97</v>
      </c>
      <c r="BN621" t="s">
        <v>104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X621">
        <v>0</v>
      </c>
      <c r="BY621">
        <v>8</v>
      </c>
      <c r="BZ621">
        <v>2008</v>
      </c>
      <c r="CA621" t="s">
        <v>109</v>
      </c>
      <c r="CB621" t="s">
        <v>110</v>
      </c>
      <c r="CC621">
        <v>305000</v>
      </c>
    </row>
    <row r="622" spans="1:81" x14ac:dyDescent="0.3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173</v>
      </c>
      <c r="H622" t="s">
        <v>83</v>
      </c>
      <c r="I622" t="s">
        <v>84</v>
      </c>
      <c r="J622" t="s">
        <v>85</v>
      </c>
      <c r="K622" t="s">
        <v>86</v>
      </c>
      <c r="L622" t="s">
        <v>87</v>
      </c>
      <c r="M622" t="s">
        <v>184</v>
      </c>
      <c r="N622" t="s">
        <v>89</v>
      </c>
      <c r="O622" t="s">
        <v>89</v>
      </c>
      <c r="P622" t="s">
        <v>90</v>
      </c>
      <c r="Q622" t="s">
        <v>114</v>
      </c>
      <c r="R622">
        <v>3</v>
      </c>
      <c r="S622">
        <v>3</v>
      </c>
      <c r="T622">
        <v>1914</v>
      </c>
      <c r="U622">
        <v>1950</v>
      </c>
      <c r="V622" t="s">
        <v>92</v>
      </c>
      <c r="W622" t="s">
        <v>93</v>
      </c>
      <c r="X622" t="s">
        <v>202</v>
      </c>
      <c r="Y622" t="s">
        <v>202</v>
      </c>
      <c r="Z622" t="s">
        <v>116</v>
      </c>
      <c r="AA622">
        <v>0</v>
      </c>
      <c r="AB622" t="s">
        <v>97</v>
      </c>
      <c r="AC622" t="s">
        <v>97</v>
      </c>
      <c r="AD622" t="s">
        <v>125</v>
      </c>
      <c r="AE622" t="s">
        <v>97</v>
      </c>
      <c r="AF622" t="s">
        <v>97</v>
      </c>
      <c r="AG622" t="s">
        <v>99</v>
      </c>
      <c r="AH622" t="s">
        <v>140</v>
      </c>
      <c r="AI622">
        <v>41</v>
      </c>
      <c r="AJ622" t="s">
        <v>101</v>
      </c>
      <c r="AK622">
        <v>0</v>
      </c>
      <c r="AL622">
        <v>823</v>
      </c>
      <c r="AM622">
        <v>864</v>
      </c>
      <c r="AN622" t="s">
        <v>102</v>
      </c>
      <c r="AO622" t="s">
        <v>97</v>
      </c>
      <c r="AP622" t="s">
        <v>176</v>
      </c>
      <c r="AQ622" t="s">
        <v>144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97</v>
      </c>
      <c r="BC622">
        <v>5</v>
      </c>
      <c r="BD622" t="s">
        <v>106</v>
      </c>
      <c r="BE622">
        <v>0</v>
      </c>
      <c r="BJ622">
        <v>0</v>
      </c>
      <c r="BK622">
        <v>0</v>
      </c>
      <c r="BN622" t="s">
        <v>176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X622">
        <v>0</v>
      </c>
      <c r="BY622">
        <v>9</v>
      </c>
      <c r="BZ622">
        <v>2008</v>
      </c>
      <c r="CA622" t="s">
        <v>109</v>
      </c>
      <c r="CB622" t="s">
        <v>110</v>
      </c>
      <c r="CC622">
        <v>67000</v>
      </c>
    </row>
    <row r="623" spans="1:81" x14ac:dyDescent="0.3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H623" t="s">
        <v>83</v>
      </c>
      <c r="I623" t="s">
        <v>84</v>
      </c>
      <c r="J623" t="s">
        <v>85</v>
      </c>
      <c r="K623" t="s">
        <v>86</v>
      </c>
      <c r="L623" t="s">
        <v>87</v>
      </c>
      <c r="M623" t="s">
        <v>137</v>
      </c>
      <c r="N623" t="s">
        <v>89</v>
      </c>
      <c r="O623" t="s">
        <v>89</v>
      </c>
      <c r="P623" t="s">
        <v>90</v>
      </c>
      <c r="Q623" t="s">
        <v>91</v>
      </c>
      <c r="R623">
        <v>6</v>
      </c>
      <c r="S623">
        <v>7</v>
      </c>
      <c r="T623">
        <v>1974</v>
      </c>
      <c r="U623">
        <v>1997</v>
      </c>
      <c r="V623" t="s">
        <v>92</v>
      </c>
      <c r="W623" t="s">
        <v>93</v>
      </c>
      <c r="X623" t="s">
        <v>139</v>
      </c>
      <c r="Y623" t="s">
        <v>139</v>
      </c>
      <c r="Z623" t="s">
        <v>116</v>
      </c>
      <c r="AA623">
        <v>0</v>
      </c>
      <c r="AB623" t="s">
        <v>97</v>
      </c>
      <c r="AC623" t="s">
        <v>97</v>
      </c>
      <c r="AD623" t="s">
        <v>117</v>
      </c>
      <c r="AE623" t="s">
        <v>97</v>
      </c>
      <c r="AF623" t="s">
        <v>97</v>
      </c>
      <c r="AG623" t="s">
        <v>99</v>
      </c>
      <c r="AH623" t="s">
        <v>118</v>
      </c>
      <c r="AI623">
        <v>956</v>
      </c>
      <c r="AJ623" t="s">
        <v>152</v>
      </c>
      <c r="AK623">
        <v>182</v>
      </c>
      <c r="AL623">
        <v>384</v>
      </c>
      <c r="AM623">
        <v>1522</v>
      </c>
      <c r="AN623" t="s">
        <v>102</v>
      </c>
      <c r="AO623" t="s">
        <v>97</v>
      </c>
      <c r="AP623" t="s">
        <v>104</v>
      </c>
      <c r="AQ623" t="s">
        <v>105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97</v>
      </c>
      <c r="BC623">
        <v>9</v>
      </c>
      <c r="BD623" t="s">
        <v>106</v>
      </c>
      <c r="BE623">
        <v>1</v>
      </c>
      <c r="BF623" t="s">
        <v>97</v>
      </c>
      <c r="BG623" t="s">
        <v>107</v>
      </c>
      <c r="BH623">
        <v>1974</v>
      </c>
      <c r="BI623" t="s">
        <v>108</v>
      </c>
      <c r="BJ623">
        <v>2</v>
      </c>
      <c r="BK623">
        <v>624</v>
      </c>
      <c r="BL623" t="s">
        <v>97</v>
      </c>
      <c r="BM623" t="s">
        <v>97</v>
      </c>
      <c r="BN623" t="s">
        <v>104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X623">
        <v>0</v>
      </c>
      <c r="BY623">
        <v>6</v>
      </c>
      <c r="BZ623">
        <v>2008</v>
      </c>
      <c r="CA623" t="s">
        <v>109</v>
      </c>
      <c r="CB623" t="s">
        <v>110</v>
      </c>
      <c r="CC623">
        <v>240000</v>
      </c>
    </row>
    <row r="624" spans="1:81" x14ac:dyDescent="0.3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H624" t="s">
        <v>83</v>
      </c>
      <c r="I624" t="s">
        <v>84</v>
      </c>
      <c r="J624" t="s">
        <v>85</v>
      </c>
      <c r="K624" t="s">
        <v>86</v>
      </c>
      <c r="L624" t="s">
        <v>87</v>
      </c>
      <c r="M624" t="s">
        <v>150</v>
      </c>
      <c r="N624" t="s">
        <v>89</v>
      </c>
      <c r="O624" t="s">
        <v>89</v>
      </c>
      <c r="P624" t="s">
        <v>90</v>
      </c>
      <c r="Q624" t="s">
        <v>114</v>
      </c>
      <c r="R624">
        <v>5</v>
      </c>
      <c r="S624">
        <v>6</v>
      </c>
      <c r="T624">
        <v>1977</v>
      </c>
      <c r="U624">
        <v>1977</v>
      </c>
      <c r="V624" t="s">
        <v>92</v>
      </c>
      <c r="W624" t="s">
        <v>93</v>
      </c>
      <c r="X624" t="s">
        <v>160</v>
      </c>
      <c r="Y624" t="s">
        <v>160</v>
      </c>
      <c r="Z624" t="s">
        <v>95</v>
      </c>
      <c r="AA624">
        <v>153</v>
      </c>
      <c r="AB624" t="s">
        <v>97</v>
      </c>
      <c r="AC624" t="s">
        <v>97</v>
      </c>
      <c r="AD624" t="s">
        <v>117</v>
      </c>
      <c r="AE624" t="s">
        <v>97</v>
      </c>
      <c r="AF624" t="s">
        <v>97</v>
      </c>
      <c r="AG624" t="s">
        <v>99</v>
      </c>
      <c r="AH624" t="s">
        <v>140</v>
      </c>
      <c r="AI624">
        <v>560</v>
      </c>
      <c r="AJ624" t="s">
        <v>101</v>
      </c>
      <c r="AK624">
        <v>0</v>
      </c>
      <c r="AL624">
        <v>420</v>
      </c>
      <c r="AM624">
        <v>980</v>
      </c>
      <c r="AN624" t="s">
        <v>102</v>
      </c>
      <c r="AO624" t="s">
        <v>97</v>
      </c>
      <c r="AP624" t="s">
        <v>104</v>
      </c>
      <c r="AQ624" t="s">
        <v>105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97</v>
      </c>
      <c r="BC624">
        <v>6</v>
      </c>
      <c r="BD624" t="s">
        <v>106</v>
      </c>
      <c r="BE624">
        <v>0</v>
      </c>
      <c r="BG624" t="s">
        <v>126</v>
      </c>
      <c r="BH624">
        <v>1986</v>
      </c>
      <c r="BI624" t="s">
        <v>101</v>
      </c>
      <c r="BJ624">
        <v>2</v>
      </c>
      <c r="BK624">
        <v>484</v>
      </c>
      <c r="BL624" t="s">
        <v>97</v>
      </c>
      <c r="BM624" t="s">
        <v>97</v>
      </c>
      <c r="BN624" t="s">
        <v>104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X624">
        <v>0</v>
      </c>
      <c r="BY624">
        <v>7</v>
      </c>
      <c r="BZ624">
        <v>2009</v>
      </c>
      <c r="CA624" t="s">
        <v>109</v>
      </c>
      <c r="CB624" t="s">
        <v>110</v>
      </c>
      <c r="CC624">
        <v>135000</v>
      </c>
    </row>
    <row r="625" spans="1:81" x14ac:dyDescent="0.3">
      <c r="A625">
        <v>624</v>
      </c>
      <c r="B625">
        <v>160</v>
      </c>
      <c r="C625" t="s">
        <v>191</v>
      </c>
      <c r="E625">
        <v>2117</v>
      </c>
      <c r="F625" t="s">
        <v>82</v>
      </c>
      <c r="H625" t="s">
        <v>83</v>
      </c>
      <c r="I625" t="s">
        <v>84</v>
      </c>
      <c r="J625" t="s">
        <v>85</v>
      </c>
      <c r="K625" t="s">
        <v>86</v>
      </c>
      <c r="L625" t="s">
        <v>87</v>
      </c>
      <c r="M625" t="s">
        <v>135</v>
      </c>
      <c r="N625" t="s">
        <v>89</v>
      </c>
      <c r="O625" t="s">
        <v>89</v>
      </c>
      <c r="P625" t="s">
        <v>178</v>
      </c>
      <c r="Q625" t="s">
        <v>91</v>
      </c>
      <c r="R625">
        <v>6</v>
      </c>
      <c r="S625">
        <v>5</v>
      </c>
      <c r="T625">
        <v>2000</v>
      </c>
      <c r="U625">
        <v>2000</v>
      </c>
      <c r="V625" t="s">
        <v>92</v>
      </c>
      <c r="W625" t="s">
        <v>93</v>
      </c>
      <c r="X625" t="s">
        <v>115</v>
      </c>
      <c r="Y625" t="s">
        <v>115</v>
      </c>
      <c r="Z625" t="s">
        <v>95</v>
      </c>
      <c r="AA625">
        <v>513</v>
      </c>
      <c r="AB625" t="s">
        <v>96</v>
      </c>
      <c r="AC625" t="s">
        <v>97</v>
      </c>
      <c r="AD625" t="s">
        <v>98</v>
      </c>
      <c r="AE625" t="s">
        <v>96</v>
      </c>
      <c r="AF625" t="s">
        <v>97</v>
      </c>
      <c r="AG625" t="s">
        <v>99</v>
      </c>
      <c r="AH625" t="s">
        <v>100</v>
      </c>
      <c r="AI625">
        <v>420</v>
      </c>
      <c r="AJ625" t="s">
        <v>101</v>
      </c>
      <c r="AK625">
        <v>0</v>
      </c>
      <c r="AL625">
        <v>336</v>
      </c>
      <c r="AM625">
        <v>756</v>
      </c>
      <c r="AN625" t="s">
        <v>102</v>
      </c>
      <c r="AO625" t="s">
        <v>103</v>
      </c>
      <c r="AP625" t="s">
        <v>104</v>
      </c>
      <c r="AQ625" t="s">
        <v>105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96</v>
      </c>
      <c r="BC625">
        <v>4</v>
      </c>
      <c r="BD625" t="s">
        <v>106</v>
      </c>
      <c r="BE625">
        <v>1</v>
      </c>
      <c r="BF625" t="s">
        <v>97</v>
      </c>
      <c r="BG625" t="s">
        <v>126</v>
      </c>
      <c r="BH625">
        <v>2000</v>
      </c>
      <c r="BI625" t="s">
        <v>101</v>
      </c>
      <c r="BJ625">
        <v>2</v>
      </c>
      <c r="BK625">
        <v>440</v>
      </c>
      <c r="BL625" t="s">
        <v>97</v>
      </c>
      <c r="BM625" t="s">
        <v>97</v>
      </c>
      <c r="BN625" t="s">
        <v>104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X625">
        <v>0</v>
      </c>
      <c r="BY625">
        <v>6</v>
      </c>
      <c r="BZ625">
        <v>2007</v>
      </c>
      <c r="CA625" t="s">
        <v>109</v>
      </c>
      <c r="CB625" t="s">
        <v>110</v>
      </c>
      <c r="CC625">
        <v>168500</v>
      </c>
    </row>
    <row r="626" spans="1:81" x14ac:dyDescent="0.3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H626" t="s">
        <v>83</v>
      </c>
      <c r="I626" t="s">
        <v>84</v>
      </c>
      <c r="J626" t="s">
        <v>85</v>
      </c>
      <c r="K626" t="s">
        <v>86</v>
      </c>
      <c r="L626" t="s">
        <v>87</v>
      </c>
      <c r="M626" t="s">
        <v>137</v>
      </c>
      <c r="N626" t="s">
        <v>89</v>
      </c>
      <c r="O626" t="s">
        <v>89</v>
      </c>
      <c r="P626" t="s">
        <v>90</v>
      </c>
      <c r="Q626" t="s">
        <v>91</v>
      </c>
      <c r="R626">
        <v>6</v>
      </c>
      <c r="S626">
        <v>5</v>
      </c>
      <c r="T626">
        <v>1972</v>
      </c>
      <c r="U626">
        <v>1972</v>
      </c>
      <c r="V626" t="s">
        <v>92</v>
      </c>
      <c r="W626" t="s">
        <v>93</v>
      </c>
      <c r="X626" t="s">
        <v>94</v>
      </c>
      <c r="Y626" t="s">
        <v>94</v>
      </c>
      <c r="Z626" t="s">
        <v>116</v>
      </c>
      <c r="AA626">
        <v>288</v>
      </c>
      <c r="AB626" t="s">
        <v>97</v>
      </c>
      <c r="AC626" t="s">
        <v>97</v>
      </c>
      <c r="AD626" t="s">
        <v>117</v>
      </c>
      <c r="AE626" t="s">
        <v>97</v>
      </c>
      <c r="AF626" t="s">
        <v>97</v>
      </c>
      <c r="AG626" t="s">
        <v>99</v>
      </c>
      <c r="AH626" t="s">
        <v>152</v>
      </c>
      <c r="AI626">
        <v>247</v>
      </c>
      <c r="AJ626" t="s">
        <v>101</v>
      </c>
      <c r="AK626">
        <v>0</v>
      </c>
      <c r="AL626">
        <v>485</v>
      </c>
      <c r="AM626">
        <v>732</v>
      </c>
      <c r="AN626" t="s">
        <v>102</v>
      </c>
      <c r="AO626" t="s">
        <v>96</v>
      </c>
      <c r="AP626" t="s">
        <v>104</v>
      </c>
      <c r="AQ626" t="s">
        <v>105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97</v>
      </c>
      <c r="BC626">
        <v>8</v>
      </c>
      <c r="BD626" t="s">
        <v>223</v>
      </c>
      <c r="BE626">
        <v>1</v>
      </c>
      <c r="BF626" t="s">
        <v>97</v>
      </c>
      <c r="BG626" t="s">
        <v>107</v>
      </c>
      <c r="BH626">
        <v>1972</v>
      </c>
      <c r="BI626" t="s">
        <v>108</v>
      </c>
      <c r="BJ626">
        <v>2</v>
      </c>
      <c r="BK626">
        <v>484</v>
      </c>
      <c r="BL626" t="s">
        <v>97</v>
      </c>
      <c r="BM626" t="s">
        <v>97</v>
      </c>
      <c r="BN626" t="s">
        <v>104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X626">
        <v>0</v>
      </c>
      <c r="BY626">
        <v>11</v>
      </c>
      <c r="BZ626">
        <v>2006</v>
      </c>
      <c r="CA626" t="s">
        <v>109</v>
      </c>
      <c r="CB626" t="s">
        <v>110</v>
      </c>
      <c r="CC626">
        <v>165150</v>
      </c>
    </row>
    <row r="627" spans="1:81" x14ac:dyDescent="0.3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H627" t="s">
        <v>119</v>
      </c>
      <c r="I627" t="s">
        <v>84</v>
      </c>
      <c r="J627" t="s">
        <v>85</v>
      </c>
      <c r="K627" t="s">
        <v>121</v>
      </c>
      <c r="L627" t="s">
        <v>87</v>
      </c>
      <c r="M627" t="s">
        <v>270</v>
      </c>
      <c r="N627" t="s">
        <v>89</v>
      </c>
      <c r="O627" t="s">
        <v>89</v>
      </c>
      <c r="P627" t="s">
        <v>90</v>
      </c>
      <c r="Q627" t="s">
        <v>114</v>
      </c>
      <c r="R627">
        <v>6</v>
      </c>
      <c r="S627">
        <v>6</v>
      </c>
      <c r="T627">
        <v>1962</v>
      </c>
      <c r="U627">
        <v>1962</v>
      </c>
      <c r="V627" t="s">
        <v>151</v>
      </c>
      <c r="W627" t="s">
        <v>93</v>
      </c>
      <c r="X627" t="s">
        <v>123</v>
      </c>
      <c r="Y627" t="s">
        <v>123</v>
      </c>
      <c r="Z627" t="s">
        <v>95</v>
      </c>
      <c r="AA627">
        <v>261</v>
      </c>
      <c r="AB627" t="s">
        <v>97</v>
      </c>
      <c r="AC627" t="s">
        <v>97</v>
      </c>
      <c r="AD627" t="s">
        <v>117</v>
      </c>
      <c r="AE627" t="s">
        <v>97</v>
      </c>
      <c r="AF627" t="s">
        <v>97</v>
      </c>
      <c r="AG627" t="s">
        <v>99</v>
      </c>
      <c r="AH627" t="s">
        <v>101</v>
      </c>
      <c r="AI627">
        <v>0</v>
      </c>
      <c r="AJ627" t="s">
        <v>101</v>
      </c>
      <c r="AK627">
        <v>0</v>
      </c>
      <c r="AL627">
        <v>1116</v>
      </c>
      <c r="AM627">
        <v>1116</v>
      </c>
      <c r="AN627" t="s">
        <v>102</v>
      </c>
      <c r="AO627" t="s">
        <v>97</v>
      </c>
      <c r="AP627" t="s">
        <v>104</v>
      </c>
      <c r="AQ627" t="s">
        <v>105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97</v>
      </c>
      <c r="BC627">
        <v>5</v>
      </c>
      <c r="BD627" t="s">
        <v>106</v>
      </c>
      <c r="BE627">
        <v>0</v>
      </c>
      <c r="BG627" t="s">
        <v>107</v>
      </c>
      <c r="BH627">
        <v>1962</v>
      </c>
      <c r="BI627" t="s">
        <v>101</v>
      </c>
      <c r="BJ627">
        <v>2</v>
      </c>
      <c r="BK627">
        <v>440</v>
      </c>
      <c r="BL627" t="s">
        <v>97</v>
      </c>
      <c r="BM627" t="s">
        <v>97</v>
      </c>
      <c r="BN627" t="s">
        <v>104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X627">
        <v>0</v>
      </c>
      <c r="BY627">
        <v>2</v>
      </c>
      <c r="BZ627">
        <v>2010</v>
      </c>
      <c r="CA627" t="s">
        <v>109</v>
      </c>
      <c r="CB627" t="s">
        <v>110</v>
      </c>
      <c r="CC627">
        <v>160000</v>
      </c>
    </row>
    <row r="628" spans="1:81" x14ac:dyDescent="0.3">
      <c r="A628">
        <v>627</v>
      </c>
      <c r="B628">
        <v>20</v>
      </c>
      <c r="C628" t="s">
        <v>81</v>
      </c>
      <c r="E628">
        <v>12342</v>
      </c>
      <c r="F628" t="s">
        <v>82</v>
      </c>
      <c r="H628" t="s">
        <v>119</v>
      </c>
      <c r="I628" t="s">
        <v>84</v>
      </c>
      <c r="J628" t="s">
        <v>85</v>
      </c>
      <c r="K628" t="s">
        <v>86</v>
      </c>
      <c r="L628" t="s">
        <v>87</v>
      </c>
      <c r="M628" t="s">
        <v>270</v>
      </c>
      <c r="N628" t="s">
        <v>89</v>
      </c>
      <c r="O628" t="s">
        <v>89</v>
      </c>
      <c r="P628" t="s">
        <v>90</v>
      </c>
      <c r="Q628" t="s">
        <v>114</v>
      </c>
      <c r="R628">
        <v>5</v>
      </c>
      <c r="S628">
        <v>5</v>
      </c>
      <c r="T628">
        <v>1960</v>
      </c>
      <c r="U628">
        <v>1978</v>
      </c>
      <c r="V628" t="s">
        <v>151</v>
      </c>
      <c r="W628" t="s">
        <v>93</v>
      </c>
      <c r="X628" t="s">
        <v>123</v>
      </c>
      <c r="Y628" t="s">
        <v>123</v>
      </c>
      <c r="Z628" t="s">
        <v>116</v>
      </c>
      <c r="AA628">
        <v>0</v>
      </c>
      <c r="AB628" t="s">
        <v>97</v>
      </c>
      <c r="AC628" t="s">
        <v>97</v>
      </c>
      <c r="AD628" t="s">
        <v>117</v>
      </c>
      <c r="AE628" t="s">
        <v>97</v>
      </c>
      <c r="AF628" t="s">
        <v>97</v>
      </c>
      <c r="AG628" t="s">
        <v>99</v>
      </c>
      <c r="AH628" t="s">
        <v>101</v>
      </c>
      <c r="AI628">
        <v>0</v>
      </c>
      <c r="AJ628" t="s">
        <v>101</v>
      </c>
      <c r="AK628">
        <v>0</v>
      </c>
      <c r="AL628">
        <v>978</v>
      </c>
      <c r="AM628">
        <v>978</v>
      </c>
      <c r="AN628" t="s">
        <v>102</v>
      </c>
      <c r="AO628" t="s">
        <v>97</v>
      </c>
      <c r="AP628" t="s">
        <v>104</v>
      </c>
      <c r="AQ628" t="s">
        <v>105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97</v>
      </c>
      <c r="BC628">
        <v>6</v>
      </c>
      <c r="BD628" t="s">
        <v>145</v>
      </c>
      <c r="BE628">
        <v>1</v>
      </c>
      <c r="BF628" t="s">
        <v>97</v>
      </c>
      <c r="BG628" t="s">
        <v>107</v>
      </c>
      <c r="BH628">
        <v>1960</v>
      </c>
      <c r="BI628" t="s">
        <v>108</v>
      </c>
      <c r="BJ628">
        <v>1</v>
      </c>
      <c r="BK628">
        <v>286</v>
      </c>
      <c r="BL628" t="s">
        <v>97</v>
      </c>
      <c r="BM628" t="s">
        <v>97</v>
      </c>
      <c r="BN628" t="s">
        <v>104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V628" t="s">
        <v>162</v>
      </c>
      <c r="BW628" t="s">
        <v>134</v>
      </c>
      <c r="BX628">
        <v>600</v>
      </c>
      <c r="BY628">
        <v>8</v>
      </c>
      <c r="BZ628">
        <v>2007</v>
      </c>
      <c r="CA628" t="s">
        <v>109</v>
      </c>
      <c r="CB628" t="s">
        <v>110</v>
      </c>
      <c r="CC628">
        <v>139900</v>
      </c>
    </row>
    <row r="629" spans="1:81" x14ac:dyDescent="0.3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H629" t="s">
        <v>83</v>
      </c>
      <c r="I629" t="s">
        <v>84</v>
      </c>
      <c r="J629" t="s">
        <v>85</v>
      </c>
      <c r="K629" t="s">
        <v>86</v>
      </c>
      <c r="L629" t="s">
        <v>87</v>
      </c>
      <c r="M629" t="s">
        <v>270</v>
      </c>
      <c r="N629" t="s">
        <v>89</v>
      </c>
      <c r="O629" t="s">
        <v>89</v>
      </c>
      <c r="P629" t="s">
        <v>90</v>
      </c>
      <c r="Q629" t="s">
        <v>196</v>
      </c>
      <c r="R629">
        <v>6</v>
      </c>
      <c r="S629">
        <v>6</v>
      </c>
      <c r="T629">
        <v>1955</v>
      </c>
      <c r="U629">
        <v>1972</v>
      </c>
      <c r="V629" t="s">
        <v>92</v>
      </c>
      <c r="W629" t="s">
        <v>93</v>
      </c>
      <c r="X629" t="s">
        <v>185</v>
      </c>
      <c r="Y629" t="s">
        <v>185</v>
      </c>
      <c r="Z629" t="s">
        <v>95</v>
      </c>
      <c r="AA629">
        <v>164</v>
      </c>
      <c r="AB629" t="s">
        <v>97</v>
      </c>
      <c r="AC629" t="s">
        <v>97</v>
      </c>
      <c r="AD629" t="s">
        <v>117</v>
      </c>
      <c r="AE629" t="s">
        <v>97</v>
      </c>
      <c r="AF629" t="s">
        <v>97</v>
      </c>
      <c r="AG629" t="s">
        <v>129</v>
      </c>
      <c r="AH629" t="s">
        <v>140</v>
      </c>
      <c r="AI629">
        <v>674</v>
      </c>
      <c r="AJ629" t="s">
        <v>171</v>
      </c>
      <c r="AK629">
        <v>132</v>
      </c>
      <c r="AL629">
        <v>350</v>
      </c>
      <c r="AM629">
        <v>1156</v>
      </c>
      <c r="AN629" t="s">
        <v>102</v>
      </c>
      <c r="AO629" t="s">
        <v>103</v>
      </c>
      <c r="AP629" t="s">
        <v>104</v>
      </c>
      <c r="AQ629" t="s">
        <v>105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97</v>
      </c>
      <c r="BC629">
        <v>7</v>
      </c>
      <c r="BD629" t="s">
        <v>106</v>
      </c>
      <c r="BE629">
        <v>2</v>
      </c>
      <c r="BF629" t="s">
        <v>96</v>
      </c>
      <c r="BG629" t="s">
        <v>208</v>
      </c>
      <c r="BH629">
        <v>1955</v>
      </c>
      <c r="BI629" t="s">
        <v>108</v>
      </c>
      <c r="BJ629">
        <v>1</v>
      </c>
      <c r="BK629">
        <v>364</v>
      </c>
      <c r="BL629" t="s">
        <v>97</v>
      </c>
      <c r="BM629" t="s">
        <v>97</v>
      </c>
      <c r="BN629" t="s">
        <v>104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X629">
        <v>0</v>
      </c>
      <c r="BY629">
        <v>3</v>
      </c>
      <c r="BZ629">
        <v>2010</v>
      </c>
      <c r="CA629" t="s">
        <v>109</v>
      </c>
      <c r="CB629" t="s">
        <v>110</v>
      </c>
      <c r="CC629">
        <v>153000</v>
      </c>
    </row>
    <row r="630" spans="1:81" x14ac:dyDescent="0.3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H630" t="s">
        <v>119</v>
      </c>
      <c r="I630" t="s">
        <v>198</v>
      </c>
      <c r="J630" t="s">
        <v>85</v>
      </c>
      <c r="K630" t="s">
        <v>86</v>
      </c>
      <c r="L630" t="s">
        <v>212</v>
      </c>
      <c r="M630" t="s">
        <v>270</v>
      </c>
      <c r="N630" t="s">
        <v>89</v>
      </c>
      <c r="O630" t="s">
        <v>89</v>
      </c>
      <c r="P630" t="s">
        <v>90</v>
      </c>
      <c r="Q630" t="s">
        <v>91</v>
      </c>
      <c r="R630">
        <v>5</v>
      </c>
      <c r="S630">
        <v>5</v>
      </c>
      <c r="T630">
        <v>1969</v>
      </c>
      <c r="U630">
        <v>1969</v>
      </c>
      <c r="V630" t="s">
        <v>92</v>
      </c>
      <c r="W630" t="s">
        <v>93</v>
      </c>
      <c r="X630" t="s">
        <v>160</v>
      </c>
      <c r="Y630" t="s">
        <v>160</v>
      </c>
      <c r="Z630" t="s">
        <v>95</v>
      </c>
      <c r="AA630">
        <v>192</v>
      </c>
      <c r="AB630" t="s">
        <v>97</v>
      </c>
      <c r="AC630" t="s">
        <v>97</v>
      </c>
      <c r="AD630" t="s">
        <v>98</v>
      </c>
      <c r="AE630" t="s">
        <v>96</v>
      </c>
      <c r="AF630" t="s">
        <v>97</v>
      </c>
      <c r="AG630" t="s">
        <v>129</v>
      </c>
      <c r="AH630" t="s">
        <v>152</v>
      </c>
      <c r="AI630">
        <v>650</v>
      </c>
      <c r="AJ630" t="s">
        <v>101</v>
      </c>
      <c r="AK630">
        <v>0</v>
      </c>
      <c r="AL630">
        <v>390</v>
      </c>
      <c r="AM630">
        <v>1040</v>
      </c>
      <c r="AN630" t="s">
        <v>102</v>
      </c>
      <c r="AO630" t="s">
        <v>97</v>
      </c>
      <c r="AP630" t="s">
        <v>104</v>
      </c>
      <c r="AQ630" t="s">
        <v>105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146</v>
      </c>
      <c r="BC630">
        <v>9</v>
      </c>
      <c r="BD630" t="s">
        <v>106</v>
      </c>
      <c r="BE630">
        <v>2</v>
      </c>
      <c r="BF630" t="s">
        <v>97</v>
      </c>
      <c r="BG630" t="s">
        <v>107</v>
      </c>
      <c r="BH630">
        <v>1969</v>
      </c>
      <c r="BI630" t="s">
        <v>101</v>
      </c>
      <c r="BJ630">
        <v>2</v>
      </c>
      <c r="BK630">
        <v>504</v>
      </c>
      <c r="BL630" t="s">
        <v>97</v>
      </c>
      <c r="BM630" t="s">
        <v>97</v>
      </c>
      <c r="BN630" t="s">
        <v>104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X630">
        <v>0</v>
      </c>
      <c r="BY630">
        <v>9</v>
      </c>
      <c r="BZ630">
        <v>2007</v>
      </c>
      <c r="CA630" t="s">
        <v>109</v>
      </c>
      <c r="CB630" t="s">
        <v>218</v>
      </c>
      <c r="CC630">
        <v>135000</v>
      </c>
    </row>
    <row r="631" spans="1:81" x14ac:dyDescent="0.3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H631" t="s">
        <v>83</v>
      </c>
      <c r="I631" t="s">
        <v>84</v>
      </c>
      <c r="J631" t="s">
        <v>85</v>
      </c>
      <c r="K631" t="s">
        <v>121</v>
      </c>
      <c r="L631" t="s">
        <v>87</v>
      </c>
      <c r="M631" t="s">
        <v>270</v>
      </c>
      <c r="N631" t="s">
        <v>113</v>
      </c>
      <c r="O631" t="s">
        <v>89</v>
      </c>
      <c r="P631" t="s">
        <v>90</v>
      </c>
      <c r="Q631" t="s">
        <v>196</v>
      </c>
      <c r="R631">
        <v>6</v>
      </c>
      <c r="S631">
        <v>5</v>
      </c>
      <c r="T631">
        <v>1964</v>
      </c>
      <c r="U631">
        <v>1964</v>
      </c>
      <c r="V631" t="s">
        <v>92</v>
      </c>
      <c r="W631" t="s">
        <v>195</v>
      </c>
      <c r="X631" t="s">
        <v>160</v>
      </c>
      <c r="Y631" t="s">
        <v>123</v>
      </c>
      <c r="Z631" t="s">
        <v>95</v>
      </c>
      <c r="AA631">
        <v>259</v>
      </c>
      <c r="AB631" t="s">
        <v>97</v>
      </c>
      <c r="AC631" t="s">
        <v>97</v>
      </c>
      <c r="AD631" t="s">
        <v>117</v>
      </c>
      <c r="AE631" t="s">
        <v>97</v>
      </c>
      <c r="AF631" t="s">
        <v>97</v>
      </c>
      <c r="AG631" t="s">
        <v>96</v>
      </c>
      <c r="AH631" t="s">
        <v>100</v>
      </c>
      <c r="AI631">
        <v>624</v>
      </c>
      <c r="AJ631" t="s">
        <v>152</v>
      </c>
      <c r="AK631">
        <v>336</v>
      </c>
      <c r="AL631">
        <v>288</v>
      </c>
      <c r="AM631">
        <v>1248</v>
      </c>
      <c r="AN631" t="s">
        <v>102</v>
      </c>
      <c r="AO631" t="s">
        <v>97</v>
      </c>
      <c r="AP631" t="s">
        <v>104</v>
      </c>
      <c r="AQ631" t="s">
        <v>105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97</v>
      </c>
      <c r="BC631">
        <v>6</v>
      </c>
      <c r="BD631" t="s">
        <v>106</v>
      </c>
      <c r="BE631">
        <v>0</v>
      </c>
      <c r="BG631" t="s">
        <v>107</v>
      </c>
      <c r="BH631">
        <v>1964</v>
      </c>
      <c r="BI631" t="s">
        <v>108</v>
      </c>
      <c r="BJ631">
        <v>2</v>
      </c>
      <c r="BK631">
        <v>520</v>
      </c>
      <c r="BL631" t="s">
        <v>97</v>
      </c>
      <c r="BM631" t="s">
        <v>97</v>
      </c>
      <c r="BN631" t="s">
        <v>104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V631" t="s">
        <v>164</v>
      </c>
      <c r="BX631">
        <v>0</v>
      </c>
      <c r="BY631">
        <v>6</v>
      </c>
      <c r="BZ631">
        <v>2008</v>
      </c>
      <c r="CA631" t="s">
        <v>109</v>
      </c>
      <c r="CB631" t="s">
        <v>110</v>
      </c>
      <c r="CC631">
        <v>168500</v>
      </c>
    </row>
    <row r="632" spans="1:81" x14ac:dyDescent="0.3">
      <c r="A632">
        <v>631</v>
      </c>
      <c r="B632">
        <v>70</v>
      </c>
      <c r="C632" t="s">
        <v>141</v>
      </c>
      <c r="D632">
        <v>50</v>
      </c>
      <c r="E632">
        <v>9000</v>
      </c>
      <c r="F632" t="s">
        <v>82</v>
      </c>
      <c r="G632" t="s">
        <v>173</v>
      </c>
      <c r="H632" t="s">
        <v>83</v>
      </c>
      <c r="I632" t="s">
        <v>84</v>
      </c>
      <c r="J632" t="s">
        <v>85</v>
      </c>
      <c r="K632" t="s">
        <v>121</v>
      </c>
      <c r="L632" t="s">
        <v>87</v>
      </c>
      <c r="M632" t="s">
        <v>142</v>
      </c>
      <c r="N632" t="s">
        <v>143</v>
      </c>
      <c r="O632" t="s">
        <v>89</v>
      </c>
      <c r="P632" t="s">
        <v>90</v>
      </c>
      <c r="Q632" t="s">
        <v>91</v>
      </c>
      <c r="R632">
        <v>5</v>
      </c>
      <c r="S632">
        <v>6</v>
      </c>
      <c r="T632">
        <v>1880</v>
      </c>
      <c r="U632">
        <v>1991</v>
      </c>
      <c r="V632" t="s">
        <v>92</v>
      </c>
      <c r="W632" t="s">
        <v>93</v>
      </c>
      <c r="X632" t="s">
        <v>94</v>
      </c>
      <c r="Y632" t="s">
        <v>94</v>
      </c>
      <c r="Z632" t="s">
        <v>116</v>
      </c>
      <c r="AA632">
        <v>0</v>
      </c>
      <c r="AB632" t="s">
        <v>97</v>
      </c>
      <c r="AC632" t="s">
        <v>97</v>
      </c>
      <c r="AD632" t="s">
        <v>125</v>
      </c>
      <c r="AE632" t="s">
        <v>146</v>
      </c>
      <c r="AF632" t="s">
        <v>146</v>
      </c>
      <c r="AG632" t="s">
        <v>99</v>
      </c>
      <c r="AH632" t="s">
        <v>101</v>
      </c>
      <c r="AI632">
        <v>0</v>
      </c>
      <c r="AJ632" t="s">
        <v>101</v>
      </c>
      <c r="AK632">
        <v>0</v>
      </c>
      <c r="AL632">
        <v>636</v>
      </c>
      <c r="AM632">
        <v>636</v>
      </c>
      <c r="AN632" t="s">
        <v>102</v>
      </c>
      <c r="AO632" t="s">
        <v>97</v>
      </c>
      <c r="AP632" t="s">
        <v>104</v>
      </c>
      <c r="AQ632" t="s">
        <v>163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103</v>
      </c>
      <c r="BC632">
        <v>8</v>
      </c>
      <c r="BD632" t="s">
        <v>106</v>
      </c>
      <c r="BE632">
        <v>0</v>
      </c>
      <c r="BG632" t="s">
        <v>126</v>
      </c>
      <c r="BH632">
        <v>1937</v>
      </c>
      <c r="BI632" t="s">
        <v>101</v>
      </c>
      <c r="BJ632">
        <v>1</v>
      </c>
      <c r="BK632">
        <v>240</v>
      </c>
      <c r="BL632" t="s">
        <v>146</v>
      </c>
      <c r="BM632" t="s">
        <v>211</v>
      </c>
      <c r="BN632" t="s">
        <v>176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V632" t="s">
        <v>133</v>
      </c>
      <c r="BX632">
        <v>0</v>
      </c>
      <c r="BY632">
        <v>6</v>
      </c>
      <c r="BZ632">
        <v>2006</v>
      </c>
      <c r="CA632" t="s">
        <v>109</v>
      </c>
      <c r="CB632" t="s">
        <v>127</v>
      </c>
      <c r="CC632">
        <v>124000</v>
      </c>
    </row>
    <row r="633" spans="1:81" x14ac:dyDescent="0.3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H633" t="s">
        <v>83</v>
      </c>
      <c r="I633" t="s">
        <v>84</v>
      </c>
      <c r="J633" t="s">
        <v>85</v>
      </c>
      <c r="K633" t="s">
        <v>86</v>
      </c>
      <c r="L633" t="s">
        <v>87</v>
      </c>
      <c r="M633" t="s">
        <v>153</v>
      </c>
      <c r="N633" t="s">
        <v>89</v>
      </c>
      <c r="O633" t="s">
        <v>89</v>
      </c>
      <c r="P633" t="s">
        <v>197</v>
      </c>
      <c r="Q633" t="s">
        <v>114</v>
      </c>
      <c r="R633">
        <v>8</v>
      </c>
      <c r="S633">
        <v>5</v>
      </c>
      <c r="T633">
        <v>2006</v>
      </c>
      <c r="U633">
        <v>2006</v>
      </c>
      <c r="V633" t="s">
        <v>92</v>
      </c>
      <c r="W633" t="s">
        <v>93</v>
      </c>
      <c r="X633" t="s">
        <v>94</v>
      </c>
      <c r="Y633" t="s">
        <v>94</v>
      </c>
      <c r="Z633" t="s">
        <v>136</v>
      </c>
      <c r="AA633">
        <v>108</v>
      </c>
      <c r="AB633" t="s">
        <v>96</v>
      </c>
      <c r="AC633" t="s">
        <v>97</v>
      </c>
      <c r="AD633" t="s">
        <v>98</v>
      </c>
      <c r="AE633" t="s">
        <v>96</v>
      </c>
      <c r="AF633" t="s">
        <v>96</v>
      </c>
      <c r="AG633" t="s">
        <v>120</v>
      </c>
      <c r="AH633" t="s">
        <v>100</v>
      </c>
      <c r="AI633">
        <v>24</v>
      </c>
      <c r="AJ633" t="s">
        <v>101</v>
      </c>
      <c r="AK633">
        <v>0</v>
      </c>
      <c r="AL633">
        <v>1530</v>
      </c>
      <c r="AM633">
        <v>1554</v>
      </c>
      <c r="AN633" t="s">
        <v>102</v>
      </c>
      <c r="AO633" t="s">
        <v>103</v>
      </c>
      <c r="AP633" t="s">
        <v>104</v>
      </c>
      <c r="AQ633" t="s">
        <v>105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96</v>
      </c>
      <c r="BC633">
        <v>6</v>
      </c>
      <c r="BD633" t="s">
        <v>106</v>
      </c>
      <c r="BE633">
        <v>1</v>
      </c>
      <c r="BF633" t="s">
        <v>96</v>
      </c>
      <c r="BG633" t="s">
        <v>107</v>
      </c>
      <c r="BH633">
        <v>2006</v>
      </c>
      <c r="BI633" t="s">
        <v>108</v>
      </c>
      <c r="BJ633">
        <v>2</v>
      </c>
      <c r="BK633">
        <v>627</v>
      </c>
      <c r="BL633" t="s">
        <v>97</v>
      </c>
      <c r="BM633" t="s">
        <v>97</v>
      </c>
      <c r="BN633" t="s">
        <v>104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X633">
        <v>0</v>
      </c>
      <c r="BY633">
        <v>8</v>
      </c>
      <c r="BZ633">
        <v>2007</v>
      </c>
      <c r="CA633" t="s">
        <v>109</v>
      </c>
      <c r="CB633" t="s">
        <v>110</v>
      </c>
      <c r="CC633">
        <v>209500</v>
      </c>
    </row>
    <row r="634" spans="1:81" x14ac:dyDescent="0.3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H634" t="s">
        <v>83</v>
      </c>
      <c r="I634" t="s">
        <v>84</v>
      </c>
      <c r="J634" t="s">
        <v>85</v>
      </c>
      <c r="K634" t="s">
        <v>86</v>
      </c>
      <c r="L634" t="s">
        <v>87</v>
      </c>
      <c r="M634" t="s">
        <v>137</v>
      </c>
      <c r="N634" t="s">
        <v>89</v>
      </c>
      <c r="O634" t="s">
        <v>89</v>
      </c>
      <c r="P634" t="s">
        <v>90</v>
      </c>
      <c r="Q634" t="s">
        <v>114</v>
      </c>
      <c r="R634">
        <v>7</v>
      </c>
      <c r="S634">
        <v>5</v>
      </c>
      <c r="T634">
        <v>1977</v>
      </c>
      <c r="U634">
        <v>1977</v>
      </c>
      <c r="V634" t="s">
        <v>151</v>
      </c>
      <c r="W634" t="s">
        <v>93</v>
      </c>
      <c r="X634" t="s">
        <v>160</v>
      </c>
      <c r="Y634" t="s">
        <v>160</v>
      </c>
      <c r="Z634" t="s">
        <v>95</v>
      </c>
      <c r="AA634">
        <v>209</v>
      </c>
      <c r="AB634" t="s">
        <v>97</v>
      </c>
      <c r="AC634" t="s">
        <v>96</v>
      </c>
      <c r="AD634" t="s">
        <v>117</v>
      </c>
      <c r="AE634" t="s">
        <v>97</v>
      </c>
      <c r="AF634" t="s">
        <v>97</v>
      </c>
      <c r="AG634" t="s">
        <v>99</v>
      </c>
      <c r="AH634" t="s">
        <v>118</v>
      </c>
      <c r="AI634">
        <v>822</v>
      </c>
      <c r="AJ634" t="s">
        <v>101</v>
      </c>
      <c r="AK634">
        <v>0</v>
      </c>
      <c r="AL634">
        <v>564</v>
      </c>
      <c r="AM634">
        <v>1386</v>
      </c>
      <c r="AN634" t="s">
        <v>102</v>
      </c>
      <c r="AO634" t="s">
        <v>97</v>
      </c>
      <c r="AP634" t="s">
        <v>104</v>
      </c>
      <c r="AQ634" t="s">
        <v>105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97</v>
      </c>
      <c r="BC634">
        <v>6</v>
      </c>
      <c r="BD634" t="s">
        <v>106</v>
      </c>
      <c r="BE634">
        <v>1</v>
      </c>
      <c r="BF634" t="s">
        <v>97</v>
      </c>
      <c r="BG634" t="s">
        <v>107</v>
      </c>
      <c r="BH634">
        <v>1977</v>
      </c>
      <c r="BI634" t="s">
        <v>156</v>
      </c>
      <c r="BJ634">
        <v>2</v>
      </c>
      <c r="BK634">
        <v>544</v>
      </c>
      <c r="BL634" t="s">
        <v>97</v>
      </c>
      <c r="BM634" t="s">
        <v>97</v>
      </c>
      <c r="BN634" t="s">
        <v>104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X634">
        <v>0</v>
      </c>
      <c r="BY634">
        <v>4</v>
      </c>
      <c r="BZ634">
        <v>2009</v>
      </c>
      <c r="CA634" t="s">
        <v>109</v>
      </c>
      <c r="CB634" t="s">
        <v>218</v>
      </c>
      <c r="CC634">
        <v>82500</v>
      </c>
    </row>
    <row r="635" spans="1:81" x14ac:dyDescent="0.3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H635" t="s">
        <v>83</v>
      </c>
      <c r="I635" t="s">
        <v>84</v>
      </c>
      <c r="J635" t="s">
        <v>85</v>
      </c>
      <c r="K635" t="s">
        <v>121</v>
      </c>
      <c r="L635" t="s">
        <v>87</v>
      </c>
      <c r="M635" t="s">
        <v>270</v>
      </c>
      <c r="N635" t="s">
        <v>89</v>
      </c>
      <c r="O635" t="s">
        <v>89</v>
      </c>
      <c r="P635" t="s">
        <v>90</v>
      </c>
      <c r="Q635" t="s">
        <v>114</v>
      </c>
      <c r="R635">
        <v>5</v>
      </c>
      <c r="S635">
        <v>7</v>
      </c>
      <c r="T635">
        <v>1954</v>
      </c>
      <c r="U635">
        <v>2005</v>
      </c>
      <c r="V635" t="s">
        <v>92</v>
      </c>
      <c r="W635" t="s">
        <v>93</v>
      </c>
      <c r="X635" t="s">
        <v>123</v>
      </c>
      <c r="Y635" t="s">
        <v>123</v>
      </c>
      <c r="Z635" t="s">
        <v>116</v>
      </c>
      <c r="AA635">
        <v>0</v>
      </c>
      <c r="AB635" t="s">
        <v>97</v>
      </c>
      <c r="AC635" t="s">
        <v>97</v>
      </c>
      <c r="AD635" t="s">
        <v>117</v>
      </c>
      <c r="AE635" t="s">
        <v>97</v>
      </c>
      <c r="AF635" t="s">
        <v>97</v>
      </c>
      <c r="AG635" t="s">
        <v>99</v>
      </c>
      <c r="AH635" t="s">
        <v>140</v>
      </c>
      <c r="AI635">
        <v>480</v>
      </c>
      <c r="AJ635" t="s">
        <v>171</v>
      </c>
      <c r="AK635">
        <v>468</v>
      </c>
      <c r="AL635">
        <v>108</v>
      </c>
      <c r="AM635">
        <v>1056</v>
      </c>
      <c r="AN635" t="s">
        <v>102</v>
      </c>
      <c r="AO635" t="s">
        <v>97</v>
      </c>
      <c r="AP635" t="s">
        <v>104</v>
      </c>
      <c r="AQ635" t="s">
        <v>105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97</v>
      </c>
      <c r="BC635">
        <v>6</v>
      </c>
      <c r="BD635" t="s">
        <v>106</v>
      </c>
      <c r="BE635">
        <v>0</v>
      </c>
      <c r="BG635" t="s">
        <v>107</v>
      </c>
      <c r="BH635">
        <v>1954</v>
      </c>
      <c r="BI635" t="s">
        <v>101</v>
      </c>
      <c r="BJ635">
        <v>1</v>
      </c>
      <c r="BK635">
        <v>260</v>
      </c>
      <c r="BL635" t="s">
        <v>97</v>
      </c>
      <c r="BM635" t="s">
        <v>97</v>
      </c>
      <c r="BN635" t="s">
        <v>104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X635">
        <v>0</v>
      </c>
      <c r="BY635">
        <v>7</v>
      </c>
      <c r="BZ635">
        <v>2007</v>
      </c>
      <c r="CA635" t="s">
        <v>109</v>
      </c>
      <c r="CB635" t="s">
        <v>110</v>
      </c>
      <c r="CC635">
        <v>139400</v>
      </c>
    </row>
    <row r="636" spans="1:81" x14ac:dyDescent="0.3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H636" t="s">
        <v>83</v>
      </c>
      <c r="I636" t="s">
        <v>84</v>
      </c>
      <c r="J636" t="s">
        <v>85</v>
      </c>
      <c r="K636" t="s">
        <v>86</v>
      </c>
      <c r="L636" t="s">
        <v>87</v>
      </c>
      <c r="M636" t="s">
        <v>142</v>
      </c>
      <c r="N636" t="s">
        <v>89</v>
      </c>
      <c r="O636" t="s">
        <v>89</v>
      </c>
      <c r="P636" t="s">
        <v>166</v>
      </c>
      <c r="Q636" t="s">
        <v>190</v>
      </c>
      <c r="R636">
        <v>6</v>
      </c>
      <c r="S636">
        <v>5</v>
      </c>
      <c r="T636">
        <v>1980</v>
      </c>
      <c r="U636">
        <v>1980</v>
      </c>
      <c r="V636" t="s">
        <v>92</v>
      </c>
      <c r="W636" t="s">
        <v>93</v>
      </c>
      <c r="X636" t="s">
        <v>160</v>
      </c>
      <c r="Y636" t="s">
        <v>160</v>
      </c>
      <c r="Z636" t="s">
        <v>116</v>
      </c>
      <c r="AA636">
        <v>0</v>
      </c>
      <c r="AB636" t="s">
        <v>97</v>
      </c>
      <c r="AC636" t="s">
        <v>97</v>
      </c>
      <c r="AD636" t="s">
        <v>117</v>
      </c>
      <c r="AE636" t="s">
        <v>97</v>
      </c>
      <c r="AF636" t="s">
        <v>97</v>
      </c>
      <c r="AG636" t="s">
        <v>99</v>
      </c>
      <c r="AH636" t="s">
        <v>100</v>
      </c>
      <c r="AI636">
        <v>1056</v>
      </c>
      <c r="AJ636" t="s">
        <v>101</v>
      </c>
      <c r="AK636">
        <v>0</v>
      </c>
      <c r="AL636">
        <v>0</v>
      </c>
      <c r="AM636">
        <v>1056</v>
      </c>
      <c r="AN636" t="s">
        <v>102</v>
      </c>
      <c r="AO636" t="s">
        <v>96</v>
      </c>
      <c r="AP636" t="s">
        <v>104</v>
      </c>
      <c r="AQ636" t="s">
        <v>105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97</v>
      </c>
      <c r="BC636">
        <v>4</v>
      </c>
      <c r="BD636" t="s">
        <v>106</v>
      </c>
      <c r="BE636">
        <v>0</v>
      </c>
      <c r="BG636" t="s">
        <v>126</v>
      </c>
      <c r="BH636">
        <v>1980</v>
      </c>
      <c r="BI636" t="s">
        <v>101</v>
      </c>
      <c r="BJ636">
        <v>2</v>
      </c>
      <c r="BK636">
        <v>576</v>
      </c>
      <c r="BL636" t="s">
        <v>97</v>
      </c>
      <c r="BM636" t="s">
        <v>97</v>
      </c>
      <c r="BN636" t="s">
        <v>104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V636" t="s">
        <v>164</v>
      </c>
      <c r="BW636" t="s">
        <v>134</v>
      </c>
      <c r="BX636">
        <v>600</v>
      </c>
      <c r="BY636">
        <v>6</v>
      </c>
      <c r="BZ636">
        <v>2010</v>
      </c>
      <c r="CA636" t="s">
        <v>109</v>
      </c>
      <c r="CB636" t="s">
        <v>110</v>
      </c>
      <c r="CC636">
        <v>144000</v>
      </c>
    </row>
    <row r="637" spans="1:81" x14ac:dyDescent="0.3">
      <c r="A637">
        <v>636</v>
      </c>
      <c r="B637">
        <v>190</v>
      </c>
      <c r="C637" t="s">
        <v>238</v>
      </c>
      <c r="D637">
        <v>60</v>
      </c>
      <c r="E637">
        <v>10896</v>
      </c>
      <c r="F637" t="s">
        <v>82</v>
      </c>
      <c r="G637" t="s">
        <v>82</v>
      </c>
      <c r="H637" t="s">
        <v>83</v>
      </c>
      <c r="I637" t="s">
        <v>174</v>
      </c>
      <c r="J637" t="s">
        <v>85</v>
      </c>
      <c r="K637" t="s">
        <v>86</v>
      </c>
      <c r="L637" t="s">
        <v>87</v>
      </c>
      <c r="M637" t="s">
        <v>231</v>
      </c>
      <c r="N637" t="s">
        <v>113</v>
      </c>
      <c r="O637" t="s">
        <v>89</v>
      </c>
      <c r="P637" t="s">
        <v>148</v>
      </c>
      <c r="Q637" t="s">
        <v>224</v>
      </c>
      <c r="R637">
        <v>6</v>
      </c>
      <c r="S637">
        <v>7</v>
      </c>
      <c r="T637">
        <v>1914</v>
      </c>
      <c r="U637">
        <v>1995</v>
      </c>
      <c r="V637" t="s">
        <v>151</v>
      </c>
      <c r="W637" t="s">
        <v>93</v>
      </c>
      <c r="X637" t="s">
        <v>94</v>
      </c>
      <c r="Y637" t="s">
        <v>94</v>
      </c>
      <c r="Z637" t="s">
        <v>116</v>
      </c>
      <c r="AA637">
        <v>0</v>
      </c>
      <c r="AB637" t="s">
        <v>146</v>
      </c>
      <c r="AC637" t="s">
        <v>97</v>
      </c>
      <c r="AD637" t="s">
        <v>117</v>
      </c>
      <c r="AE637" t="s">
        <v>97</v>
      </c>
      <c r="AF637" t="s">
        <v>146</v>
      </c>
      <c r="AG637" t="s">
        <v>99</v>
      </c>
      <c r="AH637" t="s">
        <v>171</v>
      </c>
      <c r="AI637">
        <v>256</v>
      </c>
      <c r="AJ637" t="s">
        <v>101</v>
      </c>
      <c r="AK637">
        <v>0</v>
      </c>
      <c r="AL637">
        <v>1184</v>
      </c>
      <c r="AM637">
        <v>1440</v>
      </c>
      <c r="AN637" t="s">
        <v>102</v>
      </c>
      <c r="AO637" t="s">
        <v>103</v>
      </c>
      <c r="AP637" t="s">
        <v>104</v>
      </c>
      <c r="AQ637" t="s">
        <v>163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146</v>
      </c>
      <c r="BC637">
        <v>14</v>
      </c>
      <c r="BD637" t="s">
        <v>106</v>
      </c>
      <c r="BE637">
        <v>0</v>
      </c>
      <c r="BJ637">
        <v>0</v>
      </c>
      <c r="BK637">
        <v>0</v>
      </c>
      <c r="BN637" t="s">
        <v>176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X637">
        <v>0</v>
      </c>
      <c r="BY637">
        <v>3</v>
      </c>
      <c r="BZ637">
        <v>2007</v>
      </c>
      <c r="CA637" t="s">
        <v>109</v>
      </c>
      <c r="CB637" t="s">
        <v>127</v>
      </c>
      <c r="CC637">
        <v>200000</v>
      </c>
    </row>
    <row r="638" spans="1:81" x14ac:dyDescent="0.3">
      <c r="A638">
        <v>637</v>
      </c>
      <c r="B638">
        <v>30</v>
      </c>
      <c r="C638" t="s">
        <v>141</v>
      </c>
      <c r="D638">
        <v>51</v>
      </c>
      <c r="E638">
        <v>6120</v>
      </c>
      <c r="F638" t="s">
        <v>82</v>
      </c>
      <c r="H638" t="s">
        <v>83</v>
      </c>
      <c r="I638" t="s">
        <v>84</v>
      </c>
      <c r="J638" t="s">
        <v>85</v>
      </c>
      <c r="K638" t="s">
        <v>86</v>
      </c>
      <c r="L638" t="s">
        <v>87</v>
      </c>
      <c r="M638" t="s">
        <v>147</v>
      </c>
      <c r="N638" t="s">
        <v>89</v>
      </c>
      <c r="O638" t="s">
        <v>89</v>
      </c>
      <c r="P638" t="s">
        <v>90</v>
      </c>
      <c r="Q638" t="s">
        <v>114</v>
      </c>
      <c r="R638">
        <v>2</v>
      </c>
      <c r="S638">
        <v>3</v>
      </c>
      <c r="T638">
        <v>1936</v>
      </c>
      <c r="U638">
        <v>1950</v>
      </c>
      <c r="V638" t="s">
        <v>92</v>
      </c>
      <c r="W638" t="s">
        <v>93</v>
      </c>
      <c r="X638" t="s">
        <v>185</v>
      </c>
      <c r="Y638" t="s">
        <v>185</v>
      </c>
      <c r="Z638" t="s">
        <v>116</v>
      </c>
      <c r="AA638">
        <v>0</v>
      </c>
      <c r="AB638" t="s">
        <v>146</v>
      </c>
      <c r="AC638" t="s">
        <v>146</v>
      </c>
      <c r="AD638" t="s">
        <v>125</v>
      </c>
      <c r="AE638" t="s">
        <v>97</v>
      </c>
      <c r="AF638" t="s">
        <v>146</v>
      </c>
      <c r="AG638" t="s">
        <v>99</v>
      </c>
      <c r="AH638" t="s">
        <v>101</v>
      </c>
      <c r="AI638">
        <v>0</v>
      </c>
      <c r="AJ638" t="s">
        <v>101</v>
      </c>
      <c r="AK638">
        <v>0</v>
      </c>
      <c r="AL638">
        <v>264</v>
      </c>
      <c r="AM638">
        <v>264</v>
      </c>
      <c r="AN638" t="s">
        <v>221</v>
      </c>
      <c r="AO638" t="s">
        <v>146</v>
      </c>
      <c r="AP638" t="s">
        <v>176</v>
      </c>
      <c r="AQ638" t="s">
        <v>163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146</v>
      </c>
      <c r="BC638">
        <v>4</v>
      </c>
      <c r="BD638" t="s">
        <v>220</v>
      </c>
      <c r="BE638">
        <v>1</v>
      </c>
      <c r="BF638" t="s">
        <v>211</v>
      </c>
      <c r="BJ638">
        <v>0</v>
      </c>
      <c r="BK638">
        <v>0</v>
      </c>
      <c r="BN638" t="s">
        <v>176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X638">
        <v>0</v>
      </c>
      <c r="BY638">
        <v>1</v>
      </c>
      <c r="BZ638">
        <v>2009</v>
      </c>
      <c r="CA638" t="s">
        <v>234</v>
      </c>
      <c r="CB638" t="s">
        <v>110</v>
      </c>
      <c r="CC638">
        <v>60000</v>
      </c>
    </row>
    <row r="639" spans="1:81" x14ac:dyDescent="0.3">
      <c r="A639">
        <v>638</v>
      </c>
      <c r="B639">
        <v>190</v>
      </c>
      <c r="C639" t="s">
        <v>141</v>
      </c>
      <c r="D639">
        <v>50</v>
      </c>
      <c r="E639">
        <v>6000</v>
      </c>
      <c r="F639" t="s">
        <v>82</v>
      </c>
      <c r="H639" t="s">
        <v>83</v>
      </c>
      <c r="I639" t="s">
        <v>84</v>
      </c>
      <c r="J639" t="s">
        <v>85</v>
      </c>
      <c r="K639" t="s">
        <v>86</v>
      </c>
      <c r="L639" t="s">
        <v>87</v>
      </c>
      <c r="M639" t="s">
        <v>142</v>
      </c>
      <c r="N639" t="s">
        <v>89</v>
      </c>
      <c r="O639" t="s">
        <v>89</v>
      </c>
      <c r="P639" t="s">
        <v>148</v>
      </c>
      <c r="Q639" t="s">
        <v>131</v>
      </c>
      <c r="R639">
        <v>5</v>
      </c>
      <c r="S639">
        <v>4</v>
      </c>
      <c r="T639">
        <v>1954</v>
      </c>
      <c r="U639">
        <v>1954</v>
      </c>
      <c r="V639" t="s">
        <v>92</v>
      </c>
      <c r="W639" t="s">
        <v>93</v>
      </c>
      <c r="X639" t="s">
        <v>123</v>
      </c>
      <c r="Y639" t="s">
        <v>123</v>
      </c>
      <c r="Z639" t="s">
        <v>116</v>
      </c>
      <c r="AA639">
        <v>0</v>
      </c>
      <c r="AB639" t="s">
        <v>97</v>
      </c>
      <c r="AC639" t="s">
        <v>97</v>
      </c>
      <c r="AD639" t="s">
        <v>117</v>
      </c>
      <c r="AE639" t="s">
        <v>97</v>
      </c>
      <c r="AF639" t="s">
        <v>97</v>
      </c>
      <c r="AG639" t="s">
        <v>99</v>
      </c>
      <c r="AH639" t="s">
        <v>101</v>
      </c>
      <c r="AI639">
        <v>0</v>
      </c>
      <c r="AJ639" t="s">
        <v>101</v>
      </c>
      <c r="AK639">
        <v>0</v>
      </c>
      <c r="AL639">
        <v>811</v>
      </c>
      <c r="AM639">
        <v>811</v>
      </c>
      <c r="AN639" t="s">
        <v>102</v>
      </c>
      <c r="AO639" t="s">
        <v>97</v>
      </c>
      <c r="AP639" t="s">
        <v>104</v>
      </c>
      <c r="AQ639" t="s">
        <v>163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96</v>
      </c>
      <c r="BC639">
        <v>7</v>
      </c>
      <c r="BD639" t="s">
        <v>106</v>
      </c>
      <c r="BE639">
        <v>0</v>
      </c>
      <c r="BG639" t="s">
        <v>155</v>
      </c>
      <c r="BH639">
        <v>1954</v>
      </c>
      <c r="BI639" t="s">
        <v>101</v>
      </c>
      <c r="BJ639">
        <v>1</v>
      </c>
      <c r="BK639">
        <v>256</v>
      </c>
      <c r="BL639" t="s">
        <v>97</v>
      </c>
      <c r="BM639" t="s">
        <v>97</v>
      </c>
      <c r="BN639" t="s">
        <v>104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X639">
        <v>0</v>
      </c>
      <c r="BY639">
        <v>11</v>
      </c>
      <c r="BZ639">
        <v>2009</v>
      </c>
      <c r="CA639" t="s">
        <v>109</v>
      </c>
      <c r="CB639" t="s">
        <v>110</v>
      </c>
      <c r="CC639">
        <v>93000</v>
      </c>
    </row>
    <row r="640" spans="1:81" x14ac:dyDescent="0.3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H640" t="s">
        <v>83</v>
      </c>
      <c r="I640" t="s">
        <v>84</v>
      </c>
      <c r="J640" t="s">
        <v>85</v>
      </c>
      <c r="K640" t="s">
        <v>86</v>
      </c>
      <c r="L640" t="s">
        <v>87</v>
      </c>
      <c r="M640" t="s">
        <v>184</v>
      </c>
      <c r="N640" t="s">
        <v>113</v>
      </c>
      <c r="O640" t="s">
        <v>89</v>
      </c>
      <c r="P640" t="s">
        <v>90</v>
      </c>
      <c r="Q640" t="s">
        <v>114</v>
      </c>
      <c r="R640">
        <v>5</v>
      </c>
      <c r="S640">
        <v>7</v>
      </c>
      <c r="T640">
        <v>1910</v>
      </c>
      <c r="U640">
        <v>1950</v>
      </c>
      <c r="V640" t="s">
        <v>92</v>
      </c>
      <c r="W640" t="s">
        <v>93</v>
      </c>
      <c r="X640" t="s">
        <v>115</v>
      </c>
      <c r="Y640" t="s">
        <v>123</v>
      </c>
      <c r="Z640" t="s">
        <v>116</v>
      </c>
      <c r="AA640">
        <v>0</v>
      </c>
      <c r="AB640" t="s">
        <v>97</v>
      </c>
      <c r="AC640" t="s">
        <v>97</v>
      </c>
      <c r="AD640" t="s">
        <v>117</v>
      </c>
      <c r="AE640" t="s">
        <v>146</v>
      </c>
      <c r="AF640" t="s">
        <v>97</v>
      </c>
      <c r="AG640" t="s">
        <v>99</v>
      </c>
      <c r="AH640" t="s">
        <v>101</v>
      </c>
      <c r="AI640">
        <v>0</v>
      </c>
      <c r="AJ640" t="s">
        <v>101</v>
      </c>
      <c r="AK640">
        <v>0</v>
      </c>
      <c r="AL640">
        <v>796</v>
      </c>
      <c r="AM640">
        <v>796</v>
      </c>
      <c r="AN640" t="s">
        <v>102</v>
      </c>
      <c r="AO640" t="s">
        <v>96</v>
      </c>
      <c r="AP640" t="s">
        <v>104</v>
      </c>
      <c r="AQ640" t="s">
        <v>163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97</v>
      </c>
      <c r="BC640">
        <v>4</v>
      </c>
      <c r="BD640" t="s">
        <v>106</v>
      </c>
      <c r="BE640">
        <v>0</v>
      </c>
      <c r="BJ640">
        <v>0</v>
      </c>
      <c r="BK640">
        <v>0</v>
      </c>
      <c r="BN640" t="s">
        <v>189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V640" t="s">
        <v>133</v>
      </c>
      <c r="BX640">
        <v>0</v>
      </c>
      <c r="BY640">
        <v>5</v>
      </c>
      <c r="BZ640">
        <v>2008</v>
      </c>
      <c r="CA640" t="s">
        <v>109</v>
      </c>
      <c r="CB640" t="s">
        <v>110</v>
      </c>
      <c r="CC640">
        <v>85000</v>
      </c>
    </row>
    <row r="641" spans="1:81" x14ac:dyDescent="0.3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H641" t="s">
        <v>83</v>
      </c>
      <c r="I641" t="s">
        <v>84</v>
      </c>
      <c r="J641" t="s">
        <v>85</v>
      </c>
      <c r="K641" t="s">
        <v>86</v>
      </c>
      <c r="L641" t="s">
        <v>87</v>
      </c>
      <c r="M641" t="s">
        <v>226</v>
      </c>
      <c r="N641" t="s">
        <v>89</v>
      </c>
      <c r="O641" t="s">
        <v>89</v>
      </c>
      <c r="P641" t="s">
        <v>178</v>
      </c>
      <c r="Q641" t="s">
        <v>114</v>
      </c>
      <c r="R641">
        <v>8</v>
      </c>
      <c r="S641">
        <v>5</v>
      </c>
      <c r="T641">
        <v>2006</v>
      </c>
      <c r="U641">
        <v>2006</v>
      </c>
      <c r="V641" t="s">
        <v>151</v>
      </c>
      <c r="W641" t="s">
        <v>93</v>
      </c>
      <c r="X641" t="s">
        <v>94</v>
      </c>
      <c r="Y641" t="s">
        <v>94</v>
      </c>
      <c r="Z641" t="s">
        <v>116</v>
      </c>
      <c r="AA641">
        <v>0</v>
      </c>
      <c r="AB641" t="s">
        <v>96</v>
      </c>
      <c r="AC641" t="s">
        <v>97</v>
      </c>
      <c r="AD641" t="s">
        <v>98</v>
      </c>
      <c r="AE641" t="s">
        <v>96</v>
      </c>
      <c r="AF641" t="s">
        <v>96</v>
      </c>
      <c r="AG641" t="s">
        <v>129</v>
      </c>
      <c r="AH641" t="s">
        <v>100</v>
      </c>
      <c r="AI641">
        <v>1154</v>
      </c>
      <c r="AJ641" t="s">
        <v>101</v>
      </c>
      <c r="AK641">
        <v>0</v>
      </c>
      <c r="AL641">
        <v>366</v>
      </c>
      <c r="AM641">
        <v>1520</v>
      </c>
      <c r="AN641" t="s">
        <v>102</v>
      </c>
      <c r="AO641" t="s">
        <v>103</v>
      </c>
      <c r="AP641" t="s">
        <v>104</v>
      </c>
      <c r="AQ641" t="s">
        <v>105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103</v>
      </c>
      <c r="BC641">
        <v>7</v>
      </c>
      <c r="BD641" t="s">
        <v>106</v>
      </c>
      <c r="BE641">
        <v>1</v>
      </c>
      <c r="BF641" t="s">
        <v>96</v>
      </c>
      <c r="BG641" t="s">
        <v>107</v>
      </c>
      <c r="BH641">
        <v>2006</v>
      </c>
      <c r="BI641" t="s">
        <v>156</v>
      </c>
      <c r="BJ641">
        <v>3</v>
      </c>
      <c r="BK641">
        <v>648</v>
      </c>
      <c r="BL641" t="s">
        <v>97</v>
      </c>
      <c r="BM641" t="s">
        <v>97</v>
      </c>
      <c r="BN641" t="s">
        <v>104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X641">
        <v>0</v>
      </c>
      <c r="BY641">
        <v>10</v>
      </c>
      <c r="BZ641">
        <v>2006</v>
      </c>
      <c r="CA641" t="s">
        <v>157</v>
      </c>
      <c r="CB641" t="s">
        <v>158</v>
      </c>
      <c r="CC641">
        <v>264561</v>
      </c>
    </row>
    <row r="642" spans="1:81" x14ac:dyDescent="0.3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H642" t="s">
        <v>119</v>
      </c>
      <c r="I642" t="s">
        <v>84</v>
      </c>
      <c r="J642" t="s">
        <v>85</v>
      </c>
      <c r="K642" t="s">
        <v>86</v>
      </c>
      <c r="L642" t="s">
        <v>87</v>
      </c>
      <c r="M642" t="s">
        <v>153</v>
      </c>
      <c r="N642" t="s">
        <v>89</v>
      </c>
      <c r="O642" t="s">
        <v>89</v>
      </c>
      <c r="P642" t="s">
        <v>178</v>
      </c>
      <c r="Q642" t="s">
        <v>114</v>
      </c>
      <c r="R642">
        <v>8</v>
      </c>
      <c r="S642">
        <v>5</v>
      </c>
      <c r="T642">
        <v>2003</v>
      </c>
      <c r="U642">
        <v>2004</v>
      </c>
      <c r="V642" t="s">
        <v>151</v>
      </c>
      <c r="W642" t="s">
        <v>93</v>
      </c>
      <c r="X642" t="s">
        <v>115</v>
      </c>
      <c r="Y642" t="s">
        <v>115</v>
      </c>
      <c r="Z642" t="s">
        <v>95</v>
      </c>
      <c r="AA642">
        <v>472</v>
      </c>
      <c r="AB642" t="s">
        <v>103</v>
      </c>
      <c r="AC642" t="s">
        <v>97</v>
      </c>
      <c r="AD642" t="s">
        <v>98</v>
      </c>
      <c r="AE642" t="s">
        <v>103</v>
      </c>
      <c r="AF642" t="s">
        <v>97</v>
      </c>
      <c r="AG642" t="s">
        <v>96</v>
      </c>
      <c r="AH642" t="s">
        <v>100</v>
      </c>
      <c r="AI642">
        <v>1218</v>
      </c>
      <c r="AJ642" t="s">
        <v>101</v>
      </c>
      <c r="AK642">
        <v>0</v>
      </c>
      <c r="AL642">
        <v>300</v>
      </c>
      <c r="AM642">
        <v>1518</v>
      </c>
      <c r="AN642" t="s">
        <v>102</v>
      </c>
      <c r="AO642" t="s">
        <v>103</v>
      </c>
      <c r="AP642" t="s">
        <v>104</v>
      </c>
      <c r="AQ642" t="s">
        <v>105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103</v>
      </c>
      <c r="BC642">
        <v>6</v>
      </c>
      <c r="BD642" t="s">
        <v>106</v>
      </c>
      <c r="BE642">
        <v>1</v>
      </c>
      <c r="BF642" t="s">
        <v>96</v>
      </c>
      <c r="BG642" t="s">
        <v>107</v>
      </c>
      <c r="BH642">
        <v>2003</v>
      </c>
      <c r="BI642" t="s">
        <v>108</v>
      </c>
      <c r="BJ642">
        <v>2</v>
      </c>
      <c r="BK642">
        <v>588</v>
      </c>
      <c r="BL642" t="s">
        <v>97</v>
      </c>
      <c r="BM642" t="s">
        <v>97</v>
      </c>
      <c r="BN642" t="s">
        <v>104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X642">
        <v>0</v>
      </c>
      <c r="BY642">
        <v>4</v>
      </c>
      <c r="BZ642">
        <v>2008</v>
      </c>
      <c r="CA642" t="s">
        <v>109</v>
      </c>
      <c r="CB642" t="s">
        <v>110</v>
      </c>
      <c r="CC642">
        <v>274000</v>
      </c>
    </row>
    <row r="643" spans="1:81" x14ac:dyDescent="0.3">
      <c r="A643">
        <v>642</v>
      </c>
      <c r="B643">
        <v>60</v>
      </c>
      <c r="C643" t="s">
        <v>191</v>
      </c>
      <c r="E643">
        <v>7050</v>
      </c>
      <c r="F643" t="s">
        <v>82</v>
      </c>
      <c r="H643" t="s">
        <v>83</v>
      </c>
      <c r="I643" t="s">
        <v>84</v>
      </c>
      <c r="J643" t="s">
        <v>85</v>
      </c>
      <c r="K643" t="s">
        <v>86</v>
      </c>
      <c r="L643" t="s">
        <v>87</v>
      </c>
      <c r="M643" t="s">
        <v>135</v>
      </c>
      <c r="N643" t="s">
        <v>89</v>
      </c>
      <c r="O643" t="s">
        <v>89</v>
      </c>
      <c r="P643" t="s">
        <v>90</v>
      </c>
      <c r="Q643" t="s">
        <v>91</v>
      </c>
      <c r="R643">
        <v>7</v>
      </c>
      <c r="S643">
        <v>5</v>
      </c>
      <c r="T643">
        <v>2001</v>
      </c>
      <c r="U643">
        <v>2001</v>
      </c>
      <c r="V643" t="s">
        <v>92</v>
      </c>
      <c r="W643" t="s">
        <v>93</v>
      </c>
      <c r="X643" t="s">
        <v>94</v>
      </c>
      <c r="Y643" t="s">
        <v>94</v>
      </c>
      <c r="Z643" t="s">
        <v>116</v>
      </c>
      <c r="AA643">
        <v>0</v>
      </c>
      <c r="AB643" t="s">
        <v>96</v>
      </c>
      <c r="AC643" t="s">
        <v>97</v>
      </c>
      <c r="AD643" t="s">
        <v>98</v>
      </c>
      <c r="AE643" t="s">
        <v>96</v>
      </c>
      <c r="AF643" t="s">
        <v>97</v>
      </c>
      <c r="AG643" t="s">
        <v>99</v>
      </c>
      <c r="AH643" t="s">
        <v>100</v>
      </c>
      <c r="AI643">
        <v>738</v>
      </c>
      <c r="AJ643" t="s">
        <v>101</v>
      </c>
      <c r="AK643">
        <v>0</v>
      </c>
      <c r="AL643">
        <v>319</v>
      </c>
      <c r="AM643">
        <v>1057</v>
      </c>
      <c r="AN643" t="s">
        <v>102</v>
      </c>
      <c r="AO643" t="s">
        <v>103</v>
      </c>
      <c r="AP643" t="s">
        <v>104</v>
      </c>
      <c r="AQ643" t="s">
        <v>105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96</v>
      </c>
      <c r="BC643">
        <v>7</v>
      </c>
      <c r="BD643" t="s">
        <v>106</v>
      </c>
      <c r="BE643">
        <v>1</v>
      </c>
      <c r="BF643" t="s">
        <v>97</v>
      </c>
      <c r="BG643" t="s">
        <v>107</v>
      </c>
      <c r="BH643">
        <v>2001</v>
      </c>
      <c r="BI643" t="s">
        <v>156</v>
      </c>
      <c r="BJ643">
        <v>2</v>
      </c>
      <c r="BK643">
        <v>650</v>
      </c>
      <c r="BL643" t="s">
        <v>97</v>
      </c>
      <c r="BM643" t="s">
        <v>97</v>
      </c>
      <c r="BN643" t="s">
        <v>104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X643">
        <v>0</v>
      </c>
      <c r="BY643">
        <v>5</v>
      </c>
      <c r="BZ643">
        <v>2007</v>
      </c>
      <c r="CA643" t="s">
        <v>109</v>
      </c>
      <c r="CB643" t="s">
        <v>110</v>
      </c>
      <c r="CC643">
        <v>226000</v>
      </c>
    </row>
    <row r="644" spans="1:81" x14ac:dyDescent="0.3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H644" t="s">
        <v>83</v>
      </c>
      <c r="I644" t="s">
        <v>84</v>
      </c>
      <c r="J644" t="s">
        <v>85</v>
      </c>
      <c r="K644" t="s">
        <v>86</v>
      </c>
      <c r="L644" t="s">
        <v>87</v>
      </c>
      <c r="M644" t="s">
        <v>270</v>
      </c>
      <c r="N644" t="s">
        <v>89</v>
      </c>
      <c r="O644" t="s">
        <v>89</v>
      </c>
      <c r="P644" t="s">
        <v>90</v>
      </c>
      <c r="Q644" t="s">
        <v>196</v>
      </c>
      <c r="R644">
        <v>8</v>
      </c>
      <c r="S644">
        <v>7</v>
      </c>
      <c r="T644">
        <v>1972</v>
      </c>
      <c r="U644">
        <v>1995</v>
      </c>
      <c r="V644" t="s">
        <v>92</v>
      </c>
      <c r="W644" t="s">
        <v>93</v>
      </c>
      <c r="X644" t="s">
        <v>160</v>
      </c>
      <c r="Y644" t="s">
        <v>123</v>
      </c>
      <c r="Z644" t="s">
        <v>116</v>
      </c>
      <c r="AA644">
        <v>0</v>
      </c>
      <c r="AB644" t="s">
        <v>96</v>
      </c>
      <c r="AC644" t="s">
        <v>97</v>
      </c>
      <c r="AD644" t="s">
        <v>117</v>
      </c>
      <c r="AE644" t="s">
        <v>96</v>
      </c>
      <c r="AF644" t="s">
        <v>97</v>
      </c>
      <c r="AG644" t="s">
        <v>96</v>
      </c>
      <c r="AH644" t="s">
        <v>100</v>
      </c>
      <c r="AI644">
        <v>1410</v>
      </c>
      <c r="AJ644" t="s">
        <v>101</v>
      </c>
      <c r="AK644">
        <v>0</v>
      </c>
      <c r="AL644">
        <v>542</v>
      </c>
      <c r="AM644">
        <v>1952</v>
      </c>
      <c r="AN644" t="s">
        <v>102</v>
      </c>
      <c r="AO644" t="s">
        <v>96</v>
      </c>
      <c r="AP644" t="s">
        <v>104</v>
      </c>
      <c r="AQ644" t="s">
        <v>105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103</v>
      </c>
      <c r="BC644">
        <v>9</v>
      </c>
      <c r="BD644" t="s">
        <v>106</v>
      </c>
      <c r="BE644">
        <v>3</v>
      </c>
      <c r="BF644" t="s">
        <v>97</v>
      </c>
      <c r="BG644" t="s">
        <v>107</v>
      </c>
      <c r="BH644">
        <v>1972</v>
      </c>
      <c r="BI644" t="s">
        <v>156</v>
      </c>
      <c r="BJ644">
        <v>2</v>
      </c>
      <c r="BK644">
        <v>538</v>
      </c>
      <c r="BL644" t="s">
        <v>97</v>
      </c>
      <c r="BM644" t="s">
        <v>97</v>
      </c>
      <c r="BN644" t="s">
        <v>104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V644" t="s">
        <v>133</v>
      </c>
      <c r="BX644">
        <v>0</v>
      </c>
      <c r="BY644">
        <v>7</v>
      </c>
      <c r="BZ644">
        <v>2009</v>
      </c>
      <c r="CA644" t="s">
        <v>109</v>
      </c>
      <c r="CB644" t="s">
        <v>110</v>
      </c>
      <c r="CC644">
        <v>345000</v>
      </c>
    </row>
    <row r="645" spans="1:81" x14ac:dyDescent="0.3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H645" t="s">
        <v>83</v>
      </c>
      <c r="I645" t="s">
        <v>84</v>
      </c>
      <c r="J645" t="s">
        <v>85</v>
      </c>
      <c r="K645" t="s">
        <v>86</v>
      </c>
      <c r="L645" t="s">
        <v>87</v>
      </c>
      <c r="M645" t="s">
        <v>137</v>
      </c>
      <c r="N645" t="s">
        <v>201</v>
      </c>
      <c r="O645" t="s">
        <v>89</v>
      </c>
      <c r="P645" t="s">
        <v>90</v>
      </c>
      <c r="Q645" t="s">
        <v>91</v>
      </c>
      <c r="R645">
        <v>5</v>
      </c>
      <c r="S645">
        <v>5</v>
      </c>
      <c r="T645">
        <v>1969</v>
      </c>
      <c r="U645">
        <v>1969</v>
      </c>
      <c r="V645" t="s">
        <v>210</v>
      </c>
      <c r="W645" t="s">
        <v>93</v>
      </c>
      <c r="X645" t="s">
        <v>154</v>
      </c>
      <c r="Y645" t="s">
        <v>139</v>
      </c>
      <c r="Z645" t="s">
        <v>95</v>
      </c>
      <c r="AA645">
        <v>263</v>
      </c>
      <c r="AB645" t="s">
        <v>97</v>
      </c>
      <c r="AC645" t="s">
        <v>97</v>
      </c>
      <c r="AD645" t="s">
        <v>117</v>
      </c>
      <c r="AE645" t="s">
        <v>97</v>
      </c>
      <c r="AF645" t="s">
        <v>97</v>
      </c>
      <c r="AG645" t="s">
        <v>99</v>
      </c>
      <c r="AH645" t="s">
        <v>152</v>
      </c>
      <c r="AI645">
        <v>493</v>
      </c>
      <c r="AJ645" t="s">
        <v>140</v>
      </c>
      <c r="AK645">
        <v>287</v>
      </c>
      <c r="AL645">
        <v>0</v>
      </c>
      <c r="AM645">
        <v>780</v>
      </c>
      <c r="AN645" t="s">
        <v>102</v>
      </c>
      <c r="AO645" t="s">
        <v>103</v>
      </c>
      <c r="AP645" t="s">
        <v>104</v>
      </c>
      <c r="AQ645" t="s">
        <v>105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97</v>
      </c>
      <c r="BC645">
        <v>7</v>
      </c>
      <c r="BD645" t="s">
        <v>145</v>
      </c>
      <c r="BE645">
        <v>0</v>
      </c>
      <c r="BG645" t="s">
        <v>107</v>
      </c>
      <c r="BH645">
        <v>1969</v>
      </c>
      <c r="BI645" t="s">
        <v>156</v>
      </c>
      <c r="BJ645">
        <v>2</v>
      </c>
      <c r="BK645">
        <v>462</v>
      </c>
      <c r="BL645" t="s">
        <v>97</v>
      </c>
      <c r="BM645" t="s">
        <v>97</v>
      </c>
      <c r="BN645" t="s">
        <v>104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V645" t="s">
        <v>162</v>
      </c>
      <c r="BX645">
        <v>0</v>
      </c>
      <c r="BY645">
        <v>4</v>
      </c>
      <c r="BZ645">
        <v>2007</v>
      </c>
      <c r="CA645" t="s">
        <v>109</v>
      </c>
      <c r="CB645" t="s">
        <v>110</v>
      </c>
      <c r="CC645">
        <v>152000</v>
      </c>
    </row>
    <row r="646" spans="1:81" x14ac:dyDescent="0.3">
      <c r="A646">
        <v>645</v>
      </c>
      <c r="B646">
        <v>20</v>
      </c>
      <c r="C646" t="s">
        <v>191</v>
      </c>
      <c r="D646">
        <v>85</v>
      </c>
      <c r="E646">
        <v>9187</v>
      </c>
      <c r="F646" t="s">
        <v>82</v>
      </c>
      <c r="H646" t="s">
        <v>83</v>
      </c>
      <c r="I646" t="s">
        <v>84</v>
      </c>
      <c r="J646" t="s">
        <v>85</v>
      </c>
      <c r="K646" t="s">
        <v>86</v>
      </c>
      <c r="L646" t="s">
        <v>87</v>
      </c>
      <c r="M646" t="s">
        <v>135</v>
      </c>
      <c r="N646" t="s">
        <v>89</v>
      </c>
      <c r="O646" t="s">
        <v>89</v>
      </c>
      <c r="P646" t="s">
        <v>90</v>
      </c>
      <c r="Q646" t="s">
        <v>114</v>
      </c>
      <c r="R646">
        <v>9</v>
      </c>
      <c r="S646">
        <v>5</v>
      </c>
      <c r="T646">
        <v>2009</v>
      </c>
      <c r="U646">
        <v>2009</v>
      </c>
      <c r="V646" t="s">
        <v>92</v>
      </c>
      <c r="W646" t="s">
        <v>93</v>
      </c>
      <c r="X646" t="s">
        <v>179</v>
      </c>
      <c r="Y646" t="s">
        <v>180</v>
      </c>
      <c r="Z646" t="s">
        <v>136</v>
      </c>
      <c r="AA646">
        <v>162</v>
      </c>
      <c r="AB646" t="s">
        <v>103</v>
      </c>
      <c r="AC646" t="s">
        <v>97</v>
      </c>
      <c r="AD646" t="s">
        <v>98</v>
      </c>
      <c r="AE646" t="s">
        <v>103</v>
      </c>
      <c r="AF646" t="s">
        <v>97</v>
      </c>
      <c r="AG646" t="s">
        <v>120</v>
      </c>
      <c r="AH646" t="s">
        <v>100</v>
      </c>
      <c r="AI646">
        <v>1121</v>
      </c>
      <c r="AJ646" t="s">
        <v>101</v>
      </c>
      <c r="AK646">
        <v>0</v>
      </c>
      <c r="AL646">
        <v>645</v>
      </c>
      <c r="AM646">
        <v>1766</v>
      </c>
      <c r="AN646" t="s">
        <v>102</v>
      </c>
      <c r="AO646" t="s">
        <v>103</v>
      </c>
      <c r="AP646" t="s">
        <v>104</v>
      </c>
      <c r="AQ646" t="s">
        <v>105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103</v>
      </c>
      <c r="BC646">
        <v>7</v>
      </c>
      <c r="BD646" t="s">
        <v>106</v>
      </c>
      <c r="BE646">
        <v>1</v>
      </c>
      <c r="BF646" t="s">
        <v>96</v>
      </c>
      <c r="BG646" t="s">
        <v>107</v>
      </c>
      <c r="BH646">
        <v>2009</v>
      </c>
      <c r="BI646" t="s">
        <v>156</v>
      </c>
      <c r="BJ646">
        <v>3</v>
      </c>
      <c r="BK646">
        <v>478</v>
      </c>
      <c r="BL646" t="s">
        <v>97</v>
      </c>
      <c r="BM646" t="s">
        <v>97</v>
      </c>
      <c r="BN646" t="s">
        <v>104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X646">
        <v>0</v>
      </c>
      <c r="BY646">
        <v>10</v>
      </c>
      <c r="BZ646">
        <v>2009</v>
      </c>
      <c r="CA646" t="s">
        <v>157</v>
      </c>
      <c r="CB646" t="s">
        <v>158</v>
      </c>
      <c r="CC646">
        <v>370878</v>
      </c>
    </row>
    <row r="647" spans="1:81" x14ac:dyDescent="0.3">
      <c r="A647">
        <v>646</v>
      </c>
      <c r="B647">
        <v>20</v>
      </c>
      <c r="C647" t="s">
        <v>81</v>
      </c>
      <c r="E647">
        <v>10530</v>
      </c>
      <c r="F647" t="s">
        <v>82</v>
      </c>
      <c r="H647" t="s">
        <v>119</v>
      </c>
      <c r="I647" t="s">
        <v>84</v>
      </c>
      <c r="J647" t="s">
        <v>85</v>
      </c>
      <c r="K647" t="s">
        <v>121</v>
      </c>
      <c r="L647" t="s">
        <v>87</v>
      </c>
      <c r="M647" t="s">
        <v>270</v>
      </c>
      <c r="N647" t="s">
        <v>89</v>
      </c>
      <c r="O647" t="s">
        <v>89</v>
      </c>
      <c r="P647" t="s">
        <v>90</v>
      </c>
      <c r="Q647" t="s">
        <v>114</v>
      </c>
      <c r="R647">
        <v>6</v>
      </c>
      <c r="S647">
        <v>5</v>
      </c>
      <c r="T647">
        <v>1971</v>
      </c>
      <c r="U647">
        <v>1971</v>
      </c>
      <c r="V647" t="s">
        <v>151</v>
      </c>
      <c r="W647" t="s">
        <v>93</v>
      </c>
      <c r="X647" t="s">
        <v>160</v>
      </c>
      <c r="Y647" t="s">
        <v>160</v>
      </c>
      <c r="Z647" t="s">
        <v>116</v>
      </c>
      <c r="AA647">
        <v>0</v>
      </c>
      <c r="AB647" t="s">
        <v>97</v>
      </c>
      <c r="AC647" t="s">
        <v>97</v>
      </c>
      <c r="AD647" t="s">
        <v>117</v>
      </c>
      <c r="AE647" t="s">
        <v>97</v>
      </c>
      <c r="AF647" t="s">
        <v>97</v>
      </c>
      <c r="AG647" t="s">
        <v>99</v>
      </c>
      <c r="AH647" t="s">
        <v>118</v>
      </c>
      <c r="AI647">
        <v>282</v>
      </c>
      <c r="AJ647" t="s">
        <v>171</v>
      </c>
      <c r="AK647">
        <v>35</v>
      </c>
      <c r="AL647">
        <v>664</v>
      </c>
      <c r="AM647">
        <v>981</v>
      </c>
      <c r="AN647" t="s">
        <v>102</v>
      </c>
      <c r="AO647" t="s">
        <v>97</v>
      </c>
      <c r="AP647" t="s">
        <v>104</v>
      </c>
      <c r="AQ647" t="s">
        <v>105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97</v>
      </c>
      <c r="BC647">
        <v>5</v>
      </c>
      <c r="BD647" t="s">
        <v>106</v>
      </c>
      <c r="BE647">
        <v>0</v>
      </c>
      <c r="BG647" t="s">
        <v>126</v>
      </c>
      <c r="BH647">
        <v>1979</v>
      </c>
      <c r="BI647" t="s">
        <v>101</v>
      </c>
      <c r="BJ647">
        <v>2</v>
      </c>
      <c r="BK647">
        <v>576</v>
      </c>
      <c r="BL647" t="s">
        <v>97</v>
      </c>
      <c r="BM647" t="s">
        <v>97</v>
      </c>
      <c r="BN647" t="s">
        <v>104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X647">
        <v>0</v>
      </c>
      <c r="BY647">
        <v>3</v>
      </c>
      <c r="BZ647">
        <v>2007</v>
      </c>
      <c r="CA647" t="s">
        <v>109</v>
      </c>
      <c r="CB647" t="s">
        <v>110</v>
      </c>
      <c r="CC647">
        <v>143250</v>
      </c>
    </row>
    <row r="648" spans="1:81" x14ac:dyDescent="0.3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H648" t="s">
        <v>83</v>
      </c>
      <c r="I648" t="s">
        <v>84</v>
      </c>
      <c r="J648" t="s">
        <v>85</v>
      </c>
      <c r="K648" t="s">
        <v>86</v>
      </c>
      <c r="L648" t="s">
        <v>87</v>
      </c>
      <c r="M648" t="s">
        <v>270</v>
      </c>
      <c r="N648" t="s">
        <v>89</v>
      </c>
      <c r="O648" t="s">
        <v>89</v>
      </c>
      <c r="P648" t="s">
        <v>90</v>
      </c>
      <c r="Q648" t="s">
        <v>114</v>
      </c>
      <c r="R648">
        <v>5</v>
      </c>
      <c r="S648">
        <v>5</v>
      </c>
      <c r="T648">
        <v>1950</v>
      </c>
      <c r="U648">
        <v>1950</v>
      </c>
      <c r="V648" t="s">
        <v>151</v>
      </c>
      <c r="W648" t="s">
        <v>93</v>
      </c>
      <c r="X648" t="s">
        <v>115</v>
      </c>
      <c r="Y648" t="s">
        <v>115</v>
      </c>
      <c r="Z648" t="s">
        <v>116</v>
      </c>
      <c r="AA648">
        <v>0</v>
      </c>
      <c r="AB648" t="s">
        <v>97</v>
      </c>
      <c r="AC648" t="s">
        <v>97</v>
      </c>
      <c r="AD648" t="s">
        <v>117</v>
      </c>
      <c r="AI648">
        <v>0</v>
      </c>
      <c r="AK648">
        <v>0</v>
      </c>
      <c r="AL648">
        <v>0</v>
      </c>
      <c r="AM648">
        <v>0</v>
      </c>
      <c r="AN648" t="s">
        <v>102</v>
      </c>
      <c r="AO648" t="s">
        <v>96</v>
      </c>
      <c r="AP648" t="s">
        <v>104</v>
      </c>
      <c r="AQ648" t="s">
        <v>105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97</v>
      </c>
      <c r="BC648">
        <v>7</v>
      </c>
      <c r="BD648" t="s">
        <v>145</v>
      </c>
      <c r="BE648">
        <v>0</v>
      </c>
      <c r="BG648" t="s">
        <v>126</v>
      </c>
      <c r="BH648">
        <v>1950</v>
      </c>
      <c r="BI648" t="s">
        <v>101</v>
      </c>
      <c r="BJ648">
        <v>2</v>
      </c>
      <c r="BK648">
        <v>420</v>
      </c>
      <c r="BL648" t="s">
        <v>97</v>
      </c>
      <c r="BM648" t="s">
        <v>97</v>
      </c>
      <c r="BN648" t="s">
        <v>104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X648">
        <v>0</v>
      </c>
      <c r="BY648">
        <v>7</v>
      </c>
      <c r="BZ648">
        <v>2008</v>
      </c>
      <c r="CA648" t="s">
        <v>109</v>
      </c>
      <c r="CB648" t="s">
        <v>110</v>
      </c>
      <c r="CC648">
        <v>98300</v>
      </c>
    </row>
    <row r="649" spans="1:81" x14ac:dyDescent="0.3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H649" t="s">
        <v>119</v>
      </c>
      <c r="I649" t="s">
        <v>84</v>
      </c>
      <c r="J649" t="s">
        <v>85</v>
      </c>
      <c r="K649" t="s">
        <v>86</v>
      </c>
      <c r="L649" t="s">
        <v>87</v>
      </c>
      <c r="M649" t="s">
        <v>184</v>
      </c>
      <c r="N649" t="s">
        <v>89</v>
      </c>
      <c r="O649" t="s">
        <v>89</v>
      </c>
      <c r="P649" t="s">
        <v>90</v>
      </c>
      <c r="Q649" t="s">
        <v>114</v>
      </c>
      <c r="R649">
        <v>6</v>
      </c>
      <c r="S649">
        <v>5</v>
      </c>
      <c r="T649">
        <v>1953</v>
      </c>
      <c r="U649">
        <v>1953</v>
      </c>
      <c r="V649" t="s">
        <v>151</v>
      </c>
      <c r="W649" t="s">
        <v>93</v>
      </c>
      <c r="X649" t="s">
        <v>123</v>
      </c>
      <c r="Y649" t="s">
        <v>123</v>
      </c>
      <c r="Z649" t="s">
        <v>136</v>
      </c>
      <c r="AA649">
        <v>216</v>
      </c>
      <c r="AB649" t="s">
        <v>97</v>
      </c>
      <c r="AC649" t="s">
        <v>97</v>
      </c>
      <c r="AD649" t="s">
        <v>117</v>
      </c>
      <c r="AE649" t="s">
        <v>97</v>
      </c>
      <c r="AF649" t="s">
        <v>97</v>
      </c>
      <c r="AG649" t="s">
        <v>120</v>
      </c>
      <c r="AH649" t="s">
        <v>152</v>
      </c>
      <c r="AI649">
        <v>500</v>
      </c>
      <c r="AJ649" t="s">
        <v>101</v>
      </c>
      <c r="AK649">
        <v>0</v>
      </c>
      <c r="AL649">
        <v>594</v>
      </c>
      <c r="AM649">
        <v>1094</v>
      </c>
      <c r="AN649" t="s">
        <v>102</v>
      </c>
      <c r="AO649" t="s">
        <v>103</v>
      </c>
      <c r="AP649" t="s">
        <v>104</v>
      </c>
      <c r="AQ649" t="s">
        <v>105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97</v>
      </c>
      <c r="BC649">
        <v>5</v>
      </c>
      <c r="BD649" t="s">
        <v>106</v>
      </c>
      <c r="BE649">
        <v>2</v>
      </c>
      <c r="BF649" t="s">
        <v>96</v>
      </c>
      <c r="BG649" t="s">
        <v>107</v>
      </c>
      <c r="BH649">
        <v>1953</v>
      </c>
      <c r="BI649" t="s">
        <v>108</v>
      </c>
      <c r="BJ649">
        <v>2</v>
      </c>
      <c r="BK649">
        <v>495</v>
      </c>
      <c r="BL649" t="s">
        <v>97</v>
      </c>
      <c r="BM649" t="s">
        <v>97</v>
      </c>
      <c r="BN649" t="s">
        <v>104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X649">
        <v>0</v>
      </c>
      <c r="BY649">
        <v>6</v>
      </c>
      <c r="BZ649">
        <v>2008</v>
      </c>
      <c r="CA649" t="s">
        <v>109</v>
      </c>
      <c r="CB649" t="s">
        <v>110</v>
      </c>
      <c r="CC649">
        <v>155000</v>
      </c>
    </row>
    <row r="650" spans="1:81" x14ac:dyDescent="0.3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H650" t="s">
        <v>83</v>
      </c>
      <c r="I650" t="s">
        <v>84</v>
      </c>
      <c r="J650" t="s">
        <v>85</v>
      </c>
      <c r="K650" t="s">
        <v>86</v>
      </c>
      <c r="L650" t="s">
        <v>87</v>
      </c>
      <c r="M650" t="s">
        <v>270</v>
      </c>
      <c r="N650" t="s">
        <v>138</v>
      </c>
      <c r="O650" t="s">
        <v>89</v>
      </c>
      <c r="P650" t="s">
        <v>90</v>
      </c>
      <c r="Q650" t="s">
        <v>91</v>
      </c>
      <c r="R650">
        <v>6</v>
      </c>
      <c r="S650">
        <v>5</v>
      </c>
      <c r="T650">
        <v>1966</v>
      </c>
      <c r="U650">
        <v>1966</v>
      </c>
      <c r="V650" t="s">
        <v>92</v>
      </c>
      <c r="W650" t="s">
        <v>93</v>
      </c>
      <c r="X650" t="s">
        <v>115</v>
      </c>
      <c r="Y650" t="s">
        <v>115</v>
      </c>
      <c r="Z650" t="s">
        <v>95</v>
      </c>
      <c r="AA650">
        <v>351</v>
      </c>
      <c r="AB650" t="s">
        <v>97</v>
      </c>
      <c r="AC650" t="s">
        <v>97</v>
      </c>
      <c r="AD650" t="s">
        <v>117</v>
      </c>
      <c r="AE650" t="s">
        <v>97</v>
      </c>
      <c r="AF650" t="s">
        <v>97</v>
      </c>
      <c r="AG650" t="s">
        <v>99</v>
      </c>
      <c r="AH650" t="s">
        <v>101</v>
      </c>
      <c r="AI650">
        <v>0</v>
      </c>
      <c r="AJ650" t="s">
        <v>101</v>
      </c>
      <c r="AK650">
        <v>0</v>
      </c>
      <c r="AL650">
        <v>756</v>
      </c>
      <c r="AM650">
        <v>756</v>
      </c>
      <c r="AN650" t="s">
        <v>102</v>
      </c>
      <c r="AO650" t="s">
        <v>97</v>
      </c>
      <c r="AP650" t="s">
        <v>104</v>
      </c>
      <c r="AQ650" t="s">
        <v>105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97</v>
      </c>
      <c r="BC650">
        <v>7</v>
      </c>
      <c r="BD650" t="s">
        <v>106</v>
      </c>
      <c r="BE650">
        <v>1</v>
      </c>
      <c r="BF650" t="s">
        <v>97</v>
      </c>
      <c r="BG650" t="s">
        <v>107</v>
      </c>
      <c r="BH650">
        <v>1966</v>
      </c>
      <c r="BI650" t="s">
        <v>101</v>
      </c>
      <c r="BJ650">
        <v>2</v>
      </c>
      <c r="BK650">
        <v>442</v>
      </c>
      <c r="BL650" t="s">
        <v>97</v>
      </c>
      <c r="BM650" t="s">
        <v>97</v>
      </c>
      <c r="BN650" t="s">
        <v>104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X650">
        <v>0</v>
      </c>
      <c r="BY650">
        <v>6</v>
      </c>
      <c r="BZ650">
        <v>2010</v>
      </c>
      <c r="CA650" t="s">
        <v>109</v>
      </c>
      <c r="CB650" t="s">
        <v>110</v>
      </c>
      <c r="CC650">
        <v>155000</v>
      </c>
    </row>
    <row r="651" spans="1:81" x14ac:dyDescent="0.3">
      <c r="A651">
        <v>650</v>
      </c>
      <c r="B651">
        <v>180</v>
      </c>
      <c r="C651" t="s">
        <v>141</v>
      </c>
      <c r="D651">
        <v>21</v>
      </c>
      <c r="E651">
        <v>1936</v>
      </c>
      <c r="F651" t="s">
        <v>82</v>
      </c>
      <c r="H651" t="s">
        <v>83</v>
      </c>
      <c r="I651" t="s">
        <v>84</v>
      </c>
      <c r="J651" t="s">
        <v>85</v>
      </c>
      <c r="K651" t="s">
        <v>86</v>
      </c>
      <c r="L651" t="s">
        <v>87</v>
      </c>
      <c r="M651" t="s">
        <v>177</v>
      </c>
      <c r="N651" t="s">
        <v>89</v>
      </c>
      <c r="O651" t="s">
        <v>89</v>
      </c>
      <c r="P651" t="s">
        <v>197</v>
      </c>
      <c r="Q651" t="s">
        <v>190</v>
      </c>
      <c r="R651">
        <v>4</v>
      </c>
      <c r="S651">
        <v>6</v>
      </c>
      <c r="T651">
        <v>1970</v>
      </c>
      <c r="U651">
        <v>1970</v>
      </c>
      <c r="V651" t="s">
        <v>92</v>
      </c>
      <c r="W651" t="s">
        <v>93</v>
      </c>
      <c r="X651" t="s">
        <v>179</v>
      </c>
      <c r="Y651" t="s">
        <v>180</v>
      </c>
      <c r="Z651" t="s">
        <v>116</v>
      </c>
      <c r="AA651">
        <v>0</v>
      </c>
      <c r="AB651" t="s">
        <v>97</v>
      </c>
      <c r="AC651" t="s">
        <v>97</v>
      </c>
      <c r="AD651" t="s">
        <v>117</v>
      </c>
      <c r="AE651" t="s">
        <v>96</v>
      </c>
      <c r="AF651" t="s">
        <v>97</v>
      </c>
      <c r="AG651" t="s">
        <v>129</v>
      </c>
      <c r="AH651" t="s">
        <v>140</v>
      </c>
      <c r="AI651">
        <v>131</v>
      </c>
      <c r="AJ651" t="s">
        <v>100</v>
      </c>
      <c r="AK651">
        <v>499</v>
      </c>
      <c r="AL651">
        <v>0</v>
      </c>
      <c r="AM651">
        <v>630</v>
      </c>
      <c r="AN651" t="s">
        <v>102</v>
      </c>
      <c r="AO651" t="s">
        <v>96</v>
      </c>
      <c r="AP651" t="s">
        <v>104</v>
      </c>
      <c r="AQ651" t="s">
        <v>105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97</v>
      </c>
      <c r="BC651">
        <v>3</v>
      </c>
      <c r="BD651" t="s">
        <v>106</v>
      </c>
      <c r="BE651">
        <v>0</v>
      </c>
      <c r="BJ651">
        <v>0</v>
      </c>
      <c r="BK651">
        <v>0</v>
      </c>
      <c r="BN651" t="s">
        <v>104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V651" t="s">
        <v>133</v>
      </c>
      <c r="BX651">
        <v>0</v>
      </c>
      <c r="BY651">
        <v>12</v>
      </c>
      <c r="BZ651">
        <v>2007</v>
      </c>
      <c r="CA651" t="s">
        <v>109</v>
      </c>
      <c r="CB651" t="s">
        <v>110</v>
      </c>
      <c r="CC651">
        <v>84500</v>
      </c>
    </row>
    <row r="652" spans="1:81" x14ac:dyDescent="0.3">
      <c r="A652">
        <v>651</v>
      </c>
      <c r="B652">
        <v>60</v>
      </c>
      <c r="C652" t="s">
        <v>191</v>
      </c>
      <c r="D652">
        <v>65</v>
      </c>
      <c r="E652">
        <v>8125</v>
      </c>
      <c r="F652" t="s">
        <v>82</v>
      </c>
      <c r="H652" t="s">
        <v>83</v>
      </c>
      <c r="I652" t="s">
        <v>84</v>
      </c>
      <c r="J652" t="s">
        <v>85</v>
      </c>
      <c r="K652" t="s">
        <v>86</v>
      </c>
      <c r="L652" t="s">
        <v>87</v>
      </c>
      <c r="M652" t="s">
        <v>135</v>
      </c>
      <c r="N652" t="s">
        <v>89</v>
      </c>
      <c r="O652" t="s">
        <v>89</v>
      </c>
      <c r="P652" t="s">
        <v>90</v>
      </c>
      <c r="Q652" t="s">
        <v>91</v>
      </c>
      <c r="R652">
        <v>7</v>
      </c>
      <c r="S652">
        <v>6</v>
      </c>
      <c r="T652">
        <v>2007</v>
      </c>
      <c r="U652">
        <v>2007</v>
      </c>
      <c r="V652" t="s">
        <v>92</v>
      </c>
      <c r="W652" t="s">
        <v>93</v>
      </c>
      <c r="X652" t="s">
        <v>179</v>
      </c>
      <c r="Y652" t="s">
        <v>180</v>
      </c>
      <c r="AB652" t="s">
        <v>96</v>
      </c>
      <c r="AC652" t="s">
        <v>97</v>
      </c>
      <c r="AD652" t="s">
        <v>98</v>
      </c>
      <c r="AE652" t="s">
        <v>96</v>
      </c>
      <c r="AF652" t="s">
        <v>97</v>
      </c>
      <c r="AG652" t="s">
        <v>99</v>
      </c>
      <c r="AH652" t="s">
        <v>101</v>
      </c>
      <c r="AI652">
        <v>0</v>
      </c>
      <c r="AJ652" t="s">
        <v>101</v>
      </c>
      <c r="AK652">
        <v>0</v>
      </c>
      <c r="AL652">
        <v>813</v>
      </c>
      <c r="AM652">
        <v>813</v>
      </c>
      <c r="AN652" t="s">
        <v>102</v>
      </c>
      <c r="AO652" t="s">
        <v>103</v>
      </c>
      <c r="AP652" t="s">
        <v>104</v>
      </c>
      <c r="AQ652" t="s">
        <v>105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96</v>
      </c>
      <c r="BC652">
        <v>7</v>
      </c>
      <c r="BD652" t="s">
        <v>106</v>
      </c>
      <c r="BE652">
        <v>0</v>
      </c>
      <c r="BG652" t="s">
        <v>107</v>
      </c>
      <c r="BH652">
        <v>2007</v>
      </c>
      <c r="BI652" t="s">
        <v>108</v>
      </c>
      <c r="BJ652">
        <v>2</v>
      </c>
      <c r="BK652">
        <v>562</v>
      </c>
      <c r="BL652" t="s">
        <v>97</v>
      </c>
      <c r="BM652" t="s">
        <v>97</v>
      </c>
      <c r="BN652" t="s">
        <v>104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X652">
        <v>0</v>
      </c>
      <c r="BY652">
        <v>5</v>
      </c>
      <c r="BZ652">
        <v>2008</v>
      </c>
      <c r="CA652" t="s">
        <v>109</v>
      </c>
      <c r="CB652" t="s">
        <v>110</v>
      </c>
      <c r="CC652">
        <v>205950</v>
      </c>
    </row>
    <row r="653" spans="1:81" x14ac:dyDescent="0.3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H653" t="s">
        <v>83</v>
      </c>
      <c r="I653" t="s">
        <v>84</v>
      </c>
      <c r="J653" t="s">
        <v>85</v>
      </c>
      <c r="K653" t="s">
        <v>86</v>
      </c>
      <c r="L653" t="s">
        <v>87</v>
      </c>
      <c r="M653" t="s">
        <v>184</v>
      </c>
      <c r="N653" t="s">
        <v>143</v>
      </c>
      <c r="O653" t="s">
        <v>89</v>
      </c>
      <c r="P653" t="s">
        <v>90</v>
      </c>
      <c r="Q653" t="s">
        <v>91</v>
      </c>
      <c r="R653">
        <v>4</v>
      </c>
      <c r="S653">
        <v>5</v>
      </c>
      <c r="T653">
        <v>1940</v>
      </c>
      <c r="U653">
        <v>1950</v>
      </c>
      <c r="V653" t="s">
        <v>92</v>
      </c>
      <c r="W653" t="s">
        <v>93</v>
      </c>
      <c r="X653" t="s">
        <v>115</v>
      </c>
      <c r="Y653" t="s">
        <v>115</v>
      </c>
      <c r="Z653" t="s">
        <v>116</v>
      </c>
      <c r="AA653">
        <v>0</v>
      </c>
      <c r="AB653" t="s">
        <v>97</v>
      </c>
      <c r="AC653" t="s">
        <v>97</v>
      </c>
      <c r="AD653" t="s">
        <v>117</v>
      </c>
      <c r="AE653" t="s">
        <v>97</v>
      </c>
      <c r="AF653" t="s">
        <v>97</v>
      </c>
      <c r="AG653" t="s">
        <v>120</v>
      </c>
      <c r="AH653" t="s">
        <v>101</v>
      </c>
      <c r="AI653">
        <v>0</v>
      </c>
      <c r="AJ653" t="s">
        <v>101</v>
      </c>
      <c r="AK653">
        <v>0</v>
      </c>
      <c r="AL653">
        <v>755</v>
      </c>
      <c r="AM653">
        <v>755</v>
      </c>
      <c r="AN653" t="s">
        <v>102</v>
      </c>
      <c r="AO653" t="s">
        <v>97</v>
      </c>
      <c r="AP653" t="s">
        <v>104</v>
      </c>
      <c r="AQ653" t="s">
        <v>105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97</v>
      </c>
      <c r="BC653">
        <v>7</v>
      </c>
      <c r="BD653" t="s">
        <v>106</v>
      </c>
      <c r="BE653">
        <v>1</v>
      </c>
      <c r="BF653" t="s">
        <v>96</v>
      </c>
      <c r="BG653" t="s">
        <v>126</v>
      </c>
      <c r="BH653">
        <v>1940</v>
      </c>
      <c r="BI653" t="s">
        <v>101</v>
      </c>
      <c r="BJ653">
        <v>1</v>
      </c>
      <c r="BK653">
        <v>296</v>
      </c>
      <c r="BL653" t="s">
        <v>146</v>
      </c>
      <c r="BM653" t="s">
        <v>211</v>
      </c>
      <c r="BN653" t="s">
        <v>189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V653" t="s">
        <v>133</v>
      </c>
      <c r="BX653">
        <v>0</v>
      </c>
      <c r="BY653">
        <v>10</v>
      </c>
      <c r="BZ653">
        <v>2009</v>
      </c>
      <c r="CA653" t="s">
        <v>109</v>
      </c>
      <c r="CB653" t="s">
        <v>110</v>
      </c>
      <c r="CC653">
        <v>108000</v>
      </c>
    </row>
    <row r="654" spans="1:81" x14ac:dyDescent="0.3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88</v>
      </c>
      <c r="N654" t="s">
        <v>89</v>
      </c>
      <c r="O654" t="s">
        <v>89</v>
      </c>
      <c r="P654" t="s">
        <v>90</v>
      </c>
      <c r="Q654" t="s">
        <v>91</v>
      </c>
      <c r="R654">
        <v>7</v>
      </c>
      <c r="S654">
        <v>5</v>
      </c>
      <c r="T654">
        <v>1996</v>
      </c>
      <c r="U654">
        <v>1996</v>
      </c>
      <c r="V654" t="s">
        <v>92</v>
      </c>
      <c r="W654" t="s">
        <v>93</v>
      </c>
      <c r="X654" t="s">
        <v>94</v>
      </c>
      <c r="Y654" t="s">
        <v>94</v>
      </c>
      <c r="Z654" t="s">
        <v>116</v>
      </c>
      <c r="AA654">
        <v>0</v>
      </c>
      <c r="AB654" t="s">
        <v>96</v>
      </c>
      <c r="AC654" t="s">
        <v>97</v>
      </c>
      <c r="AD654" t="s">
        <v>98</v>
      </c>
      <c r="AE654" t="s">
        <v>96</v>
      </c>
      <c r="AF654" t="s">
        <v>97</v>
      </c>
      <c r="AG654" t="s">
        <v>99</v>
      </c>
      <c r="AH654" t="s">
        <v>101</v>
      </c>
      <c r="AI654">
        <v>0</v>
      </c>
      <c r="AJ654" t="s">
        <v>101</v>
      </c>
      <c r="AK654">
        <v>0</v>
      </c>
      <c r="AL654">
        <v>880</v>
      </c>
      <c r="AM654">
        <v>880</v>
      </c>
      <c r="AN654" t="s">
        <v>102</v>
      </c>
      <c r="AO654" t="s">
        <v>103</v>
      </c>
      <c r="AP654" t="s">
        <v>104</v>
      </c>
      <c r="AQ654" t="s">
        <v>105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96</v>
      </c>
      <c r="BC654">
        <v>7</v>
      </c>
      <c r="BD654" t="s">
        <v>106</v>
      </c>
      <c r="BE654">
        <v>1</v>
      </c>
      <c r="BF654" t="s">
        <v>97</v>
      </c>
      <c r="BG654" t="s">
        <v>107</v>
      </c>
      <c r="BH654">
        <v>1996</v>
      </c>
      <c r="BI654" t="s">
        <v>108</v>
      </c>
      <c r="BJ654">
        <v>2</v>
      </c>
      <c r="BK654">
        <v>512</v>
      </c>
      <c r="BL654" t="s">
        <v>97</v>
      </c>
      <c r="BM654" t="s">
        <v>97</v>
      </c>
      <c r="BN654" t="s">
        <v>104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X654">
        <v>0</v>
      </c>
      <c r="BY654">
        <v>7</v>
      </c>
      <c r="BZ654">
        <v>2009</v>
      </c>
      <c r="CA654" t="s">
        <v>109</v>
      </c>
      <c r="CB654" t="s">
        <v>110</v>
      </c>
      <c r="CC654">
        <v>191000</v>
      </c>
    </row>
    <row r="655" spans="1:81" x14ac:dyDescent="0.3">
      <c r="A655">
        <v>654</v>
      </c>
      <c r="B655">
        <v>50</v>
      </c>
      <c r="C655" t="s">
        <v>141</v>
      </c>
      <c r="D655">
        <v>60</v>
      </c>
      <c r="E655">
        <v>10320</v>
      </c>
      <c r="F655" t="s">
        <v>82</v>
      </c>
      <c r="G655" t="s">
        <v>173</v>
      </c>
      <c r="H655" t="s">
        <v>83</v>
      </c>
      <c r="I655" t="s">
        <v>84</v>
      </c>
      <c r="J655" t="s">
        <v>85</v>
      </c>
      <c r="K655" t="s">
        <v>86</v>
      </c>
      <c r="L655" t="s">
        <v>87</v>
      </c>
      <c r="M655" t="s">
        <v>175</v>
      </c>
      <c r="N655" t="s">
        <v>89</v>
      </c>
      <c r="O655" t="s">
        <v>89</v>
      </c>
      <c r="P655" t="s">
        <v>90</v>
      </c>
      <c r="Q655" t="s">
        <v>131</v>
      </c>
      <c r="R655">
        <v>6</v>
      </c>
      <c r="S655">
        <v>7</v>
      </c>
      <c r="T655">
        <v>1906</v>
      </c>
      <c r="U655">
        <v>1995</v>
      </c>
      <c r="V655" t="s">
        <v>92</v>
      </c>
      <c r="W655" t="s">
        <v>93</v>
      </c>
      <c r="X655" t="s">
        <v>115</v>
      </c>
      <c r="Y655" t="s">
        <v>115</v>
      </c>
      <c r="Z655" t="s">
        <v>116</v>
      </c>
      <c r="AA655">
        <v>0</v>
      </c>
      <c r="AB655" t="s">
        <v>97</v>
      </c>
      <c r="AC655" t="s">
        <v>97</v>
      </c>
      <c r="AD655" t="s">
        <v>117</v>
      </c>
      <c r="AE655" t="s">
        <v>97</v>
      </c>
      <c r="AF655" t="s">
        <v>97</v>
      </c>
      <c r="AG655" t="s">
        <v>99</v>
      </c>
      <c r="AH655" t="s">
        <v>101</v>
      </c>
      <c r="AI655">
        <v>0</v>
      </c>
      <c r="AJ655" t="s">
        <v>101</v>
      </c>
      <c r="AK655">
        <v>0</v>
      </c>
      <c r="AL655">
        <v>756</v>
      </c>
      <c r="AM655">
        <v>756</v>
      </c>
      <c r="AN655" t="s">
        <v>102</v>
      </c>
      <c r="AO655" t="s">
        <v>103</v>
      </c>
      <c r="AP655" t="s">
        <v>104</v>
      </c>
      <c r="AQ655" t="s">
        <v>105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97</v>
      </c>
      <c r="BC655">
        <v>7</v>
      </c>
      <c r="BD655" t="s">
        <v>106</v>
      </c>
      <c r="BE655">
        <v>0</v>
      </c>
      <c r="BG655" t="s">
        <v>126</v>
      </c>
      <c r="BH655">
        <v>1906</v>
      </c>
      <c r="BI655" t="s">
        <v>101</v>
      </c>
      <c r="BJ655">
        <v>1</v>
      </c>
      <c r="BK655">
        <v>216</v>
      </c>
      <c r="BL655" t="s">
        <v>97</v>
      </c>
      <c r="BM655" t="s">
        <v>97</v>
      </c>
      <c r="BN655" t="s">
        <v>104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V655" t="s">
        <v>133</v>
      </c>
      <c r="BX655">
        <v>0</v>
      </c>
      <c r="BY655">
        <v>6</v>
      </c>
      <c r="BZ655">
        <v>2008</v>
      </c>
      <c r="CA655" t="s">
        <v>109</v>
      </c>
      <c r="CB655" t="s">
        <v>110</v>
      </c>
      <c r="CC655">
        <v>135000</v>
      </c>
    </row>
    <row r="656" spans="1:81" x14ac:dyDescent="0.3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H656" t="s">
        <v>119</v>
      </c>
      <c r="I656" t="s">
        <v>84</v>
      </c>
      <c r="J656" t="s">
        <v>85</v>
      </c>
      <c r="K656" t="s">
        <v>86</v>
      </c>
      <c r="L656" t="s">
        <v>87</v>
      </c>
      <c r="M656" t="s">
        <v>128</v>
      </c>
      <c r="N656" t="s">
        <v>89</v>
      </c>
      <c r="O656" t="s">
        <v>89</v>
      </c>
      <c r="P656" t="s">
        <v>90</v>
      </c>
      <c r="Q656" t="s">
        <v>114</v>
      </c>
      <c r="R656">
        <v>8</v>
      </c>
      <c r="S656">
        <v>6</v>
      </c>
      <c r="T656">
        <v>1995</v>
      </c>
      <c r="U656">
        <v>1995</v>
      </c>
      <c r="V656" t="s">
        <v>151</v>
      </c>
      <c r="W656" t="s">
        <v>93</v>
      </c>
      <c r="X656" t="s">
        <v>115</v>
      </c>
      <c r="Y656" t="s">
        <v>115</v>
      </c>
      <c r="Z656" t="s">
        <v>95</v>
      </c>
      <c r="AA656">
        <v>660</v>
      </c>
      <c r="AB656" t="s">
        <v>96</v>
      </c>
      <c r="AC656" t="s">
        <v>96</v>
      </c>
      <c r="AD656" t="s">
        <v>98</v>
      </c>
      <c r="AE656" t="s">
        <v>96</v>
      </c>
      <c r="AF656" t="s">
        <v>97</v>
      </c>
      <c r="AG656" t="s">
        <v>96</v>
      </c>
      <c r="AH656" t="s">
        <v>100</v>
      </c>
      <c r="AI656">
        <v>1696</v>
      </c>
      <c r="AJ656" t="s">
        <v>101</v>
      </c>
      <c r="AK656">
        <v>0</v>
      </c>
      <c r="AL656">
        <v>413</v>
      </c>
      <c r="AM656">
        <v>2109</v>
      </c>
      <c r="AN656" t="s">
        <v>102</v>
      </c>
      <c r="AO656" t="s">
        <v>103</v>
      </c>
      <c r="AP656" t="s">
        <v>104</v>
      </c>
      <c r="AQ656" t="s">
        <v>105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96</v>
      </c>
      <c r="BC656">
        <v>7</v>
      </c>
      <c r="BD656" t="s">
        <v>106</v>
      </c>
      <c r="BE656">
        <v>1</v>
      </c>
      <c r="BF656" t="s">
        <v>97</v>
      </c>
      <c r="BG656" t="s">
        <v>107</v>
      </c>
      <c r="BH656">
        <v>1995</v>
      </c>
      <c r="BI656" t="s">
        <v>156</v>
      </c>
      <c r="BJ656">
        <v>3</v>
      </c>
      <c r="BK656">
        <v>839</v>
      </c>
      <c r="BL656" t="s">
        <v>97</v>
      </c>
      <c r="BM656" t="s">
        <v>97</v>
      </c>
      <c r="BN656" t="s">
        <v>104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X656">
        <v>0</v>
      </c>
      <c r="BY656">
        <v>8</v>
      </c>
      <c r="BZ656">
        <v>2008</v>
      </c>
      <c r="CA656" t="s">
        <v>109</v>
      </c>
      <c r="CB656" t="s">
        <v>110</v>
      </c>
      <c r="CC656">
        <v>350000</v>
      </c>
    </row>
    <row r="657" spans="1:81" x14ac:dyDescent="0.3">
      <c r="A657">
        <v>656</v>
      </c>
      <c r="B657">
        <v>160</v>
      </c>
      <c r="C657" t="s">
        <v>141</v>
      </c>
      <c r="D657">
        <v>21</v>
      </c>
      <c r="E657">
        <v>1680</v>
      </c>
      <c r="F657" t="s">
        <v>82</v>
      </c>
      <c r="H657" t="s">
        <v>83</v>
      </c>
      <c r="I657" t="s">
        <v>84</v>
      </c>
      <c r="J657" t="s">
        <v>85</v>
      </c>
      <c r="K657" t="s">
        <v>86</v>
      </c>
      <c r="L657" t="s">
        <v>87</v>
      </c>
      <c r="M657" t="s">
        <v>227</v>
      </c>
      <c r="N657" t="s">
        <v>89</v>
      </c>
      <c r="O657" t="s">
        <v>89</v>
      </c>
      <c r="P657" t="s">
        <v>197</v>
      </c>
      <c r="Q657" t="s">
        <v>91</v>
      </c>
      <c r="R657">
        <v>6</v>
      </c>
      <c r="S657">
        <v>5</v>
      </c>
      <c r="T657">
        <v>1971</v>
      </c>
      <c r="U657">
        <v>1971</v>
      </c>
      <c r="V657" t="s">
        <v>92</v>
      </c>
      <c r="W657" t="s">
        <v>93</v>
      </c>
      <c r="X657" t="s">
        <v>139</v>
      </c>
      <c r="Y657" t="s">
        <v>233</v>
      </c>
      <c r="Z657" t="s">
        <v>95</v>
      </c>
      <c r="AA657">
        <v>381</v>
      </c>
      <c r="AB657" t="s">
        <v>97</v>
      </c>
      <c r="AC657" t="s">
        <v>97</v>
      </c>
      <c r="AD657" t="s">
        <v>117</v>
      </c>
      <c r="AE657" t="s">
        <v>97</v>
      </c>
      <c r="AF657" t="s">
        <v>97</v>
      </c>
      <c r="AG657" t="s">
        <v>99</v>
      </c>
      <c r="AH657" t="s">
        <v>101</v>
      </c>
      <c r="AI657">
        <v>0</v>
      </c>
      <c r="AJ657" t="s">
        <v>101</v>
      </c>
      <c r="AK657">
        <v>0</v>
      </c>
      <c r="AL657">
        <v>525</v>
      </c>
      <c r="AM657">
        <v>525</v>
      </c>
      <c r="AN657" t="s">
        <v>102</v>
      </c>
      <c r="AO657" t="s">
        <v>97</v>
      </c>
      <c r="AP657" t="s">
        <v>104</v>
      </c>
      <c r="AQ657" t="s">
        <v>105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97</v>
      </c>
      <c r="BC657">
        <v>6</v>
      </c>
      <c r="BD657" t="s">
        <v>106</v>
      </c>
      <c r="BE657">
        <v>0</v>
      </c>
      <c r="BG657" t="s">
        <v>126</v>
      </c>
      <c r="BH657">
        <v>1971</v>
      </c>
      <c r="BI657" t="s">
        <v>101</v>
      </c>
      <c r="BJ657">
        <v>1</v>
      </c>
      <c r="BK657">
        <v>264</v>
      </c>
      <c r="BL657" t="s">
        <v>97</v>
      </c>
      <c r="BM657" t="s">
        <v>97</v>
      </c>
      <c r="BN657" t="s">
        <v>104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X657">
        <v>0</v>
      </c>
      <c r="BY657">
        <v>3</v>
      </c>
      <c r="BZ657">
        <v>2010</v>
      </c>
      <c r="CA657" t="s">
        <v>109</v>
      </c>
      <c r="CB657" t="s">
        <v>218</v>
      </c>
      <c r="CC657">
        <v>88000</v>
      </c>
    </row>
    <row r="658" spans="1:81" x14ac:dyDescent="0.3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H658" t="s">
        <v>119</v>
      </c>
      <c r="I658" t="s">
        <v>84</v>
      </c>
      <c r="J658" t="s">
        <v>85</v>
      </c>
      <c r="K658" t="s">
        <v>86</v>
      </c>
      <c r="L658" t="s">
        <v>87</v>
      </c>
      <c r="M658" t="s">
        <v>270</v>
      </c>
      <c r="N658" t="s">
        <v>89</v>
      </c>
      <c r="O658" t="s">
        <v>89</v>
      </c>
      <c r="P658" t="s">
        <v>90</v>
      </c>
      <c r="Q658" t="s">
        <v>114</v>
      </c>
      <c r="R658">
        <v>5</v>
      </c>
      <c r="S658">
        <v>7</v>
      </c>
      <c r="T658">
        <v>1959</v>
      </c>
      <c r="U658">
        <v>2006</v>
      </c>
      <c r="V658" t="s">
        <v>92</v>
      </c>
      <c r="W658" t="s">
        <v>93</v>
      </c>
      <c r="X658" t="s">
        <v>139</v>
      </c>
      <c r="Y658" t="s">
        <v>139</v>
      </c>
      <c r="Z658" t="s">
        <v>95</v>
      </c>
      <c r="AA658">
        <v>54</v>
      </c>
      <c r="AB658" t="s">
        <v>96</v>
      </c>
      <c r="AC658" t="s">
        <v>97</v>
      </c>
      <c r="AD658" t="s">
        <v>117</v>
      </c>
      <c r="AE658" t="s">
        <v>97</v>
      </c>
      <c r="AF658" t="s">
        <v>97</v>
      </c>
      <c r="AG658" t="s">
        <v>99</v>
      </c>
      <c r="AH658" t="s">
        <v>118</v>
      </c>
      <c r="AI658">
        <v>806</v>
      </c>
      <c r="AJ658" t="s">
        <v>101</v>
      </c>
      <c r="AK658">
        <v>0</v>
      </c>
      <c r="AL658">
        <v>247</v>
      </c>
      <c r="AM658">
        <v>1053</v>
      </c>
      <c r="AN658" t="s">
        <v>102</v>
      </c>
      <c r="AO658" t="s">
        <v>103</v>
      </c>
      <c r="AP658" t="s">
        <v>104</v>
      </c>
      <c r="AQ658" t="s">
        <v>105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96</v>
      </c>
      <c r="BC658">
        <v>5</v>
      </c>
      <c r="BD658" t="s">
        <v>106</v>
      </c>
      <c r="BE658">
        <v>0</v>
      </c>
      <c r="BG658" t="s">
        <v>107</v>
      </c>
      <c r="BH658">
        <v>1959</v>
      </c>
      <c r="BI658" t="s">
        <v>108</v>
      </c>
      <c r="BJ658">
        <v>1</v>
      </c>
      <c r="BK658">
        <v>312</v>
      </c>
      <c r="BL658" t="s">
        <v>97</v>
      </c>
      <c r="BM658" t="s">
        <v>97</v>
      </c>
      <c r="BN658" t="s">
        <v>104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V658" t="s">
        <v>133</v>
      </c>
      <c r="BX658">
        <v>0</v>
      </c>
      <c r="BY658">
        <v>8</v>
      </c>
      <c r="BZ658">
        <v>2008</v>
      </c>
      <c r="CA658" t="s">
        <v>109</v>
      </c>
      <c r="CB658" t="s">
        <v>110</v>
      </c>
      <c r="CC658">
        <v>145500</v>
      </c>
    </row>
    <row r="659" spans="1:81" x14ac:dyDescent="0.3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H659" t="s">
        <v>83</v>
      </c>
      <c r="I659" t="s">
        <v>198</v>
      </c>
      <c r="J659" t="s">
        <v>85</v>
      </c>
      <c r="K659" t="s">
        <v>86</v>
      </c>
      <c r="L659" t="s">
        <v>193</v>
      </c>
      <c r="M659" t="s">
        <v>122</v>
      </c>
      <c r="N659" t="s">
        <v>89</v>
      </c>
      <c r="O659" t="s">
        <v>89</v>
      </c>
      <c r="P659" t="s">
        <v>90</v>
      </c>
      <c r="Q659" t="s">
        <v>91</v>
      </c>
      <c r="R659">
        <v>7</v>
      </c>
      <c r="S659">
        <v>6</v>
      </c>
      <c r="T659">
        <v>1931</v>
      </c>
      <c r="U659">
        <v>2000</v>
      </c>
      <c r="V659" t="s">
        <v>92</v>
      </c>
      <c r="W659" t="s">
        <v>93</v>
      </c>
      <c r="X659" t="s">
        <v>202</v>
      </c>
      <c r="Y659" t="s">
        <v>124</v>
      </c>
      <c r="Z659" t="s">
        <v>116</v>
      </c>
      <c r="AA659">
        <v>0</v>
      </c>
      <c r="AB659" t="s">
        <v>97</v>
      </c>
      <c r="AC659" t="s">
        <v>146</v>
      </c>
      <c r="AD659" t="s">
        <v>125</v>
      </c>
      <c r="AE659" t="s">
        <v>96</v>
      </c>
      <c r="AF659" t="s">
        <v>97</v>
      </c>
      <c r="AG659" t="s">
        <v>99</v>
      </c>
      <c r="AH659" t="s">
        <v>101</v>
      </c>
      <c r="AI659">
        <v>0</v>
      </c>
      <c r="AJ659" t="s">
        <v>101</v>
      </c>
      <c r="AK659">
        <v>0</v>
      </c>
      <c r="AL659">
        <v>776</v>
      </c>
      <c r="AM659">
        <v>776</v>
      </c>
      <c r="AN659" t="s">
        <v>102</v>
      </c>
      <c r="AO659" t="s">
        <v>97</v>
      </c>
      <c r="AP659" t="s">
        <v>104</v>
      </c>
      <c r="AQ659" t="s">
        <v>105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97</v>
      </c>
      <c r="BC659">
        <v>6</v>
      </c>
      <c r="BD659" t="s">
        <v>106</v>
      </c>
      <c r="BE659">
        <v>1</v>
      </c>
      <c r="BF659" t="s">
        <v>96</v>
      </c>
      <c r="BG659" t="s">
        <v>107</v>
      </c>
      <c r="BH659">
        <v>1931</v>
      </c>
      <c r="BI659" t="s">
        <v>108</v>
      </c>
      <c r="BJ659">
        <v>1</v>
      </c>
      <c r="BK659">
        <v>270</v>
      </c>
      <c r="BL659" t="s">
        <v>97</v>
      </c>
      <c r="BM659" t="s">
        <v>97</v>
      </c>
      <c r="BN659" t="s">
        <v>189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V659" t="s">
        <v>133</v>
      </c>
      <c r="BX659">
        <v>0</v>
      </c>
      <c r="BY659">
        <v>2</v>
      </c>
      <c r="BZ659">
        <v>2008</v>
      </c>
      <c r="CA659" t="s">
        <v>109</v>
      </c>
      <c r="CB659" t="s">
        <v>110</v>
      </c>
      <c r="CC659">
        <v>149000</v>
      </c>
    </row>
    <row r="660" spans="1:81" x14ac:dyDescent="0.3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H660" t="s">
        <v>83</v>
      </c>
      <c r="I660" t="s">
        <v>84</v>
      </c>
      <c r="J660" t="s">
        <v>85</v>
      </c>
      <c r="K660" t="s">
        <v>86</v>
      </c>
      <c r="L660" t="s">
        <v>87</v>
      </c>
      <c r="M660" t="s">
        <v>270</v>
      </c>
      <c r="N660" t="s">
        <v>143</v>
      </c>
      <c r="O660" t="s">
        <v>89</v>
      </c>
      <c r="P660" t="s">
        <v>90</v>
      </c>
      <c r="Q660" t="s">
        <v>131</v>
      </c>
      <c r="R660">
        <v>6</v>
      </c>
      <c r="S660">
        <v>5</v>
      </c>
      <c r="T660">
        <v>1948</v>
      </c>
      <c r="U660">
        <v>1950</v>
      </c>
      <c r="V660" t="s">
        <v>92</v>
      </c>
      <c r="W660" t="s">
        <v>93</v>
      </c>
      <c r="X660" t="s">
        <v>94</v>
      </c>
      <c r="Y660" t="s">
        <v>94</v>
      </c>
      <c r="Z660" t="s">
        <v>116</v>
      </c>
      <c r="AA660">
        <v>0</v>
      </c>
      <c r="AB660" t="s">
        <v>97</v>
      </c>
      <c r="AC660" t="s">
        <v>97</v>
      </c>
      <c r="AD660" t="s">
        <v>117</v>
      </c>
      <c r="AE660" t="s">
        <v>97</v>
      </c>
      <c r="AF660" t="s">
        <v>97</v>
      </c>
      <c r="AG660" t="s">
        <v>99</v>
      </c>
      <c r="AH660" t="s">
        <v>101</v>
      </c>
      <c r="AI660">
        <v>0</v>
      </c>
      <c r="AJ660" t="s">
        <v>101</v>
      </c>
      <c r="AK660">
        <v>0</v>
      </c>
      <c r="AL660">
        <v>912</v>
      </c>
      <c r="AM660">
        <v>912</v>
      </c>
      <c r="AN660" t="s">
        <v>102</v>
      </c>
      <c r="AO660" t="s">
        <v>97</v>
      </c>
      <c r="AP660" t="s">
        <v>104</v>
      </c>
      <c r="AQ660" t="s">
        <v>105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97</v>
      </c>
      <c r="BC660">
        <v>6</v>
      </c>
      <c r="BD660" t="s">
        <v>106</v>
      </c>
      <c r="BE660">
        <v>1</v>
      </c>
      <c r="BF660" t="s">
        <v>96</v>
      </c>
      <c r="BG660" t="s">
        <v>107</v>
      </c>
      <c r="BH660">
        <v>1948</v>
      </c>
      <c r="BI660" t="s">
        <v>101</v>
      </c>
      <c r="BJ660">
        <v>1</v>
      </c>
      <c r="BK660">
        <v>330</v>
      </c>
      <c r="BL660" t="s">
        <v>97</v>
      </c>
      <c r="BM660" t="s">
        <v>97</v>
      </c>
      <c r="BN660" t="s">
        <v>104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X660">
        <v>0</v>
      </c>
      <c r="BY660">
        <v>1</v>
      </c>
      <c r="BZ660">
        <v>2010</v>
      </c>
      <c r="CA660" t="s">
        <v>109</v>
      </c>
      <c r="CB660" t="s">
        <v>127</v>
      </c>
      <c r="CC660">
        <v>97500</v>
      </c>
    </row>
    <row r="661" spans="1:81" x14ac:dyDescent="0.3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H661" t="s">
        <v>83</v>
      </c>
      <c r="I661" t="s">
        <v>84</v>
      </c>
      <c r="J661" t="s">
        <v>85</v>
      </c>
      <c r="K661" t="s">
        <v>121</v>
      </c>
      <c r="L661" t="s">
        <v>87</v>
      </c>
      <c r="M661" t="s">
        <v>184</v>
      </c>
      <c r="N661" t="s">
        <v>89</v>
      </c>
      <c r="O661" t="s">
        <v>89</v>
      </c>
      <c r="P661" t="s">
        <v>90</v>
      </c>
      <c r="Q661" t="s">
        <v>114</v>
      </c>
      <c r="R661">
        <v>5</v>
      </c>
      <c r="S661">
        <v>7</v>
      </c>
      <c r="T661">
        <v>1964</v>
      </c>
      <c r="U661">
        <v>1999</v>
      </c>
      <c r="V661" t="s">
        <v>151</v>
      </c>
      <c r="W661" t="s">
        <v>93</v>
      </c>
      <c r="X661" t="s">
        <v>115</v>
      </c>
      <c r="Y661" t="s">
        <v>115</v>
      </c>
      <c r="Z661" t="s">
        <v>116</v>
      </c>
      <c r="AA661">
        <v>0</v>
      </c>
      <c r="AB661" t="s">
        <v>97</v>
      </c>
      <c r="AC661" t="s">
        <v>96</v>
      </c>
      <c r="AD661" t="s">
        <v>98</v>
      </c>
      <c r="AE661" t="s">
        <v>97</v>
      </c>
      <c r="AF661" t="s">
        <v>97</v>
      </c>
      <c r="AG661" t="s">
        <v>99</v>
      </c>
      <c r="AH661" t="s">
        <v>140</v>
      </c>
      <c r="AI661">
        <v>637</v>
      </c>
      <c r="AJ661" t="s">
        <v>101</v>
      </c>
      <c r="AK661">
        <v>0</v>
      </c>
      <c r="AL661">
        <v>849</v>
      </c>
      <c r="AM661">
        <v>1486</v>
      </c>
      <c r="AN661" t="s">
        <v>102</v>
      </c>
      <c r="AO661" t="s">
        <v>103</v>
      </c>
      <c r="AP661" t="s">
        <v>104</v>
      </c>
      <c r="AQ661" t="s">
        <v>105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97</v>
      </c>
      <c r="BC661">
        <v>7</v>
      </c>
      <c r="BD661" t="s">
        <v>106</v>
      </c>
      <c r="BE661">
        <v>0</v>
      </c>
      <c r="BG661" t="s">
        <v>126</v>
      </c>
      <c r="BH661">
        <v>1968</v>
      </c>
      <c r="BI661" t="s">
        <v>156</v>
      </c>
      <c r="BJ661">
        <v>2</v>
      </c>
      <c r="BK661">
        <v>480</v>
      </c>
      <c r="BL661" t="s">
        <v>97</v>
      </c>
      <c r="BM661" t="s">
        <v>97</v>
      </c>
      <c r="BN661" t="s">
        <v>104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V661" t="s">
        <v>133</v>
      </c>
      <c r="BX661">
        <v>0</v>
      </c>
      <c r="BY661">
        <v>3</v>
      </c>
      <c r="BZ661">
        <v>2009</v>
      </c>
      <c r="CA661" t="s">
        <v>109</v>
      </c>
      <c r="CB661" t="s">
        <v>110</v>
      </c>
      <c r="CC661">
        <v>167000</v>
      </c>
    </row>
    <row r="662" spans="1:81" x14ac:dyDescent="0.3">
      <c r="A662">
        <v>661</v>
      </c>
      <c r="B662">
        <v>60</v>
      </c>
      <c r="C662" t="s">
        <v>81</v>
      </c>
      <c r="E662">
        <v>12384</v>
      </c>
      <c r="F662" t="s">
        <v>82</v>
      </c>
      <c r="H662" t="s">
        <v>83</v>
      </c>
      <c r="I662" t="s">
        <v>84</v>
      </c>
      <c r="J662" t="s">
        <v>85</v>
      </c>
      <c r="K662" t="s">
        <v>165</v>
      </c>
      <c r="L662" t="s">
        <v>87</v>
      </c>
      <c r="M662" t="s">
        <v>137</v>
      </c>
      <c r="N662" t="s">
        <v>89</v>
      </c>
      <c r="O662" t="s">
        <v>89</v>
      </c>
      <c r="P662" t="s">
        <v>90</v>
      </c>
      <c r="Q662" t="s">
        <v>91</v>
      </c>
      <c r="R662">
        <v>7</v>
      </c>
      <c r="S662">
        <v>7</v>
      </c>
      <c r="T662">
        <v>1976</v>
      </c>
      <c r="U662">
        <v>1976</v>
      </c>
      <c r="V662" t="s">
        <v>92</v>
      </c>
      <c r="W662" t="s">
        <v>93</v>
      </c>
      <c r="X662" t="s">
        <v>160</v>
      </c>
      <c r="Y662" t="s">
        <v>160</v>
      </c>
      <c r="Z662" t="s">
        <v>95</v>
      </c>
      <c r="AA662">
        <v>233</v>
      </c>
      <c r="AB662" t="s">
        <v>97</v>
      </c>
      <c r="AC662" t="s">
        <v>97</v>
      </c>
      <c r="AD662" t="s">
        <v>117</v>
      </c>
      <c r="AE662" t="s">
        <v>96</v>
      </c>
      <c r="AF662" t="s">
        <v>97</v>
      </c>
      <c r="AG662" t="s">
        <v>99</v>
      </c>
      <c r="AH662" t="s">
        <v>101</v>
      </c>
      <c r="AI662">
        <v>0</v>
      </c>
      <c r="AJ662" t="s">
        <v>101</v>
      </c>
      <c r="AK662">
        <v>0</v>
      </c>
      <c r="AL662">
        <v>793</v>
      </c>
      <c r="AM662">
        <v>793</v>
      </c>
      <c r="AN662" t="s">
        <v>102</v>
      </c>
      <c r="AO662" t="s">
        <v>97</v>
      </c>
      <c r="AP662" t="s">
        <v>104</v>
      </c>
      <c r="AQ662" t="s">
        <v>105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97</v>
      </c>
      <c r="BC662">
        <v>7</v>
      </c>
      <c r="BD662" t="s">
        <v>106</v>
      </c>
      <c r="BE662">
        <v>1</v>
      </c>
      <c r="BF662" t="s">
        <v>97</v>
      </c>
      <c r="BG662" t="s">
        <v>107</v>
      </c>
      <c r="BH662">
        <v>1976</v>
      </c>
      <c r="BI662" t="s">
        <v>108</v>
      </c>
      <c r="BJ662">
        <v>2</v>
      </c>
      <c r="BK662">
        <v>550</v>
      </c>
      <c r="BL662" t="s">
        <v>97</v>
      </c>
      <c r="BM662" t="s">
        <v>97</v>
      </c>
      <c r="BN662" t="s">
        <v>104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X662">
        <v>0</v>
      </c>
      <c r="BY662">
        <v>11</v>
      </c>
      <c r="BZ662">
        <v>2007</v>
      </c>
      <c r="CA662" t="s">
        <v>109</v>
      </c>
      <c r="CB662" t="s">
        <v>110</v>
      </c>
      <c r="CC662">
        <v>197900</v>
      </c>
    </row>
    <row r="663" spans="1:81" x14ac:dyDescent="0.3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H663" t="s">
        <v>159</v>
      </c>
      <c r="I663" t="s">
        <v>84</v>
      </c>
      <c r="J663" t="s">
        <v>85</v>
      </c>
      <c r="K663" t="s">
        <v>165</v>
      </c>
      <c r="L663" t="s">
        <v>87</v>
      </c>
      <c r="M663" t="s">
        <v>128</v>
      </c>
      <c r="N663" t="s">
        <v>89</v>
      </c>
      <c r="O663" t="s">
        <v>89</v>
      </c>
      <c r="P663" t="s">
        <v>90</v>
      </c>
      <c r="Q663" t="s">
        <v>91</v>
      </c>
      <c r="R663">
        <v>8</v>
      </c>
      <c r="S663">
        <v>7</v>
      </c>
      <c r="T663">
        <v>1994</v>
      </c>
      <c r="U663">
        <v>2005</v>
      </c>
      <c r="V663" t="s">
        <v>151</v>
      </c>
      <c r="W663" t="s">
        <v>93</v>
      </c>
      <c r="X663" t="s">
        <v>94</v>
      </c>
      <c r="Y663" t="s">
        <v>94</v>
      </c>
      <c r="Z663" t="s">
        <v>95</v>
      </c>
      <c r="AA663">
        <v>528</v>
      </c>
      <c r="AB663" t="s">
        <v>96</v>
      </c>
      <c r="AC663" t="s">
        <v>97</v>
      </c>
      <c r="AD663" t="s">
        <v>98</v>
      </c>
      <c r="AE663" t="s">
        <v>96</v>
      </c>
      <c r="AF663" t="s">
        <v>96</v>
      </c>
      <c r="AG663" t="s">
        <v>99</v>
      </c>
      <c r="AH663" t="s">
        <v>100</v>
      </c>
      <c r="AI663">
        <v>1361</v>
      </c>
      <c r="AJ663" t="s">
        <v>152</v>
      </c>
      <c r="AK663">
        <v>180</v>
      </c>
      <c r="AL663">
        <v>88</v>
      </c>
      <c r="AM663">
        <v>1629</v>
      </c>
      <c r="AN663" t="s">
        <v>102</v>
      </c>
      <c r="AO663" t="s">
        <v>103</v>
      </c>
      <c r="AP663" t="s">
        <v>104</v>
      </c>
      <c r="AQ663" t="s">
        <v>105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96</v>
      </c>
      <c r="BC663">
        <v>8</v>
      </c>
      <c r="BD663" t="s">
        <v>106</v>
      </c>
      <c r="BE663">
        <v>1</v>
      </c>
      <c r="BF663" t="s">
        <v>97</v>
      </c>
      <c r="BG663" t="s">
        <v>107</v>
      </c>
      <c r="BH663">
        <v>1994</v>
      </c>
      <c r="BI663" t="s">
        <v>108</v>
      </c>
      <c r="BJ663">
        <v>3</v>
      </c>
      <c r="BK663">
        <v>711</v>
      </c>
      <c r="BL663" t="s">
        <v>97</v>
      </c>
      <c r="BM663" t="s">
        <v>97</v>
      </c>
      <c r="BN663" t="s">
        <v>104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X663">
        <v>0</v>
      </c>
      <c r="BY663">
        <v>7</v>
      </c>
      <c r="BZ663">
        <v>2009</v>
      </c>
      <c r="CA663" t="s">
        <v>109</v>
      </c>
      <c r="CB663" t="s">
        <v>110</v>
      </c>
      <c r="CC663">
        <v>402000</v>
      </c>
    </row>
    <row r="664" spans="1:81" x14ac:dyDescent="0.3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H664" t="s">
        <v>83</v>
      </c>
      <c r="I664" t="s">
        <v>84</v>
      </c>
      <c r="J664" t="s">
        <v>85</v>
      </c>
      <c r="K664" t="s">
        <v>121</v>
      </c>
      <c r="L664" t="s">
        <v>87</v>
      </c>
      <c r="M664" t="s">
        <v>270</v>
      </c>
      <c r="N664" t="s">
        <v>89</v>
      </c>
      <c r="O664" t="s">
        <v>89</v>
      </c>
      <c r="P664" t="s">
        <v>90</v>
      </c>
      <c r="Q664" t="s">
        <v>114</v>
      </c>
      <c r="R664">
        <v>6</v>
      </c>
      <c r="S664">
        <v>3</v>
      </c>
      <c r="T664">
        <v>1968</v>
      </c>
      <c r="U664">
        <v>1968</v>
      </c>
      <c r="V664" t="s">
        <v>151</v>
      </c>
      <c r="W664" t="s">
        <v>93</v>
      </c>
      <c r="X664" t="s">
        <v>123</v>
      </c>
      <c r="Y664" t="s">
        <v>123</v>
      </c>
      <c r="Z664" t="s">
        <v>95</v>
      </c>
      <c r="AA664">
        <v>216</v>
      </c>
      <c r="AB664" t="s">
        <v>97</v>
      </c>
      <c r="AC664" t="s">
        <v>97</v>
      </c>
      <c r="AD664" t="s">
        <v>117</v>
      </c>
      <c r="AE664" t="s">
        <v>146</v>
      </c>
      <c r="AF664" t="s">
        <v>146</v>
      </c>
      <c r="AG664" t="s">
        <v>99</v>
      </c>
      <c r="AH664" t="s">
        <v>101</v>
      </c>
      <c r="AI664">
        <v>0</v>
      </c>
      <c r="AJ664" t="s">
        <v>101</v>
      </c>
      <c r="AK664">
        <v>0</v>
      </c>
      <c r="AL664">
        <v>1392</v>
      </c>
      <c r="AM664">
        <v>1392</v>
      </c>
      <c r="AN664" t="s">
        <v>102</v>
      </c>
      <c r="AO664" t="s">
        <v>96</v>
      </c>
      <c r="AP664" t="s">
        <v>104</v>
      </c>
      <c r="AQ664" t="s">
        <v>105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97</v>
      </c>
      <c r="BC664">
        <v>5</v>
      </c>
      <c r="BD664" t="s">
        <v>243</v>
      </c>
      <c r="BE664">
        <v>2</v>
      </c>
      <c r="BF664" t="s">
        <v>97</v>
      </c>
      <c r="BG664" t="s">
        <v>107</v>
      </c>
      <c r="BH664">
        <v>1968</v>
      </c>
      <c r="BI664" t="s">
        <v>108</v>
      </c>
      <c r="BJ664">
        <v>2</v>
      </c>
      <c r="BK664">
        <v>576</v>
      </c>
      <c r="BL664" t="s">
        <v>97</v>
      </c>
      <c r="BM664" t="s">
        <v>97</v>
      </c>
      <c r="BN664" t="s">
        <v>104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X664">
        <v>0</v>
      </c>
      <c r="BY664">
        <v>7</v>
      </c>
      <c r="BZ664">
        <v>2009</v>
      </c>
      <c r="CA664" t="s">
        <v>109</v>
      </c>
      <c r="CB664" t="s">
        <v>110</v>
      </c>
      <c r="CC664">
        <v>110000</v>
      </c>
    </row>
    <row r="665" spans="1:81" x14ac:dyDescent="0.3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H665" t="s">
        <v>83</v>
      </c>
      <c r="I665" t="s">
        <v>84</v>
      </c>
      <c r="J665" t="s">
        <v>85</v>
      </c>
      <c r="K665" t="s">
        <v>86</v>
      </c>
      <c r="L665" t="s">
        <v>87</v>
      </c>
      <c r="M665" t="s">
        <v>184</v>
      </c>
      <c r="N665" t="s">
        <v>89</v>
      </c>
      <c r="O665" t="s">
        <v>89</v>
      </c>
      <c r="P665" t="s">
        <v>90</v>
      </c>
      <c r="Q665" t="s">
        <v>190</v>
      </c>
      <c r="R665">
        <v>4</v>
      </c>
      <c r="S665">
        <v>5</v>
      </c>
      <c r="T665">
        <v>1972</v>
      </c>
      <c r="U665">
        <v>1972</v>
      </c>
      <c r="V665" t="s">
        <v>92</v>
      </c>
      <c r="W665" t="s">
        <v>93</v>
      </c>
      <c r="X665" t="s">
        <v>160</v>
      </c>
      <c r="Y665" t="s">
        <v>160</v>
      </c>
      <c r="Z665" t="s">
        <v>116</v>
      </c>
      <c r="AA665">
        <v>0</v>
      </c>
      <c r="AB665" t="s">
        <v>97</v>
      </c>
      <c r="AC665" t="s">
        <v>97</v>
      </c>
      <c r="AD665" t="s">
        <v>117</v>
      </c>
      <c r="AE665" t="s">
        <v>96</v>
      </c>
      <c r="AF665" t="s">
        <v>97</v>
      </c>
      <c r="AG665" t="s">
        <v>129</v>
      </c>
      <c r="AH665" t="s">
        <v>140</v>
      </c>
      <c r="AI665">
        <v>920</v>
      </c>
      <c r="AJ665" t="s">
        <v>152</v>
      </c>
      <c r="AK665">
        <v>180</v>
      </c>
      <c r="AL665">
        <v>38</v>
      </c>
      <c r="AM665">
        <v>1138</v>
      </c>
      <c r="AN665" t="s">
        <v>102</v>
      </c>
      <c r="AO665" t="s">
        <v>97</v>
      </c>
      <c r="AP665" t="s">
        <v>104</v>
      </c>
      <c r="AQ665" t="s">
        <v>105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97</v>
      </c>
      <c r="BC665">
        <v>6</v>
      </c>
      <c r="BD665" t="s">
        <v>106</v>
      </c>
      <c r="BE665">
        <v>0</v>
      </c>
      <c r="BG665" t="s">
        <v>126</v>
      </c>
      <c r="BH665">
        <v>1974</v>
      </c>
      <c r="BI665" t="s">
        <v>108</v>
      </c>
      <c r="BJ665">
        <v>2</v>
      </c>
      <c r="BK665">
        <v>588</v>
      </c>
      <c r="BL665" t="s">
        <v>97</v>
      </c>
      <c r="BM665" t="s">
        <v>97</v>
      </c>
      <c r="BN665" t="s">
        <v>104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V665" t="s">
        <v>133</v>
      </c>
      <c r="BX665">
        <v>0</v>
      </c>
      <c r="BY665">
        <v>4</v>
      </c>
      <c r="BZ665">
        <v>2008</v>
      </c>
      <c r="CA665" t="s">
        <v>109</v>
      </c>
      <c r="CB665" t="s">
        <v>110</v>
      </c>
      <c r="CC665">
        <v>137500</v>
      </c>
    </row>
    <row r="666" spans="1:81" x14ac:dyDescent="0.3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H666" t="s">
        <v>159</v>
      </c>
      <c r="I666" t="s">
        <v>84</v>
      </c>
      <c r="J666" t="s">
        <v>85</v>
      </c>
      <c r="K666" t="s">
        <v>165</v>
      </c>
      <c r="L666" t="s">
        <v>87</v>
      </c>
      <c r="M666" t="s">
        <v>135</v>
      </c>
      <c r="N666" t="s">
        <v>201</v>
      </c>
      <c r="O666" t="s">
        <v>89</v>
      </c>
      <c r="P666" t="s">
        <v>90</v>
      </c>
      <c r="Q666" t="s">
        <v>114</v>
      </c>
      <c r="R666">
        <v>8</v>
      </c>
      <c r="S666">
        <v>5</v>
      </c>
      <c r="T666">
        <v>2005</v>
      </c>
      <c r="U666">
        <v>2006</v>
      </c>
      <c r="V666" t="s">
        <v>92</v>
      </c>
      <c r="W666" t="s">
        <v>93</v>
      </c>
      <c r="X666" t="s">
        <v>94</v>
      </c>
      <c r="Y666" t="s">
        <v>94</v>
      </c>
      <c r="Z666" t="s">
        <v>116</v>
      </c>
      <c r="AA666">
        <v>0</v>
      </c>
      <c r="AB666" t="s">
        <v>96</v>
      </c>
      <c r="AC666" t="s">
        <v>97</v>
      </c>
      <c r="AD666" t="s">
        <v>98</v>
      </c>
      <c r="AE666" t="s">
        <v>103</v>
      </c>
      <c r="AF666" t="s">
        <v>97</v>
      </c>
      <c r="AG666" t="s">
        <v>120</v>
      </c>
      <c r="AH666" t="s">
        <v>100</v>
      </c>
      <c r="AI666">
        <v>1721</v>
      </c>
      <c r="AJ666" t="s">
        <v>101</v>
      </c>
      <c r="AK666">
        <v>0</v>
      </c>
      <c r="AL666">
        <v>356</v>
      </c>
      <c r="AM666">
        <v>2077</v>
      </c>
      <c r="AN666" t="s">
        <v>102</v>
      </c>
      <c r="AO666" t="s">
        <v>103</v>
      </c>
      <c r="AP666" t="s">
        <v>104</v>
      </c>
      <c r="AQ666" t="s">
        <v>105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103</v>
      </c>
      <c r="BC666">
        <v>8</v>
      </c>
      <c r="BD666" t="s">
        <v>106</v>
      </c>
      <c r="BE666">
        <v>1</v>
      </c>
      <c r="BF666" t="s">
        <v>103</v>
      </c>
      <c r="BG666" t="s">
        <v>107</v>
      </c>
      <c r="BH666">
        <v>2005</v>
      </c>
      <c r="BI666" t="s">
        <v>156</v>
      </c>
      <c r="BJ666">
        <v>3</v>
      </c>
      <c r="BK666">
        <v>1134</v>
      </c>
      <c r="BL666" t="s">
        <v>97</v>
      </c>
      <c r="BM666" t="s">
        <v>97</v>
      </c>
      <c r="BN666" t="s">
        <v>104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X666">
        <v>0</v>
      </c>
      <c r="BY666">
        <v>1</v>
      </c>
      <c r="BZ666">
        <v>2006</v>
      </c>
      <c r="CA666" t="s">
        <v>157</v>
      </c>
      <c r="CB666" t="s">
        <v>158</v>
      </c>
      <c r="CC666">
        <v>423000</v>
      </c>
    </row>
    <row r="667" spans="1:81" x14ac:dyDescent="0.3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H667" t="s">
        <v>119</v>
      </c>
      <c r="I667" t="s">
        <v>84</v>
      </c>
      <c r="J667" t="s">
        <v>85</v>
      </c>
      <c r="K667" t="s">
        <v>121</v>
      </c>
      <c r="L667" t="s">
        <v>87</v>
      </c>
      <c r="M667" t="s">
        <v>192</v>
      </c>
      <c r="N667" t="s">
        <v>89</v>
      </c>
      <c r="O667" t="s">
        <v>89</v>
      </c>
      <c r="P667" t="s">
        <v>90</v>
      </c>
      <c r="Q667" t="s">
        <v>91</v>
      </c>
      <c r="R667">
        <v>8</v>
      </c>
      <c r="S667">
        <v>5</v>
      </c>
      <c r="T667">
        <v>2000</v>
      </c>
      <c r="U667">
        <v>2000</v>
      </c>
      <c r="V667" t="s">
        <v>92</v>
      </c>
      <c r="W667" t="s">
        <v>93</v>
      </c>
      <c r="X667" t="s">
        <v>94</v>
      </c>
      <c r="Y667" t="s">
        <v>94</v>
      </c>
      <c r="Z667" t="s">
        <v>95</v>
      </c>
      <c r="AA667">
        <v>40</v>
      </c>
      <c r="AB667" t="s">
        <v>96</v>
      </c>
      <c r="AC667" t="s">
        <v>97</v>
      </c>
      <c r="AD667" t="s">
        <v>98</v>
      </c>
      <c r="AE667" t="s">
        <v>96</v>
      </c>
      <c r="AF667" t="s">
        <v>97</v>
      </c>
      <c r="AG667" t="s">
        <v>99</v>
      </c>
      <c r="AH667" t="s">
        <v>101</v>
      </c>
      <c r="AI667">
        <v>0</v>
      </c>
      <c r="AJ667" t="s">
        <v>101</v>
      </c>
      <c r="AK667">
        <v>0</v>
      </c>
      <c r="AL667">
        <v>1406</v>
      </c>
      <c r="AM667">
        <v>1406</v>
      </c>
      <c r="AN667" t="s">
        <v>102</v>
      </c>
      <c r="AO667" t="s">
        <v>103</v>
      </c>
      <c r="AP667" t="s">
        <v>104</v>
      </c>
      <c r="AQ667" t="s">
        <v>105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96</v>
      </c>
      <c r="BC667">
        <v>7</v>
      </c>
      <c r="BD667" t="s">
        <v>106</v>
      </c>
      <c r="BE667">
        <v>1</v>
      </c>
      <c r="BF667" t="s">
        <v>97</v>
      </c>
      <c r="BG667" t="s">
        <v>107</v>
      </c>
      <c r="BH667">
        <v>2000</v>
      </c>
      <c r="BI667" t="s">
        <v>108</v>
      </c>
      <c r="BJ667">
        <v>2</v>
      </c>
      <c r="BK667">
        <v>504</v>
      </c>
      <c r="BL667" t="s">
        <v>97</v>
      </c>
      <c r="BM667" t="s">
        <v>97</v>
      </c>
      <c r="BN667" t="s">
        <v>104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X667">
        <v>0</v>
      </c>
      <c r="BY667">
        <v>11</v>
      </c>
      <c r="BZ667">
        <v>2006</v>
      </c>
      <c r="CA667" t="s">
        <v>109</v>
      </c>
      <c r="CB667" t="s">
        <v>110</v>
      </c>
      <c r="CC667">
        <v>230500</v>
      </c>
    </row>
    <row r="668" spans="1:81" x14ac:dyDescent="0.3">
      <c r="A668">
        <v>667</v>
      </c>
      <c r="B668">
        <v>60</v>
      </c>
      <c r="C668" t="s">
        <v>81</v>
      </c>
      <c r="E668">
        <v>18450</v>
      </c>
      <c r="F668" t="s">
        <v>82</v>
      </c>
      <c r="H668" t="s">
        <v>119</v>
      </c>
      <c r="I668" t="s">
        <v>84</v>
      </c>
      <c r="J668" t="s">
        <v>85</v>
      </c>
      <c r="K668" t="s">
        <v>86</v>
      </c>
      <c r="L668" t="s">
        <v>87</v>
      </c>
      <c r="M668" t="s">
        <v>270</v>
      </c>
      <c r="N668" t="s">
        <v>89</v>
      </c>
      <c r="O668" t="s">
        <v>89</v>
      </c>
      <c r="P668" t="s">
        <v>90</v>
      </c>
      <c r="Q668" t="s">
        <v>91</v>
      </c>
      <c r="R668">
        <v>6</v>
      </c>
      <c r="S668">
        <v>5</v>
      </c>
      <c r="T668">
        <v>1965</v>
      </c>
      <c r="U668">
        <v>1979</v>
      </c>
      <c r="V668" t="s">
        <v>213</v>
      </c>
      <c r="W668" t="s">
        <v>241</v>
      </c>
      <c r="X668" t="s">
        <v>160</v>
      </c>
      <c r="Y668" t="s">
        <v>160</v>
      </c>
      <c r="Z668" t="s">
        <v>206</v>
      </c>
      <c r="AA668">
        <v>113</v>
      </c>
      <c r="AB668" t="s">
        <v>97</v>
      </c>
      <c r="AC668" t="s">
        <v>96</v>
      </c>
      <c r="AD668" t="s">
        <v>117</v>
      </c>
      <c r="AE668" t="s">
        <v>96</v>
      </c>
      <c r="AF668" t="s">
        <v>97</v>
      </c>
      <c r="AG668" t="s">
        <v>99</v>
      </c>
      <c r="AH668" t="s">
        <v>171</v>
      </c>
      <c r="AI668">
        <v>187</v>
      </c>
      <c r="AJ668" t="s">
        <v>152</v>
      </c>
      <c r="AK668">
        <v>723</v>
      </c>
      <c r="AL668">
        <v>111</v>
      </c>
      <c r="AM668">
        <v>1021</v>
      </c>
      <c r="AN668" t="s">
        <v>102</v>
      </c>
      <c r="AO668" t="s">
        <v>97</v>
      </c>
      <c r="AP668" t="s">
        <v>104</v>
      </c>
      <c r="AQ668" t="s">
        <v>105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97</v>
      </c>
      <c r="BC668">
        <v>7</v>
      </c>
      <c r="BD668" t="s">
        <v>212</v>
      </c>
      <c r="BE668">
        <v>1</v>
      </c>
      <c r="BF668" t="s">
        <v>211</v>
      </c>
      <c r="BG668" t="s">
        <v>168</v>
      </c>
      <c r="BH668">
        <v>1965</v>
      </c>
      <c r="BI668" t="s">
        <v>101</v>
      </c>
      <c r="BJ668">
        <v>2</v>
      </c>
      <c r="BK668">
        <v>596</v>
      </c>
      <c r="BL668" t="s">
        <v>97</v>
      </c>
      <c r="BM668" t="s">
        <v>97</v>
      </c>
      <c r="BN668" t="s">
        <v>104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X668">
        <v>0</v>
      </c>
      <c r="BY668">
        <v>8</v>
      </c>
      <c r="BZ668">
        <v>2007</v>
      </c>
      <c r="CA668" t="s">
        <v>109</v>
      </c>
      <c r="CB668" t="s">
        <v>127</v>
      </c>
      <c r="CC668">
        <v>129000</v>
      </c>
    </row>
    <row r="669" spans="1:81" x14ac:dyDescent="0.3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H669" t="s">
        <v>83</v>
      </c>
      <c r="I669" t="s">
        <v>84</v>
      </c>
      <c r="J669" t="s">
        <v>85</v>
      </c>
      <c r="K669" t="s">
        <v>86</v>
      </c>
      <c r="L669" t="s">
        <v>87</v>
      </c>
      <c r="M669" t="s">
        <v>169</v>
      </c>
      <c r="N669" t="s">
        <v>89</v>
      </c>
      <c r="O669" t="s">
        <v>89</v>
      </c>
      <c r="P669" t="s">
        <v>90</v>
      </c>
      <c r="Q669" t="s">
        <v>114</v>
      </c>
      <c r="R669">
        <v>6</v>
      </c>
      <c r="S669">
        <v>5</v>
      </c>
      <c r="T669">
        <v>1994</v>
      </c>
      <c r="U669">
        <v>1998</v>
      </c>
      <c r="V669" t="s">
        <v>92</v>
      </c>
      <c r="W669" t="s">
        <v>93</v>
      </c>
      <c r="X669" t="s">
        <v>139</v>
      </c>
      <c r="Y669" t="s">
        <v>139</v>
      </c>
      <c r="Z669" t="s">
        <v>95</v>
      </c>
      <c r="AA669">
        <v>258</v>
      </c>
      <c r="AB669" t="s">
        <v>97</v>
      </c>
      <c r="AC669" t="s">
        <v>97</v>
      </c>
      <c r="AD669" t="s">
        <v>98</v>
      </c>
      <c r="AE669" t="s">
        <v>96</v>
      </c>
      <c r="AF669" t="s">
        <v>97</v>
      </c>
      <c r="AG669" t="s">
        <v>99</v>
      </c>
      <c r="AH669" t="s">
        <v>100</v>
      </c>
      <c r="AI669">
        <v>1138</v>
      </c>
      <c r="AJ669" t="s">
        <v>101</v>
      </c>
      <c r="AK669">
        <v>0</v>
      </c>
      <c r="AL669">
        <v>270</v>
      </c>
      <c r="AM669">
        <v>1408</v>
      </c>
      <c r="AN669" t="s">
        <v>102</v>
      </c>
      <c r="AO669" t="s">
        <v>103</v>
      </c>
      <c r="AP669" t="s">
        <v>104</v>
      </c>
      <c r="AQ669" t="s">
        <v>105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96</v>
      </c>
      <c r="BC669">
        <v>7</v>
      </c>
      <c r="BD669" t="s">
        <v>106</v>
      </c>
      <c r="BE669">
        <v>1</v>
      </c>
      <c r="BF669" t="s">
        <v>146</v>
      </c>
      <c r="BG669" t="s">
        <v>107</v>
      </c>
      <c r="BH669">
        <v>1994</v>
      </c>
      <c r="BI669" t="s">
        <v>108</v>
      </c>
      <c r="BJ669">
        <v>2</v>
      </c>
      <c r="BK669">
        <v>575</v>
      </c>
      <c r="BL669" t="s">
        <v>97</v>
      </c>
      <c r="BM669" t="s">
        <v>97</v>
      </c>
      <c r="BN669" t="s">
        <v>104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X669">
        <v>0</v>
      </c>
      <c r="BY669">
        <v>10</v>
      </c>
      <c r="BZ669">
        <v>2008</v>
      </c>
      <c r="CA669" t="s">
        <v>109</v>
      </c>
      <c r="CB669" t="s">
        <v>110</v>
      </c>
      <c r="CC669">
        <v>193500</v>
      </c>
    </row>
    <row r="670" spans="1:81" x14ac:dyDescent="0.3">
      <c r="A670">
        <v>669</v>
      </c>
      <c r="B670">
        <v>20</v>
      </c>
      <c r="C670" t="s">
        <v>81</v>
      </c>
      <c r="E670">
        <v>14175</v>
      </c>
      <c r="F670" t="s">
        <v>82</v>
      </c>
      <c r="H670" t="s">
        <v>83</v>
      </c>
      <c r="I670" t="s">
        <v>174</v>
      </c>
      <c r="J670" t="s">
        <v>85</v>
      </c>
      <c r="K670" t="s">
        <v>121</v>
      </c>
      <c r="L670" t="s">
        <v>193</v>
      </c>
      <c r="M670" t="s">
        <v>150</v>
      </c>
      <c r="N670" t="s">
        <v>89</v>
      </c>
      <c r="O670" t="s">
        <v>89</v>
      </c>
      <c r="P670" t="s">
        <v>90</v>
      </c>
      <c r="Q670" t="s">
        <v>114</v>
      </c>
      <c r="R670">
        <v>5</v>
      </c>
      <c r="S670">
        <v>6</v>
      </c>
      <c r="T670">
        <v>1956</v>
      </c>
      <c r="U670">
        <v>1987</v>
      </c>
      <c r="V670" t="s">
        <v>92</v>
      </c>
      <c r="W670" t="s">
        <v>93</v>
      </c>
      <c r="X670" t="s">
        <v>179</v>
      </c>
      <c r="Y670" t="s">
        <v>123</v>
      </c>
      <c r="Z670" t="s">
        <v>116</v>
      </c>
      <c r="AA670">
        <v>0</v>
      </c>
      <c r="AB670" t="s">
        <v>97</v>
      </c>
      <c r="AC670" t="s">
        <v>97</v>
      </c>
      <c r="AD670" t="s">
        <v>117</v>
      </c>
      <c r="AE670" t="s">
        <v>97</v>
      </c>
      <c r="AF670" t="s">
        <v>97</v>
      </c>
      <c r="AG670" t="s">
        <v>99</v>
      </c>
      <c r="AH670" t="s">
        <v>152</v>
      </c>
      <c r="AI670">
        <v>988</v>
      </c>
      <c r="AJ670" t="s">
        <v>101</v>
      </c>
      <c r="AK670">
        <v>0</v>
      </c>
      <c r="AL670">
        <v>200</v>
      </c>
      <c r="AM670">
        <v>1188</v>
      </c>
      <c r="AN670" t="s">
        <v>102</v>
      </c>
      <c r="AO670" t="s">
        <v>96</v>
      </c>
      <c r="AP670" t="s">
        <v>104</v>
      </c>
      <c r="AQ670" t="s">
        <v>105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97</v>
      </c>
      <c r="BC670">
        <v>6</v>
      </c>
      <c r="BD670" t="s">
        <v>223</v>
      </c>
      <c r="BE670">
        <v>1</v>
      </c>
      <c r="BF670" t="s">
        <v>97</v>
      </c>
      <c r="BG670" t="s">
        <v>126</v>
      </c>
      <c r="BH670">
        <v>1999</v>
      </c>
      <c r="BI670" t="s">
        <v>101</v>
      </c>
      <c r="BJ670">
        <v>2</v>
      </c>
      <c r="BK670">
        <v>576</v>
      </c>
      <c r="BL670" t="s">
        <v>97</v>
      </c>
      <c r="BM670" t="s">
        <v>97</v>
      </c>
      <c r="BN670" t="s">
        <v>104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X670">
        <v>0</v>
      </c>
      <c r="BY670">
        <v>11</v>
      </c>
      <c r="BZ670">
        <v>2006</v>
      </c>
      <c r="CA670" t="s">
        <v>109</v>
      </c>
      <c r="CB670" t="s">
        <v>110</v>
      </c>
      <c r="CC670">
        <v>168000</v>
      </c>
    </row>
    <row r="671" spans="1:81" x14ac:dyDescent="0.3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H671" t="s">
        <v>83</v>
      </c>
      <c r="I671" t="s">
        <v>84</v>
      </c>
      <c r="J671" t="s">
        <v>85</v>
      </c>
      <c r="K671" t="s">
        <v>86</v>
      </c>
      <c r="L671" t="s">
        <v>87</v>
      </c>
      <c r="M671" t="s">
        <v>122</v>
      </c>
      <c r="N671" t="s">
        <v>89</v>
      </c>
      <c r="O671" t="s">
        <v>89</v>
      </c>
      <c r="P671" t="s">
        <v>90</v>
      </c>
      <c r="Q671" t="s">
        <v>114</v>
      </c>
      <c r="R671">
        <v>4</v>
      </c>
      <c r="S671">
        <v>5</v>
      </c>
      <c r="T671">
        <v>1922</v>
      </c>
      <c r="U671">
        <v>1950</v>
      </c>
      <c r="V671" t="s">
        <v>92</v>
      </c>
      <c r="W671" t="s">
        <v>93</v>
      </c>
      <c r="X671" t="s">
        <v>115</v>
      </c>
      <c r="Y671" t="s">
        <v>115</v>
      </c>
      <c r="Z671" t="s">
        <v>116</v>
      </c>
      <c r="AA671">
        <v>0</v>
      </c>
      <c r="AB671" t="s">
        <v>97</v>
      </c>
      <c r="AC671" t="s">
        <v>97</v>
      </c>
      <c r="AD671" t="s">
        <v>125</v>
      </c>
      <c r="AE671" t="s">
        <v>146</v>
      </c>
      <c r="AF671" t="s">
        <v>97</v>
      </c>
      <c r="AG671" t="s">
        <v>99</v>
      </c>
      <c r="AH671" t="s">
        <v>101</v>
      </c>
      <c r="AI671">
        <v>0</v>
      </c>
      <c r="AJ671" t="s">
        <v>101</v>
      </c>
      <c r="AK671">
        <v>0</v>
      </c>
      <c r="AL671">
        <v>700</v>
      </c>
      <c r="AM671">
        <v>700</v>
      </c>
      <c r="AN671" t="s">
        <v>102</v>
      </c>
      <c r="AO671" t="s">
        <v>103</v>
      </c>
      <c r="AP671" t="s">
        <v>104</v>
      </c>
      <c r="AQ671" t="s">
        <v>105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146</v>
      </c>
      <c r="BC671">
        <v>5</v>
      </c>
      <c r="BD671" t="s">
        <v>106</v>
      </c>
      <c r="BE671">
        <v>1</v>
      </c>
      <c r="BF671" t="s">
        <v>96</v>
      </c>
      <c r="BG671" t="s">
        <v>126</v>
      </c>
      <c r="BH671">
        <v>1922</v>
      </c>
      <c r="BI671" t="s">
        <v>101</v>
      </c>
      <c r="BJ671">
        <v>1</v>
      </c>
      <c r="BK671">
        <v>252</v>
      </c>
      <c r="BL671" t="s">
        <v>97</v>
      </c>
      <c r="BM671" t="s">
        <v>146</v>
      </c>
      <c r="BN671" t="s">
        <v>104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X671">
        <v>0</v>
      </c>
      <c r="BY671">
        <v>7</v>
      </c>
      <c r="BZ671">
        <v>2006</v>
      </c>
      <c r="CA671" t="s">
        <v>109</v>
      </c>
      <c r="CB671" t="s">
        <v>110</v>
      </c>
      <c r="CC671">
        <v>137500</v>
      </c>
    </row>
    <row r="672" spans="1:81" x14ac:dyDescent="0.3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H672" t="s">
        <v>83</v>
      </c>
      <c r="I672" t="s">
        <v>84</v>
      </c>
      <c r="J672" t="s">
        <v>85</v>
      </c>
      <c r="K672" t="s">
        <v>111</v>
      </c>
      <c r="L672" t="s">
        <v>87</v>
      </c>
      <c r="M672" t="s">
        <v>88</v>
      </c>
      <c r="N672" t="s">
        <v>89</v>
      </c>
      <c r="O672" t="s">
        <v>89</v>
      </c>
      <c r="P672" t="s">
        <v>90</v>
      </c>
      <c r="Q672" t="s">
        <v>91</v>
      </c>
      <c r="R672">
        <v>6</v>
      </c>
      <c r="S672">
        <v>5</v>
      </c>
      <c r="T672">
        <v>2005</v>
      </c>
      <c r="U672">
        <v>2005</v>
      </c>
      <c r="V672" t="s">
        <v>92</v>
      </c>
      <c r="W672" t="s">
        <v>93</v>
      </c>
      <c r="X672" t="s">
        <v>94</v>
      </c>
      <c r="Y672" t="s">
        <v>94</v>
      </c>
      <c r="Z672" t="s">
        <v>116</v>
      </c>
      <c r="AA672">
        <v>0</v>
      </c>
      <c r="AB672" t="s">
        <v>96</v>
      </c>
      <c r="AC672" t="s">
        <v>97</v>
      </c>
      <c r="AD672" t="s">
        <v>98</v>
      </c>
      <c r="AE672" t="s">
        <v>96</v>
      </c>
      <c r="AF672" t="s">
        <v>97</v>
      </c>
      <c r="AG672" t="s">
        <v>99</v>
      </c>
      <c r="AH672" t="s">
        <v>100</v>
      </c>
      <c r="AI672">
        <v>193</v>
      </c>
      <c r="AJ672" t="s">
        <v>101</v>
      </c>
      <c r="AK672">
        <v>0</v>
      </c>
      <c r="AL672">
        <v>545</v>
      </c>
      <c r="AM672">
        <v>738</v>
      </c>
      <c r="AN672" t="s">
        <v>102</v>
      </c>
      <c r="AO672" t="s">
        <v>103</v>
      </c>
      <c r="AP672" t="s">
        <v>104</v>
      </c>
      <c r="AQ672" t="s">
        <v>105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96</v>
      </c>
      <c r="BC672">
        <v>7</v>
      </c>
      <c r="BD672" t="s">
        <v>106</v>
      </c>
      <c r="BE672">
        <v>0</v>
      </c>
      <c r="BG672" t="s">
        <v>107</v>
      </c>
      <c r="BH672">
        <v>2005</v>
      </c>
      <c r="BI672" t="s">
        <v>156</v>
      </c>
      <c r="BJ672">
        <v>2</v>
      </c>
      <c r="BK672">
        <v>540</v>
      </c>
      <c r="BL672" t="s">
        <v>97</v>
      </c>
      <c r="BM672" t="s">
        <v>97</v>
      </c>
      <c r="BN672" t="s">
        <v>104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X672">
        <v>0</v>
      </c>
      <c r="BY672">
        <v>2</v>
      </c>
      <c r="BZ672">
        <v>2009</v>
      </c>
      <c r="CA672" t="s">
        <v>109</v>
      </c>
      <c r="CB672" t="s">
        <v>110</v>
      </c>
      <c r="CC672">
        <v>173500</v>
      </c>
    </row>
    <row r="673" spans="1:81" x14ac:dyDescent="0.3">
      <c r="A673">
        <v>672</v>
      </c>
      <c r="B673">
        <v>70</v>
      </c>
      <c r="C673" t="s">
        <v>238</v>
      </c>
      <c r="D673">
        <v>54</v>
      </c>
      <c r="E673">
        <v>6629</v>
      </c>
      <c r="F673" t="s">
        <v>82</v>
      </c>
      <c r="H673" t="s">
        <v>83</v>
      </c>
      <c r="I673" t="s">
        <v>84</v>
      </c>
      <c r="J673" t="s">
        <v>85</v>
      </c>
      <c r="K673" t="s">
        <v>86</v>
      </c>
      <c r="L673" t="s">
        <v>87</v>
      </c>
      <c r="M673" t="s">
        <v>184</v>
      </c>
      <c r="N673" t="s">
        <v>143</v>
      </c>
      <c r="O673" t="s">
        <v>89</v>
      </c>
      <c r="P673" t="s">
        <v>90</v>
      </c>
      <c r="Q673" t="s">
        <v>91</v>
      </c>
      <c r="R673">
        <v>6</v>
      </c>
      <c r="S673">
        <v>6</v>
      </c>
      <c r="T673">
        <v>1925</v>
      </c>
      <c r="U673">
        <v>1950</v>
      </c>
      <c r="V673" t="s">
        <v>183</v>
      </c>
      <c r="W673" t="s">
        <v>93</v>
      </c>
      <c r="X673" t="s">
        <v>123</v>
      </c>
      <c r="Y673" t="s">
        <v>123</v>
      </c>
      <c r="Z673" t="s">
        <v>116</v>
      </c>
      <c r="AA673">
        <v>0</v>
      </c>
      <c r="AB673" t="s">
        <v>97</v>
      </c>
      <c r="AC673" t="s">
        <v>96</v>
      </c>
      <c r="AD673" t="s">
        <v>125</v>
      </c>
      <c r="AE673" t="s">
        <v>97</v>
      </c>
      <c r="AF673" t="s">
        <v>97</v>
      </c>
      <c r="AG673" t="s">
        <v>99</v>
      </c>
      <c r="AH673" t="s">
        <v>140</v>
      </c>
      <c r="AI673">
        <v>551</v>
      </c>
      <c r="AJ673" t="s">
        <v>101</v>
      </c>
      <c r="AK673">
        <v>0</v>
      </c>
      <c r="AL673">
        <v>121</v>
      </c>
      <c r="AM673">
        <v>672</v>
      </c>
      <c r="AN673" t="s">
        <v>102</v>
      </c>
      <c r="AO673" t="s">
        <v>97</v>
      </c>
      <c r="AP673" t="s">
        <v>176</v>
      </c>
      <c r="AQ673" t="s">
        <v>105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97</v>
      </c>
      <c r="BC673">
        <v>6</v>
      </c>
      <c r="BD673" t="s">
        <v>106</v>
      </c>
      <c r="BE673">
        <v>0</v>
      </c>
      <c r="BG673" t="s">
        <v>126</v>
      </c>
      <c r="BH673">
        <v>1930</v>
      </c>
      <c r="BI673" t="s">
        <v>101</v>
      </c>
      <c r="BJ673">
        <v>1</v>
      </c>
      <c r="BK673">
        <v>300</v>
      </c>
      <c r="BL673" t="s">
        <v>97</v>
      </c>
      <c r="BM673" t="s">
        <v>97</v>
      </c>
      <c r="BN673" t="s">
        <v>104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X673">
        <v>0</v>
      </c>
      <c r="BY673">
        <v>7</v>
      </c>
      <c r="BZ673">
        <v>2009</v>
      </c>
      <c r="CA673" t="s">
        <v>109</v>
      </c>
      <c r="CB673" t="s">
        <v>110</v>
      </c>
      <c r="CC673">
        <v>103600</v>
      </c>
    </row>
    <row r="674" spans="1:81" x14ac:dyDescent="0.3">
      <c r="A674">
        <v>673</v>
      </c>
      <c r="B674">
        <v>20</v>
      </c>
      <c r="C674" t="s">
        <v>81</v>
      </c>
      <c r="E674">
        <v>11250</v>
      </c>
      <c r="F674" t="s">
        <v>82</v>
      </c>
      <c r="H674" t="s">
        <v>119</v>
      </c>
      <c r="I674" t="s">
        <v>84</v>
      </c>
      <c r="J674" t="s">
        <v>85</v>
      </c>
      <c r="K674" t="s">
        <v>86</v>
      </c>
      <c r="L674" t="s">
        <v>87</v>
      </c>
      <c r="M674" t="s">
        <v>112</v>
      </c>
      <c r="N674" t="s">
        <v>89</v>
      </c>
      <c r="O674" t="s">
        <v>89</v>
      </c>
      <c r="P674" t="s">
        <v>90</v>
      </c>
      <c r="Q674" t="s">
        <v>114</v>
      </c>
      <c r="R674">
        <v>6</v>
      </c>
      <c r="S674">
        <v>6</v>
      </c>
      <c r="T674">
        <v>1977</v>
      </c>
      <c r="U674">
        <v>1977</v>
      </c>
      <c r="V674" t="s">
        <v>92</v>
      </c>
      <c r="W674" t="s">
        <v>93</v>
      </c>
      <c r="X674" t="s">
        <v>160</v>
      </c>
      <c r="Y674" t="s">
        <v>160</v>
      </c>
      <c r="Z674" t="s">
        <v>116</v>
      </c>
      <c r="AA674">
        <v>0</v>
      </c>
      <c r="AB674" t="s">
        <v>96</v>
      </c>
      <c r="AC674" t="s">
        <v>97</v>
      </c>
      <c r="AD674" t="s">
        <v>117</v>
      </c>
      <c r="AE674" t="s">
        <v>96</v>
      </c>
      <c r="AF674" t="s">
        <v>97</v>
      </c>
      <c r="AG674" t="s">
        <v>99</v>
      </c>
      <c r="AH674" t="s">
        <v>118</v>
      </c>
      <c r="AI674">
        <v>767</v>
      </c>
      <c r="AJ674" t="s">
        <v>101</v>
      </c>
      <c r="AK674">
        <v>0</v>
      </c>
      <c r="AL674">
        <v>441</v>
      </c>
      <c r="AM674">
        <v>1208</v>
      </c>
      <c r="AN674" t="s">
        <v>102</v>
      </c>
      <c r="AO674" t="s">
        <v>97</v>
      </c>
      <c r="AP674" t="s">
        <v>104</v>
      </c>
      <c r="AQ674" t="s">
        <v>105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97</v>
      </c>
      <c r="BC674">
        <v>6</v>
      </c>
      <c r="BD674" t="s">
        <v>106</v>
      </c>
      <c r="BE674">
        <v>1</v>
      </c>
      <c r="BF674" t="s">
        <v>97</v>
      </c>
      <c r="BG674" t="s">
        <v>107</v>
      </c>
      <c r="BH674">
        <v>1977</v>
      </c>
      <c r="BI674" t="s">
        <v>108</v>
      </c>
      <c r="BJ674">
        <v>2</v>
      </c>
      <c r="BK674">
        <v>546</v>
      </c>
      <c r="BL674" t="s">
        <v>97</v>
      </c>
      <c r="BM674" t="s">
        <v>97</v>
      </c>
      <c r="BN674" t="s">
        <v>104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X674">
        <v>0</v>
      </c>
      <c r="BY674">
        <v>6</v>
      </c>
      <c r="BZ674">
        <v>2006</v>
      </c>
      <c r="CA674" t="s">
        <v>109</v>
      </c>
      <c r="CB674" t="s">
        <v>110</v>
      </c>
      <c r="CC674">
        <v>165000</v>
      </c>
    </row>
    <row r="675" spans="1:81" x14ac:dyDescent="0.3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H675" t="s">
        <v>83</v>
      </c>
      <c r="I675" t="s">
        <v>84</v>
      </c>
      <c r="J675" t="s">
        <v>85</v>
      </c>
      <c r="K675" t="s">
        <v>86</v>
      </c>
      <c r="L675" t="s">
        <v>87</v>
      </c>
      <c r="M675" t="s">
        <v>122</v>
      </c>
      <c r="N675" t="s">
        <v>89</v>
      </c>
      <c r="O675" t="s">
        <v>89</v>
      </c>
      <c r="P675" t="s">
        <v>90</v>
      </c>
      <c r="Q675" t="s">
        <v>114</v>
      </c>
      <c r="R675">
        <v>6</v>
      </c>
      <c r="S675">
        <v>7</v>
      </c>
      <c r="T675">
        <v>1957</v>
      </c>
      <c r="U675">
        <v>2004</v>
      </c>
      <c r="V675" t="s">
        <v>151</v>
      </c>
      <c r="W675" t="s">
        <v>93</v>
      </c>
      <c r="X675" t="s">
        <v>179</v>
      </c>
      <c r="Y675" t="s">
        <v>180</v>
      </c>
      <c r="Z675" t="s">
        <v>95</v>
      </c>
      <c r="AA675">
        <v>106</v>
      </c>
      <c r="AB675" t="s">
        <v>97</v>
      </c>
      <c r="AC675" t="s">
        <v>97</v>
      </c>
      <c r="AD675" t="s">
        <v>98</v>
      </c>
      <c r="AE675" t="s">
        <v>97</v>
      </c>
      <c r="AF675" t="s">
        <v>97</v>
      </c>
      <c r="AG675" t="s">
        <v>99</v>
      </c>
      <c r="AH675" t="s">
        <v>100</v>
      </c>
      <c r="AI675">
        <v>1186</v>
      </c>
      <c r="AJ675" t="s">
        <v>101</v>
      </c>
      <c r="AK675">
        <v>0</v>
      </c>
      <c r="AL675">
        <v>291</v>
      </c>
      <c r="AM675">
        <v>1477</v>
      </c>
      <c r="AN675" t="s">
        <v>102</v>
      </c>
      <c r="AO675" t="s">
        <v>103</v>
      </c>
      <c r="AP675" t="s">
        <v>104</v>
      </c>
      <c r="AQ675" t="s">
        <v>105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96</v>
      </c>
      <c r="BC675">
        <v>7</v>
      </c>
      <c r="BD675" t="s">
        <v>106</v>
      </c>
      <c r="BE675">
        <v>2</v>
      </c>
      <c r="BF675" t="s">
        <v>97</v>
      </c>
      <c r="BG675" t="s">
        <v>107</v>
      </c>
      <c r="BH675">
        <v>1957</v>
      </c>
      <c r="BI675" t="s">
        <v>156</v>
      </c>
      <c r="BJ675">
        <v>2</v>
      </c>
      <c r="BK675">
        <v>416</v>
      </c>
      <c r="BL675" t="s">
        <v>97</v>
      </c>
      <c r="BM675" t="s">
        <v>97</v>
      </c>
      <c r="BN675" t="s">
        <v>104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X675">
        <v>0</v>
      </c>
      <c r="BY675">
        <v>6</v>
      </c>
      <c r="BZ675">
        <v>2007</v>
      </c>
      <c r="CA675" t="s">
        <v>109</v>
      </c>
      <c r="CB675" t="s">
        <v>110</v>
      </c>
      <c r="CC675">
        <v>257500</v>
      </c>
    </row>
    <row r="676" spans="1:81" x14ac:dyDescent="0.3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H676" t="s">
        <v>83</v>
      </c>
      <c r="I676" t="s">
        <v>84</v>
      </c>
      <c r="J676" t="s">
        <v>85</v>
      </c>
      <c r="K676" t="s">
        <v>86</v>
      </c>
      <c r="L676" t="s">
        <v>87</v>
      </c>
      <c r="M676" t="s">
        <v>270</v>
      </c>
      <c r="N676" t="s">
        <v>89</v>
      </c>
      <c r="O676" t="s">
        <v>89</v>
      </c>
      <c r="P676" t="s">
        <v>90</v>
      </c>
      <c r="Q676" t="s">
        <v>114</v>
      </c>
      <c r="R676">
        <v>6</v>
      </c>
      <c r="S676">
        <v>6</v>
      </c>
      <c r="T676">
        <v>1965</v>
      </c>
      <c r="U676">
        <v>1965</v>
      </c>
      <c r="V676" t="s">
        <v>92</v>
      </c>
      <c r="W676" t="s">
        <v>93</v>
      </c>
      <c r="X676" t="s">
        <v>139</v>
      </c>
      <c r="Y676" t="s">
        <v>139</v>
      </c>
      <c r="Z676" t="s">
        <v>116</v>
      </c>
      <c r="AA676">
        <v>0</v>
      </c>
      <c r="AB676" t="s">
        <v>97</v>
      </c>
      <c r="AC676" t="s">
        <v>97</v>
      </c>
      <c r="AD676" t="s">
        <v>117</v>
      </c>
      <c r="AE676" t="s">
        <v>97</v>
      </c>
      <c r="AF676" t="s">
        <v>97</v>
      </c>
      <c r="AG676" t="s">
        <v>99</v>
      </c>
      <c r="AH676" t="s">
        <v>152</v>
      </c>
      <c r="AI676">
        <v>892</v>
      </c>
      <c r="AJ676" t="s">
        <v>101</v>
      </c>
      <c r="AK676">
        <v>0</v>
      </c>
      <c r="AL676">
        <v>244</v>
      </c>
      <c r="AM676">
        <v>1136</v>
      </c>
      <c r="AN676" t="s">
        <v>102</v>
      </c>
      <c r="AO676" t="s">
        <v>97</v>
      </c>
      <c r="AP676" t="s">
        <v>104</v>
      </c>
      <c r="AQ676" t="s">
        <v>105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97</v>
      </c>
      <c r="BC676">
        <v>5</v>
      </c>
      <c r="BD676" t="s">
        <v>106</v>
      </c>
      <c r="BE676">
        <v>1</v>
      </c>
      <c r="BF676" t="s">
        <v>96</v>
      </c>
      <c r="BG676" t="s">
        <v>107</v>
      </c>
      <c r="BH676">
        <v>1965</v>
      </c>
      <c r="BI676" t="s">
        <v>108</v>
      </c>
      <c r="BJ676">
        <v>1</v>
      </c>
      <c r="BK676">
        <v>384</v>
      </c>
      <c r="BL676" t="s">
        <v>97</v>
      </c>
      <c r="BM676" t="s">
        <v>97</v>
      </c>
      <c r="BN676" t="s">
        <v>104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X676">
        <v>0</v>
      </c>
      <c r="BY676">
        <v>7</v>
      </c>
      <c r="BZ676">
        <v>2008</v>
      </c>
      <c r="CA676" t="s">
        <v>109</v>
      </c>
      <c r="CB676" t="s">
        <v>110</v>
      </c>
      <c r="CC676">
        <v>140000</v>
      </c>
    </row>
    <row r="677" spans="1:81" x14ac:dyDescent="0.3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H677" t="s">
        <v>83</v>
      </c>
      <c r="I677" t="s">
        <v>84</v>
      </c>
      <c r="J677" t="s">
        <v>85</v>
      </c>
      <c r="K677" t="s">
        <v>86</v>
      </c>
      <c r="L677" t="s">
        <v>87</v>
      </c>
      <c r="M677" t="s">
        <v>215</v>
      </c>
      <c r="N677" t="s">
        <v>89</v>
      </c>
      <c r="O677" t="s">
        <v>89</v>
      </c>
      <c r="P677" t="s">
        <v>197</v>
      </c>
      <c r="Q677" t="s">
        <v>91</v>
      </c>
      <c r="R677">
        <v>6</v>
      </c>
      <c r="S677">
        <v>6</v>
      </c>
      <c r="T677">
        <v>1978</v>
      </c>
      <c r="U677">
        <v>1978</v>
      </c>
      <c r="V677" t="s">
        <v>92</v>
      </c>
      <c r="W677" t="s">
        <v>93</v>
      </c>
      <c r="X677" t="s">
        <v>160</v>
      </c>
      <c r="Y677" t="s">
        <v>225</v>
      </c>
      <c r="Z677" t="s">
        <v>116</v>
      </c>
      <c r="AA677">
        <v>0</v>
      </c>
      <c r="AB677" t="s">
        <v>97</v>
      </c>
      <c r="AC677" t="s">
        <v>97</v>
      </c>
      <c r="AD677" t="s">
        <v>117</v>
      </c>
      <c r="AE677" t="s">
        <v>97</v>
      </c>
      <c r="AF677" t="s">
        <v>97</v>
      </c>
      <c r="AG677" t="s">
        <v>99</v>
      </c>
      <c r="AH677" t="s">
        <v>118</v>
      </c>
      <c r="AI677">
        <v>311</v>
      </c>
      <c r="AJ677" t="s">
        <v>101</v>
      </c>
      <c r="AK677">
        <v>0</v>
      </c>
      <c r="AL677">
        <v>544</v>
      </c>
      <c r="AM677">
        <v>855</v>
      </c>
      <c r="AN677" t="s">
        <v>102</v>
      </c>
      <c r="AO677" t="s">
        <v>97</v>
      </c>
      <c r="AP677" t="s">
        <v>104</v>
      </c>
      <c r="AQ677" t="s">
        <v>105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97</v>
      </c>
      <c r="BC677">
        <v>7</v>
      </c>
      <c r="BD677" t="s">
        <v>106</v>
      </c>
      <c r="BE677">
        <v>1</v>
      </c>
      <c r="BF677" t="s">
        <v>97</v>
      </c>
      <c r="BG677" t="s">
        <v>107</v>
      </c>
      <c r="BH677">
        <v>1978</v>
      </c>
      <c r="BI677" t="s">
        <v>101</v>
      </c>
      <c r="BJ677">
        <v>2</v>
      </c>
      <c r="BK677">
        <v>440</v>
      </c>
      <c r="BL677" t="s">
        <v>97</v>
      </c>
      <c r="BM677" t="s">
        <v>97</v>
      </c>
      <c r="BN677" t="s">
        <v>104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X677">
        <v>0</v>
      </c>
      <c r="BY677">
        <v>4</v>
      </c>
      <c r="BZ677">
        <v>2009</v>
      </c>
      <c r="CA677" t="s">
        <v>109</v>
      </c>
      <c r="CB677" t="s">
        <v>110</v>
      </c>
      <c r="CC677">
        <v>148500</v>
      </c>
    </row>
    <row r="678" spans="1:81" x14ac:dyDescent="0.3">
      <c r="A678">
        <v>677</v>
      </c>
      <c r="B678">
        <v>70</v>
      </c>
      <c r="C678" t="s">
        <v>141</v>
      </c>
      <c r="D678">
        <v>60</v>
      </c>
      <c r="E678">
        <v>9600</v>
      </c>
      <c r="F678" t="s">
        <v>82</v>
      </c>
      <c r="G678" t="s">
        <v>173</v>
      </c>
      <c r="H678" t="s">
        <v>83</v>
      </c>
      <c r="I678" t="s">
        <v>84</v>
      </c>
      <c r="J678" t="s">
        <v>85</v>
      </c>
      <c r="K678" t="s">
        <v>86</v>
      </c>
      <c r="L678" t="s">
        <v>87</v>
      </c>
      <c r="M678" t="s">
        <v>142</v>
      </c>
      <c r="N678" t="s">
        <v>89</v>
      </c>
      <c r="O678" t="s">
        <v>89</v>
      </c>
      <c r="P678" t="s">
        <v>90</v>
      </c>
      <c r="Q678" t="s">
        <v>91</v>
      </c>
      <c r="R678">
        <v>4</v>
      </c>
      <c r="S678">
        <v>2</v>
      </c>
      <c r="T678">
        <v>1900</v>
      </c>
      <c r="U678">
        <v>1950</v>
      </c>
      <c r="V678" t="s">
        <v>92</v>
      </c>
      <c r="W678" t="s">
        <v>93</v>
      </c>
      <c r="X678" t="s">
        <v>185</v>
      </c>
      <c r="Y678" t="s">
        <v>202</v>
      </c>
      <c r="Z678" t="s">
        <v>116</v>
      </c>
      <c r="AA678">
        <v>0</v>
      </c>
      <c r="AB678" t="s">
        <v>97</v>
      </c>
      <c r="AC678" t="s">
        <v>97</v>
      </c>
      <c r="AD678" t="s">
        <v>125</v>
      </c>
      <c r="AE678" t="s">
        <v>97</v>
      </c>
      <c r="AF678" t="s">
        <v>146</v>
      </c>
      <c r="AG678" t="s">
        <v>99</v>
      </c>
      <c r="AH678" t="s">
        <v>101</v>
      </c>
      <c r="AI678">
        <v>0</v>
      </c>
      <c r="AJ678" t="s">
        <v>101</v>
      </c>
      <c r="AK678">
        <v>0</v>
      </c>
      <c r="AL678">
        <v>1095</v>
      </c>
      <c r="AM678">
        <v>1095</v>
      </c>
      <c r="AN678" t="s">
        <v>205</v>
      </c>
      <c r="AO678" t="s">
        <v>146</v>
      </c>
      <c r="AP678" t="s">
        <v>176</v>
      </c>
      <c r="AQ678" t="s">
        <v>105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97</v>
      </c>
      <c r="BC678">
        <v>8</v>
      </c>
      <c r="BD678" t="s">
        <v>223</v>
      </c>
      <c r="BE678">
        <v>0</v>
      </c>
      <c r="BG678" t="s">
        <v>216</v>
      </c>
      <c r="BH678">
        <v>1920</v>
      </c>
      <c r="BI678" t="s">
        <v>101</v>
      </c>
      <c r="BJ678">
        <v>3</v>
      </c>
      <c r="BK678">
        <v>779</v>
      </c>
      <c r="BL678" t="s">
        <v>146</v>
      </c>
      <c r="BM678" t="s">
        <v>146</v>
      </c>
      <c r="BN678" t="s">
        <v>176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X678">
        <v>0</v>
      </c>
      <c r="BY678">
        <v>5</v>
      </c>
      <c r="BZ678">
        <v>2006</v>
      </c>
      <c r="CA678" t="s">
        <v>109</v>
      </c>
      <c r="CB678" t="s">
        <v>110</v>
      </c>
      <c r="CC678">
        <v>87000</v>
      </c>
    </row>
    <row r="679" spans="1:81" x14ac:dyDescent="0.3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H679" t="s">
        <v>83</v>
      </c>
      <c r="I679" t="s">
        <v>84</v>
      </c>
      <c r="J679" t="s">
        <v>85</v>
      </c>
      <c r="K679" t="s">
        <v>86</v>
      </c>
      <c r="L679" t="s">
        <v>87</v>
      </c>
      <c r="M679" t="s">
        <v>142</v>
      </c>
      <c r="N679" t="s">
        <v>89</v>
      </c>
      <c r="O679" t="s">
        <v>89</v>
      </c>
      <c r="P679" t="s">
        <v>90</v>
      </c>
      <c r="Q679" t="s">
        <v>114</v>
      </c>
      <c r="R679">
        <v>5</v>
      </c>
      <c r="S679">
        <v>8</v>
      </c>
      <c r="T679">
        <v>1924</v>
      </c>
      <c r="U679">
        <v>2006</v>
      </c>
      <c r="V679" t="s">
        <v>92</v>
      </c>
      <c r="W679" t="s">
        <v>93</v>
      </c>
      <c r="X679" t="s">
        <v>94</v>
      </c>
      <c r="Y679" t="s">
        <v>94</v>
      </c>
      <c r="Z679" t="s">
        <v>116</v>
      </c>
      <c r="AA679">
        <v>0</v>
      </c>
      <c r="AB679" t="s">
        <v>96</v>
      </c>
      <c r="AC679" t="s">
        <v>97</v>
      </c>
      <c r="AD679" t="s">
        <v>125</v>
      </c>
      <c r="AE679" t="s">
        <v>97</v>
      </c>
      <c r="AF679" t="s">
        <v>97</v>
      </c>
      <c r="AG679" t="s">
        <v>99</v>
      </c>
      <c r="AH679" t="s">
        <v>101</v>
      </c>
      <c r="AI679">
        <v>0</v>
      </c>
      <c r="AJ679" t="s">
        <v>101</v>
      </c>
      <c r="AK679">
        <v>0</v>
      </c>
      <c r="AL679">
        <v>768</v>
      </c>
      <c r="AM679">
        <v>768</v>
      </c>
      <c r="AN679" t="s">
        <v>102</v>
      </c>
      <c r="AO679" t="s">
        <v>103</v>
      </c>
      <c r="AP679" t="s">
        <v>104</v>
      </c>
      <c r="AQ679" t="s">
        <v>105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96</v>
      </c>
      <c r="BC679">
        <v>5</v>
      </c>
      <c r="BD679" t="s">
        <v>106</v>
      </c>
      <c r="BE679">
        <v>0</v>
      </c>
      <c r="BG679" t="s">
        <v>126</v>
      </c>
      <c r="BH679">
        <v>1924</v>
      </c>
      <c r="BI679" t="s">
        <v>101</v>
      </c>
      <c r="BJ679">
        <v>1</v>
      </c>
      <c r="BK679">
        <v>240</v>
      </c>
      <c r="BL679" t="s">
        <v>146</v>
      </c>
      <c r="BM679" t="s">
        <v>146</v>
      </c>
      <c r="BN679" t="s">
        <v>176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X679">
        <v>0</v>
      </c>
      <c r="BY679">
        <v>5</v>
      </c>
      <c r="BZ679">
        <v>2009</v>
      </c>
      <c r="CA679" t="s">
        <v>109</v>
      </c>
      <c r="CB679" t="s">
        <v>110</v>
      </c>
      <c r="CC679">
        <v>109500</v>
      </c>
    </row>
    <row r="680" spans="1:81" x14ac:dyDescent="0.3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H680" t="s">
        <v>119</v>
      </c>
      <c r="I680" t="s">
        <v>84</v>
      </c>
      <c r="J680" t="s">
        <v>85</v>
      </c>
      <c r="K680" t="s">
        <v>86</v>
      </c>
      <c r="L680" t="s">
        <v>87</v>
      </c>
      <c r="M680" t="s">
        <v>199</v>
      </c>
      <c r="N680" t="s">
        <v>89</v>
      </c>
      <c r="O680" t="s">
        <v>89</v>
      </c>
      <c r="P680" t="s">
        <v>90</v>
      </c>
      <c r="Q680" t="s">
        <v>114</v>
      </c>
      <c r="R680">
        <v>8</v>
      </c>
      <c r="S680">
        <v>5</v>
      </c>
      <c r="T680">
        <v>2008</v>
      </c>
      <c r="U680">
        <v>2008</v>
      </c>
      <c r="V680" t="s">
        <v>151</v>
      </c>
      <c r="W680" t="s">
        <v>93</v>
      </c>
      <c r="X680" t="s">
        <v>94</v>
      </c>
      <c r="Y680" t="s">
        <v>94</v>
      </c>
      <c r="Z680" t="s">
        <v>136</v>
      </c>
      <c r="AA680">
        <v>464</v>
      </c>
      <c r="AB680" t="s">
        <v>96</v>
      </c>
      <c r="AC680" t="s">
        <v>97</v>
      </c>
      <c r="AD680" t="s">
        <v>98</v>
      </c>
      <c r="AE680" t="s">
        <v>103</v>
      </c>
      <c r="AF680" t="s">
        <v>97</v>
      </c>
      <c r="AG680" t="s">
        <v>120</v>
      </c>
      <c r="AH680" t="s">
        <v>101</v>
      </c>
      <c r="AI680">
        <v>0</v>
      </c>
      <c r="AJ680" t="s">
        <v>101</v>
      </c>
      <c r="AK680">
        <v>0</v>
      </c>
      <c r="AL680">
        <v>2046</v>
      </c>
      <c r="AM680">
        <v>2046</v>
      </c>
      <c r="AN680" t="s">
        <v>102</v>
      </c>
      <c r="AO680" t="s">
        <v>103</v>
      </c>
      <c r="AP680" t="s">
        <v>104</v>
      </c>
      <c r="AQ680" t="s">
        <v>105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96</v>
      </c>
      <c r="BC680">
        <v>7</v>
      </c>
      <c r="BD680" t="s">
        <v>106</v>
      </c>
      <c r="BE680">
        <v>1</v>
      </c>
      <c r="BF680" t="s">
        <v>96</v>
      </c>
      <c r="BG680" t="s">
        <v>107</v>
      </c>
      <c r="BH680">
        <v>2008</v>
      </c>
      <c r="BI680" t="s">
        <v>156</v>
      </c>
      <c r="BJ680">
        <v>3</v>
      </c>
      <c r="BK680">
        <v>834</v>
      </c>
      <c r="BL680" t="s">
        <v>97</v>
      </c>
      <c r="BM680" t="s">
        <v>97</v>
      </c>
      <c r="BN680" t="s">
        <v>104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X680">
        <v>0</v>
      </c>
      <c r="BY680">
        <v>7</v>
      </c>
      <c r="BZ680">
        <v>2009</v>
      </c>
      <c r="CA680" t="s">
        <v>157</v>
      </c>
      <c r="CB680" t="s">
        <v>158</v>
      </c>
      <c r="CC680">
        <v>372500</v>
      </c>
    </row>
    <row r="681" spans="1:81" x14ac:dyDescent="0.3">
      <c r="A681">
        <v>680</v>
      </c>
      <c r="B681">
        <v>20</v>
      </c>
      <c r="C681" t="s">
        <v>81</v>
      </c>
      <c r="E681">
        <v>9945</v>
      </c>
      <c r="F681" t="s">
        <v>82</v>
      </c>
      <c r="H681" t="s">
        <v>119</v>
      </c>
      <c r="I681" t="s">
        <v>84</v>
      </c>
      <c r="J681" t="s">
        <v>85</v>
      </c>
      <c r="K681" t="s">
        <v>86</v>
      </c>
      <c r="L681" t="s">
        <v>87</v>
      </c>
      <c r="M681" t="s">
        <v>150</v>
      </c>
      <c r="N681" t="s">
        <v>89</v>
      </c>
      <c r="O681" t="s">
        <v>89</v>
      </c>
      <c r="P681" t="s">
        <v>90</v>
      </c>
      <c r="Q681" t="s">
        <v>114</v>
      </c>
      <c r="R681">
        <v>5</v>
      </c>
      <c r="S681">
        <v>5</v>
      </c>
      <c r="T681">
        <v>1961</v>
      </c>
      <c r="U681">
        <v>1961</v>
      </c>
      <c r="V681" t="s">
        <v>151</v>
      </c>
      <c r="W681" t="s">
        <v>93</v>
      </c>
      <c r="X681" t="s">
        <v>123</v>
      </c>
      <c r="Y681" t="s">
        <v>123</v>
      </c>
      <c r="Z681" t="s">
        <v>95</v>
      </c>
      <c r="AA681">
        <v>57</v>
      </c>
      <c r="AB681" t="s">
        <v>97</v>
      </c>
      <c r="AC681" t="s">
        <v>97</v>
      </c>
      <c r="AD681" t="s">
        <v>117</v>
      </c>
      <c r="AE681" t="s">
        <v>97</v>
      </c>
      <c r="AF681" t="s">
        <v>97</v>
      </c>
      <c r="AG681" t="s">
        <v>99</v>
      </c>
      <c r="AH681" t="s">
        <v>152</v>
      </c>
      <c r="AI681">
        <v>827</v>
      </c>
      <c r="AJ681" t="s">
        <v>101</v>
      </c>
      <c r="AK681">
        <v>0</v>
      </c>
      <c r="AL681">
        <v>161</v>
      </c>
      <c r="AM681">
        <v>988</v>
      </c>
      <c r="AN681" t="s">
        <v>102</v>
      </c>
      <c r="AO681" t="s">
        <v>97</v>
      </c>
      <c r="AP681" t="s">
        <v>104</v>
      </c>
      <c r="AQ681" t="s">
        <v>105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97</v>
      </c>
      <c r="BC681">
        <v>5</v>
      </c>
      <c r="BD681" t="s">
        <v>106</v>
      </c>
      <c r="BE681">
        <v>0</v>
      </c>
      <c r="BG681" t="s">
        <v>126</v>
      </c>
      <c r="BH681">
        <v>1963</v>
      </c>
      <c r="BI681" t="s">
        <v>101</v>
      </c>
      <c r="BJ681">
        <v>2</v>
      </c>
      <c r="BK681">
        <v>572</v>
      </c>
      <c r="BL681" t="s">
        <v>97</v>
      </c>
      <c r="BM681" t="s">
        <v>97</v>
      </c>
      <c r="BN681" t="s">
        <v>104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X681">
        <v>0</v>
      </c>
      <c r="BY681">
        <v>10</v>
      </c>
      <c r="BZ681">
        <v>2007</v>
      </c>
      <c r="CA681" t="s">
        <v>109</v>
      </c>
      <c r="CB681" t="s">
        <v>110</v>
      </c>
      <c r="CC681">
        <v>128500</v>
      </c>
    </row>
    <row r="682" spans="1:81" x14ac:dyDescent="0.3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H682" t="s">
        <v>83</v>
      </c>
      <c r="I682" t="s">
        <v>84</v>
      </c>
      <c r="J682" t="s">
        <v>85</v>
      </c>
      <c r="K682" t="s">
        <v>86</v>
      </c>
      <c r="L682" t="s">
        <v>87</v>
      </c>
      <c r="M682" t="s">
        <v>169</v>
      </c>
      <c r="N682" t="s">
        <v>89</v>
      </c>
      <c r="O682" t="s">
        <v>89</v>
      </c>
      <c r="P682" t="s">
        <v>178</v>
      </c>
      <c r="Q682" t="s">
        <v>114</v>
      </c>
      <c r="R682">
        <v>6</v>
      </c>
      <c r="S682">
        <v>5</v>
      </c>
      <c r="T682">
        <v>1980</v>
      </c>
      <c r="U682">
        <v>1980</v>
      </c>
      <c r="V682" t="s">
        <v>92</v>
      </c>
      <c r="W682" t="s">
        <v>93</v>
      </c>
      <c r="X682" t="s">
        <v>160</v>
      </c>
      <c r="Y682" t="s">
        <v>160</v>
      </c>
      <c r="Z682" t="s">
        <v>116</v>
      </c>
      <c r="AA682">
        <v>0</v>
      </c>
      <c r="AB682" t="s">
        <v>97</v>
      </c>
      <c r="AC682" t="s">
        <v>97</v>
      </c>
      <c r="AD682" t="s">
        <v>117</v>
      </c>
      <c r="AE682" t="s">
        <v>96</v>
      </c>
      <c r="AF682" t="s">
        <v>97</v>
      </c>
      <c r="AG682" t="s">
        <v>99</v>
      </c>
      <c r="AH682" t="s">
        <v>140</v>
      </c>
      <c r="AI682">
        <v>543</v>
      </c>
      <c r="AJ682" t="s">
        <v>140</v>
      </c>
      <c r="AK682">
        <v>119</v>
      </c>
      <c r="AL682">
        <v>261</v>
      </c>
      <c r="AM682">
        <v>923</v>
      </c>
      <c r="AN682" t="s">
        <v>102</v>
      </c>
      <c r="AO682" t="s">
        <v>97</v>
      </c>
      <c r="AP682" t="s">
        <v>104</v>
      </c>
      <c r="AQ682" t="s">
        <v>105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97</v>
      </c>
      <c r="BC682">
        <v>5</v>
      </c>
      <c r="BD682" t="s">
        <v>106</v>
      </c>
      <c r="BE682">
        <v>1</v>
      </c>
      <c r="BF682" t="s">
        <v>97</v>
      </c>
      <c r="BG682" t="s">
        <v>107</v>
      </c>
      <c r="BH682">
        <v>1980</v>
      </c>
      <c r="BI682" t="s">
        <v>108</v>
      </c>
      <c r="BJ682">
        <v>1</v>
      </c>
      <c r="BK682">
        <v>264</v>
      </c>
      <c r="BL682" t="s">
        <v>97</v>
      </c>
      <c r="BM682" t="s">
        <v>97</v>
      </c>
      <c r="BN682" t="s">
        <v>104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X682">
        <v>0</v>
      </c>
      <c r="BY682">
        <v>5</v>
      </c>
      <c r="BZ682">
        <v>2010</v>
      </c>
      <c r="CA682" t="s">
        <v>109</v>
      </c>
      <c r="CB682" t="s">
        <v>110</v>
      </c>
      <c r="CC682">
        <v>143000</v>
      </c>
    </row>
    <row r="683" spans="1:81" x14ac:dyDescent="0.3">
      <c r="A683">
        <v>682</v>
      </c>
      <c r="B683">
        <v>50</v>
      </c>
      <c r="C683" t="s">
        <v>238</v>
      </c>
      <c r="D683">
        <v>55</v>
      </c>
      <c r="E683">
        <v>4500</v>
      </c>
      <c r="F683" t="s">
        <v>82</v>
      </c>
      <c r="G683" t="s">
        <v>82</v>
      </c>
      <c r="H683" t="s">
        <v>159</v>
      </c>
      <c r="I683" t="s">
        <v>174</v>
      </c>
      <c r="J683" t="s">
        <v>85</v>
      </c>
      <c r="K683" t="s">
        <v>86</v>
      </c>
      <c r="L683" t="s">
        <v>87</v>
      </c>
      <c r="M683" t="s">
        <v>231</v>
      </c>
      <c r="N683" t="s">
        <v>89</v>
      </c>
      <c r="O683" t="s">
        <v>89</v>
      </c>
      <c r="P683" t="s">
        <v>90</v>
      </c>
      <c r="Q683" t="s">
        <v>131</v>
      </c>
      <c r="R683">
        <v>5</v>
      </c>
      <c r="S683">
        <v>5</v>
      </c>
      <c r="T683">
        <v>1932</v>
      </c>
      <c r="U683">
        <v>2000</v>
      </c>
      <c r="V683" t="s">
        <v>92</v>
      </c>
      <c r="W683" t="s">
        <v>93</v>
      </c>
      <c r="X683" t="s">
        <v>94</v>
      </c>
      <c r="Y683" t="s">
        <v>202</v>
      </c>
      <c r="Z683" t="s">
        <v>116</v>
      </c>
      <c r="AA683">
        <v>0</v>
      </c>
      <c r="AB683" t="s">
        <v>97</v>
      </c>
      <c r="AC683" t="s">
        <v>97</v>
      </c>
      <c r="AD683" t="s">
        <v>125</v>
      </c>
      <c r="AE683" t="s">
        <v>97</v>
      </c>
      <c r="AF683" t="s">
        <v>97</v>
      </c>
      <c r="AG683" t="s">
        <v>99</v>
      </c>
      <c r="AH683" t="s">
        <v>152</v>
      </c>
      <c r="AI683">
        <v>182</v>
      </c>
      <c r="AJ683" t="s">
        <v>101</v>
      </c>
      <c r="AK683">
        <v>0</v>
      </c>
      <c r="AL683">
        <v>611</v>
      </c>
      <c r="AM683">
        <v>793</v>
      </c>
      <c r="AN683" t="s">
        <v>102</v>
      </c>
      <c r="AO683" t="s">
        <v>103</v>
      </c>
      <c r="AP683" t="s">
        <v>104</v>
      </c>
      <c r="AQ683" t="s">
        <v>105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97</v>
      </c>
      <c r="BC683">
        <v>6</v>
      </c>
      <c r="BD683" t="s">
        <v>106</v>
      </c>
      <c r="BE683">
        <v>0</v>
      </c>
      <c r="BG683" t="s">
        <v>126</v>
      </c>
      <c r="BH683">
        <v>1968</v>
      </c>
      <c r="BI683" t="s">
        <v>101</v>
      </c>
      <c r="BJ683">
        <v>1</v>
      </c>
      <c r="BK683">
        <v>281</v>
      </c>
      <c r="BL683" t="s">
        <v>97</v>
      </c>
      <c r="BM683" t="s">
        <v>97</v>
      </c>
      <c r="BN683" t="s">
        <v>104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X683">
        <v>0</v>
      </c>
      <c r="BY683">
        <v>7</v>
      </c>
      <c r="BZ683">
        <v>2009</v>
      </c>
      <c r="CA683" t="s">
        <v>109</v>
      </c>
      <c r="CB683" t="s">
        <v>127</v>
      </c>
      <c r="CC683">
        <v>159434</v>
      </c>
    </row>
    <row r="684" spans="1:81" x14ac:dyDescent="0.3">
      <c r="A684">
        <v>683</v>
      </c>
      <c r="B684">
        <v>120</v>
      </c>
      <c r="C684" t="s">
        <v>81</v>
      </c>
      <c r="E684">
        <v>2887</v>
      </c>
      <c r="F684" t="s">
        <v>82</v>
      </c>
      <c r="H684" t="s">
        <v>83</v>
      </c>
      <c r="I684" t="s">
        <v>198</v>
      </c>
      <c r="J684" t="s">
        <v>85</v>
      </c>
      <c r="K684" t="s">
        <v>86</v>
      </c>
      <c r="L684" t="s">
        <v>87</v>
      </c>
      <c r="M684" t="s">
        <v>204</v>
      </c>
      <c r="N684" t="s">
        <v>89</v>
      </c>
      <c r="O684" t="s">
        <v>89</v>
      </c>
      <c r="P684" t="s">
        <v>90</v>
      </c>
      <c r="Q684" t="s">
        <v>114</v>
      </c>
      <c r="R684">
        <v>6</v>
      </c>
      <c r="S684">
        <v>5</v>
      </c>
      <c r="T684">
        <v>1996</v>
      </c>
      <c r="U684">
        <v>1997</v>
      </c>
      <c r="V684" t="s">
        <v>92</v>
      </c>
      <c r="W684" t="s">
        <v>93</v>
      </c>
      <c r="X684" t="s">
        <v>123</v>
      </c>
      <c r="Y684" t="s">
        <v>123</v>
      </c>
      <c r="Z684" t="s">
        <v>116</v>
      </c>
      <c r="AA684">
        <v>0</v>
      </c>
      <c r="AB684" t="s">
        <v>97</v>
      </c>
      <c r="AC684" t="s">
        <v>97</v>
      </c>
      <c r="AD684" t="s">
        <v>98</v>
      </c>
      <c r="AE684" t="s">
        <v>96</v>
      </c>
      <c r="AF684" t="s">
        <v>97</v>
      </c>
      <c r="AG684" t="s">
        <v>120</v>
      </c>
      <c r="AH684" t="s">
        <v>100</v>
      </c>
      <c r="AI684">
        <v>1003</v>
      </c>
      <c r="AJ684" t="s">
        <v>101</v>
      </c>
      <c r="AK684">
        <v>0</v>
      </c>
      <c r="AL684">
        <v>288</v>
      </c>
      <c r="AM684">
        <v>1291</v>
      </c>
      <c r="AN684" t="s">
        <v>102</v>
      </c>
      <c r="AO684" t="s">
        <v>103</v>
      </c>
      <c r="AP684" t="s">
        <v>104</v>
      </c>
      <c r="AQ684" t="s">
        <v>105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96</v>
      </c>
      <c r="BC684">
        <v>6</v>
      </c>
      <c r="BD684" t="s">
        <v>106</v>
      </c>
      <c r="BE684">
        <v>1</v>
      </c>
      <c r="BF684" t="s">
        <v>96</v>
      </c>
      <c r="BG684" t="s">
        <v>107</v>
      </c>
      <c r="BH684">
        <v>1996</v>
      </c>
      <c r="BI684" t="s">
        <v>101</v>
      </c>
      <c r="BJ684">
        <v>2</v>
      </c>
      <c r="BK684">
        <v>431</v>
      </c>
      <c r="BL684" t="s">
        <v>97</v>
      </c>
      <c r="BM684" t="s">
        <v>97</v>
      </c>
      <c r="BN684" t="s">
        <v>104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X684">
        <v>0</v>
      </c>
      <c r="BY684">
        <v>11</v>
      </c>
      <c r="BZ684">
        <v>2008</v>
      </c>
      <c r="CA684" t="s">
        <v>109</v>
      </c>
      <c r="CB684" t="s">
        <v>110</v>
      </c>
      <c r="CC684">
        <v>173000</v>
      </c>
    </row>
    <row r="685" spans="1:81" x14ac:dyDescent="0.3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H685" t="s">
        <v>119</v>
      </c>
      <c r="I685" t="s">
        <v>84</v>
      </c>
      <c r="J685" t="s">
        <v>85</v>
      </c>
      <c r="K685" t="s">
        <v>121</v>
      </c>
      <c r="L685" t="s">
        <v>87</v>
      </c>
      <c r="M685" t="s">
        <v>88</v>
      </c>
      <c r="N685" t="s">
        <v>89</v>
      </c>
      <c r="O685" t="s">
        <v>89</v>
      </c>
      <c r="P685" t="s">
        <v>90</v>
      </c>
      <c r="Q685" t="s">
        <v>114</v>
      </c>
      <c r="R685">
        <v>9</v>
      </c>
      <c r="S685">
        <v>5</v>
      </c>
      <c r="T685">
        <v>2002</v>
      </c>
      <c r="U685">
        <v>2002</v>
      </c>
      <c r="V685" t="s">
        <v>151</v>
      </c>
      <c r="W685" t="s">
        <v>93</v>
      </c>
      <c r="X685" t="s">
        <v>94</v>
      </c>
      <c r="Y685" t="s">
        <v>94</v>
      </c>
      <c r="Z685" t="s">
        <v>136</v>
      </c>
      <c r="AA685">
        <v>215</v>
      </c>
      <c r="AB685" t="s">
        <v>96</v>
      </c>
      <c r="AC685" t="s">
        <v>97</v>
      </c>
      <c r="AD685" t="s">
        <v>98</v>
      </c>
      <c r="AE685" t="s">
        <v>96</v>
      </c>
      <c r="AF685" t="s">
        <v>97</v>
      </c>
      <c r="AG685" t="s">
        <v>129</v>
      </c>
      <c r="AH685" t="s">
        <v>100</v>
      </c>
      <c r="AI685">
        <v>1059</v>
      </c>
      <c r="AJ685" t="s">
        <v>101</v>
      </c>
      <c r="AK685">
        <v>0</v>
      </c>
      <c r="AL685">
        <v>567</v>
      </c>
      <c r="AM685">
        <v>1626</v>
      </c>
      <c r="AN685" t="s">
        <v>102</v>
      </c>
      <c r="AO685" t="s">
        <v>103</v>
      </c>
      <c r="AP685" t="s">
        <v>104</v>
      </c>
      <c r="AQ685" t="s">
        <v>105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96</v>
      </c>
      <c r="BC685">
        <v>7</v>
      </c>
      <c r="BD685" t="s">
        <v>106</v>
      </c>
      <c r="BE685">
        <v>1</v>
      </c>
      <c r="BF685" t="s">
        <v>97</v>
      </c>
      <c r="BG685" t="s">
        <v>107</v>
      </c>
      <c r="BH685">
        <v>2002</v>
      </c>
      <c r="BI685" t="s">
        <v>156</v>
      </c>
      <c r="BJ685">
        <v>3</v>
      </c>
      <c r="BK685">
        <v>702</v>
      </c>
      <c r="BL685" t="s">
        <v>97</v>
      </c>
      <c r="BM685" t="s">
        <v>97</v>
      </c>
      <c r="BN685" t="s">
        <v>104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X685">
        <v>0</v>
      </c>
      <c r="BY685">
        <v>7</v>
      </c>
      <c r="BZ685">
        <v>2007</v>
      </c>
      <c r="CA685" t="s">
        <v>109</v>
      </c>
      <c r="CB685" t="s">
        <v>110</v>
      </c>
      <c r="CC685">
        <v>285000</v>
      </c>
    </row>
    <row r="686" spans="1:81" x14ac:dyDescent="0.3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H686" t="s">
        <v>159</v>
      </c>
      <c r="I686" t="s">
        <v>84</v>
      </c>
      <c r="J686" t="s">
        <v>85</v>
      </c>
      <c r="K686" t="s">
        <v>165</v>
      </c>
      <c r="L686" t="s">
        <v>87</v>
      </c>
      <c r="M686" t="s">
        <v>128</v>
      </c>
      <c r="N686" t="s">
        <v>89</v>
      </c>
      <c r="O686" t="s">
        <v>89</v>
      </c>
      <c r="P686" t="s">
        <v>90</v>
      </c>
      <c r="Q686" t="s">
        <v>91</v>
      </c>
      <c r="R686">
        <v>7</v>
      </c>
      <c r="S686">
        <v>5</v>
      </c>
      <c r="T686">
        <v>1998</v>
      </c>
      <c r="U686">
        <v>1998</v>
      </c>
      <c r="V686" t="s">
        <v>92</v>
      </c>
      <c r="W686" t="s">
        <v>93</v>
      </c>
      <c r="X686" t="s">
        <v>94</v>
      </c>
      <c r="Y686" t="s">
        <v>94</v>
      </c>
      <c r="Z686" t="s">
        <v>95</v>
      </c>
      <c r="AA686">
        <v>30</v>
      </c>
      <c r="AB686" t="s">
        <v>96</v>
      </c>
      <c r="AC686" t="s">
        <v>97</v>
      </c>
      <c r="AD686" t="s">
        <v>98</v>
      </c>
      <c r="AE686" t="s">
        <v>96</v>
      </c>
      <c r="AF686" t="s">
        <v>97</v>
      </c>
      <c r="AG686" t="s">
        <v>99</v>
      </c>
      <c r="AH686" t="s">
        <v>101</v>
      </c>
      <c r="AI686">
        <v>0</v>
      </c>
      <c r="AJ686" t="s">
        <v>101</v>
      </c>
      <c r="AK686">
        <v>0</v>
      </c>
      <c r="AL686">
        <v>1195</v>
      </c>
      <c r="AM686">
        <v>1195</v>
      </c>
      <c r="AN686" t="s">
        <v>102</v>
      </c>
      <c r="AO686" t="s">
        <v>96</v>
      </c>
      <c r="AP686" t="s">
        <v>104</v>
      </c>
      <c r="AQ686" t="s">
        <v>105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97</v>
      </c>
      <c r="BC686">
        <v>7</v>
      </c>
      <c r="BD686" t="s">
        <v>106</v>
      </c>
      <c r="BE686">
        <v>0</v>
      </c>
      <c r="BG686" t="s">
        <v>107</v>
      </c>
      <c r="BH686">
        <v>1998</v>
      </c>
      <c r="BI686" t="s">
        <v>156</v>
      </c>
      <c r="BJ686">
        <v>2</v>
      </c>
      <c r="BK686">
        <v>486</v>
      </c>
      <c r="BL686" t="s">
        <v>97</v>
      </c>
      <c r="BM686" t="s">
        <v>97</v>
      </c>
      <c r="BN686" t="s">
        <v>104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X686">
        <v>0</v>
      </c>
      <c r="BY686">
        <v>6</v>
      </c>
      <c r="BZ686">
        <v>2010</v>
      </c>
      <c r="CA686" t="s">
        <v>109</v>
      </c>
      <c r="CB686" t="s">
        <v>110</v>
      </c>
      <c r="CC686">
        <v>221000</v>
      </c>
    </row>
    <row r="687" spans="1:81" x14ac:dyDescent="0.3">
      <c r="A687">
        <v>686</v>
      </c>
      <c r="B687">
        <v>160</v>
      </c>
      <c r="C687" t="s">
        <v>81</v>
      </c>
      <c r="E687">
        <v>5062</v>
      </c>
      <c r="F687" t="s">
        <v>82</v>
      </c>
      <c r="H687" t="s">
        <v>119</v>
      </c>
      <c r="I687" t="s">
        <v>84</v>
      </c>
      <c r="J687" t="s">
        <v>85</v>
      </c>
      <c r="K687" t="s">
        <v>165</v>
      </c>
      <c r="L687" t="s">
        <v>87</v>
      </c>
      <c r="M687" t="s">
        <v>199</v>
      </c>
      <c r="N687" t="s">
        <v>89</v>
      </c>
      <c r="O687" t="s">
        <v>89</v>
      </c>
      <c r="P687" t="s">
        <v>178</v>
      </c>
      <c r="Q687" t="s">
        <v>91</v>
      </c>
      <c r="R687">
        <v>7</v>
      </c>
      <c r="S687">
        <v>5</v>
      </c>
      <c r="T687">
        <v>1984</v>
      </c>
      <c r="U687">
        <v>1984</v>
      </c>
      <c r="V687" t="s">
        <v>92</v>
      </c>
      <c r="W687" t="s">
        <v>93</v>
      </c>
      <c r="X687" t="s">
        <v>139</v>
      </c>
      <c r="Y687" t="s">
        <v>139</v>
      </c>
      <c r="Z687" t="s">
        <v>116</v>
      </c>
      <c r="AA687">
        <v>0</v>
      </c>
      <c r="AB687" t="s">
        <v>96</v>
      </c>
      <c r="AC687" t="s">
        <v>97</v>
      </c>
      <c r="AD687" t="s">
        <v>117</v>
      </c>
      <c r="AE687" t="s">
        <v>96</v>
      </c>
      <c r="AF687" t="s">
        <v>97</v>
      </c>
      <c r="AG687" t="s">
        <v>120</v>
      </c>
      <c r="AH687" t="s">
        <v>100</v>
      </c>
      <c r="AI687">
        <v>828</v>
      </c>
      <c r="AJ687" t="s">
        <v>171</v>
      </c>
      <c r="AK687">
        <v>182</v>
      </c>
      <c r="AL687">
        <v>180</v>
      </c>
      <c r="AM687">
        <v>1190</v>
      </c>
      <c r="AN687" t="s">
        <v>102</v>
      </c>
      <c r="AO687" t="s">
        <v>96</v>
      </c>
      <c r="AP687" t="s">
        <v>104</v>
      </c>
      <c r="AQ687" t="s">
        <v>105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96</v>
      </c>
      <c r="BC687">
        <v>6</v>
      </c>
      <c r="BD687" t="s">
        <v>145</v>
      </c>
      <c r="BE687">
        <v>1</v>
      </c>
      <c r="BF687" t="s">
        <v>97</v>
      </c>
      <c r="BG687" t="s">
        <v>107</v>
      </c>
      <c r="BH687">
        <v>1984</v>
      </c>
      <c r="BI687" t="s">
        <v>156</v>
      </c>
      <c r="BJ687">
        <v>2</v>
      </c>
      <c r="BK687">
        <v>577</v>
      </c>
      <c r="BL687" t="s">
        <v>97</v>
      </c>
      <c r="BM687" t="s">
        <v>97</v>
      </c>
      <c r="BN687" t="s">
        <v>104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X687">
        <v>0</v>
      </c>
      <c r="BY687">
        <v>9</v>
      </c>
      <c r="BZ687">
        <v>2007</v>
      </c>
      <c r="CA687" t="s">
        <v>109</v>
      </c>
      <c r="CB687" t="s">
        <v>110</v>
      </c>
      <c r="CC687">
        <v>207500</v>
      </c>
    </row>
    <row r="688" spans="1:81" x14ac:dyDescent="0.3">
      <c r="A688">
        <v>687</v>
      </c>
      <c r="B688">
        <v>60</v>
      </c>
      <c r="C688" t="s">
        <v>191</v>
      </c>
      <c r="D688">
        <v>84</v>
      </c>
      <c r="E688">
        <v>10207</v>
      </c>
      <c r="F688" t="s">
        <v>82</v>
      </c>
      <c r="H688" t="s">
        <v>83</v>
      </c>
      <c r="I688" t="s">
        <v>84</v>
      </c>
      <c r="J688" t="s">
        <v>85</v>
      </c>
      <c r="K688" t="s">
        <v>86</v>
      </c>
      <c r="L688" t="s">
        <v>87</v>
      </c>
      <c r="M688" t="s">
        <v>135</v>
      </c>
      <c r="N688" t="s">
        <v>89</v>
      </c>
      <c r="O688" t="s">
        <v>89</v>
      </c>
      <c r="P688" t="s">
        <v>90</v>
      </c>
      <c r="Q688" t="s">
        <v>91</v>
      </c>
      <c r="R688">
        <v>7</v>
      </c>
      <c r="S688">
        <v>6</v>
      </c>
      <c r="T688">
        <v>2007</v>
      </c>
      <c r="U688">
        <v>2007</v>
      </c>
      <c r="V688" t="s">
        <v>92</v>
      </c>
      <c r="W688" t="s">
        <v>93</v>
      </c>
      <c r="X688" t="s">
        <v>94</v>
      </c>
      <c r="Y688" t="s">
        <v>94</v>
      </c>
      <c r="Z688" t="s">
        <v>116</v>
      </c>
      <c r="AA688">
        <v>0</v>
      </c>
      <c r="AB688" t="s">
        <v>96</v>
      </c>
      <c r="AC688" t="s">
        <v>97</v>
      </c>
      <c r="AD688" t="s">
        <v>98</v>
      </c>
      <c r="AE688" t="s">
        <v>96</v>
      </c>
      <c r="AF688" t="s">
        <v>97</v>
      </c>
      <c r="AG688" t="s">
        <v>99</v>
      </c>
      <c r="AH688" t="s">
        <v>101</v>
      </c>
      <c r="AI688">
        <v>0</v>
      </c>
      <c r="AJ688" t="s">
        <v>101</v>
      </c>
      <c r="AK688">
        <v>0</v>
      </c>
      <c r="AL688">
        <v>874</v>
      </c>
      <c r="AM688">
        <v>874</v>
      </c>
      <c r="AN688" t="s">
        <v>102</v>
      </c>
      <c r="AO688" t="s">
        <v>103</v>
      </c>
      <c r="AP688" t="s">
        <v>104</v>
      </c>
      <c r="AQ688" t="s">
        <v>105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96</v>
      </c>
      <c r="BC688">
        <v>7</v>
      </c>
      <c r="BD688" t="s">
        <v>106</v>
      </c>
      <c r="BE688">
        <v>0</v>
      </c>
      <c r="BG688" t="s">
        <v>107</v>
      </c>
      <c r="BH688">
        <v>2007</v>
      </c>
      <c r="BI688" t="s">
        <v>156</v>
      </c>
      <c r="BJ688">
        <v>2</v>
      </c>
      <c r="BK688">
        <v>578</v>
      </c>
      <c r="BL688" t="s">
        <v>97</v>
      </c>
      <c r="BM688" t="s">
        <v>97</v>
      </c>
      <c r="BN688" t="s">
        <v>104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X688">
        <v>0</v>
      </c>
      <c r="BY688">
        <v>8</v>
      </c>
      <c r="BZ688">
        <v>2007</v>
      </c>
      <c r="CA688" t="s">
        <v>157</v>
      </c>
      <c r="CB688" t="s">
        <v>158</v>
      </c>
      <c r="CC688">
        <v>227875</v>
      </c>
    </row>
    <row r="689" spans="1:81" x14ac:dyDescent="0.3">
      <c r="A689">
        <v>688</v>
      </c>
      <c r="B689">
        <v>160</v>
      </c>
      <c r="C689" t="s">
        <v>191</v>
      </c>
      <c r="E689">
        <v>5105</v>
      </c>
      <c r="F689" t="s">
        <v>82</v>
      </c>
      <c r="H689" t="s">
        <v>159</v>
      </c>
      <c r="I689" t="s">
        <v>84</v>
      </c>
      <c r="J689" t="s">
        <v>85</v>
      </c>
      <c r="K689" t="s">
        <v>111</v>
      </c>
      <c r="L689" t="s">
        <v>87</v>
      </c>
      <c r="M689" t="s">
        <v>135</v>
      </c>
      <c r="N689" t="s">
        <v>89</v>
      </c>
      <c r="O689" t="s">
        <v>89</v>
      </c>
      <c r="P689" t="s">
        <v>178</v>
      </c>
      <c r="Q689" t="s">
        <v>91</v>
      </c>
      <c r="R689">
        <v>7</v>
      </c>
      <c r="S689">
        <v>5</v>
      </c>
      <c r="T689">
        <v>2004</v>
      </c>
      <c r="U689">
        <v>2004</v>
      </c>
      <c r="V689" t="s">
        <v>92</v>
      </c>
      <c r="W689" t="s">
        <v>93</v>
      </c>
      <c r="X689" t="s">
        <v>115</v>
      </c>
      <c r="Y689" t="s">
        <v>115</v>
      </c>
      <c r="Z689" t="s">
        <v>116</v>
      </c>
      <c r="AA689">
        <v>0</v>
      </c>
      <c r="AB689" t="s">
        <v>96</v>
      </c>
      <c r="AC689" t="s">
        <v>97</v>
      </c>
      <c r="AD689" t="s">
        <v>98</v>
      </c>
      <c r="AE689" t="s">
        <v>96</v>
      </c>
      <c r="AF689" t="s">
        <v>97</v>
      </c>
      <c r="AG689" t="s">
        <v>99</v>
      </c>
      <c r="AH689" t="s">
        <v>100</v>
      </c>
      <c r="AI689">
        <v>239</v>
      </c>
      <c r="AJ689" t="s">
        <v>101</v>
      </c>
      <c r="AK689">
        <v>0</v>
      </c>
      <c r="AL689">
        <v>312</v>
      </c>
      <c r="AM689">
        <v>551</v>
      </c>
      <c r="AN689" t="s">
        <v>102</v>
      </c>
      <c r="AO689" t="s">
        <v>103</v>
      </c>
      <c r="AP689" t="s">
        <v>104</v>
      </c>
      <c r="AQ689" t="s">
        <v>105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96</v>
      </c>
      <c r="BC689">
        <v>4</v>
      </c>
      <c r="BD689" t="s">
        <v>106</v>
      </c>
      <c r="BE689">
        <v>0</v>
      </c>
      <c r="BG689" t="s">
        <v>126</v>
      </c>
      <c r="BH689">
        <v>2004</v>
      </c>
      <c r="BI689" t="s">
        <v>101</v>
      </c>
      <c r="BJ689">
        <v>2</v>
      </c>
      <c r="BK689">
        <v>480</v>
      </c>
      <c r="BL689" t="s">
        <v>97</v>
      </c>
      <c r="BM689" t="s">
        <v>97</v>
      </c>
      <c r="BN689" t="s">
        <v>104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X689">
        <v>0</v>
      </c>
      <c r="BY689">
        <v>3</v>
      </c>
      <c r="BZ689">
        <v>2007</v>
      </c>
      <c r="CA689" t="s">
        <v>109</v>
      </c>
      <c r="CB689" t="s">
        <v>110</v>
      </c>
      <c r="CC689">
        <v>148800</v>
      </c>
    </row>
    <row r="690" spans="1:81" x14ac:dyDescent="0.3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H690" t="s">
        <v>83</v>
      </c>
      <c r="I690" t="s">
        <v>198</v>
      </c>
      <c r="J690" t="s">
        <v>85</v>
      </c>
      <c r="K690" t="s">
        <v>86</v>
      </c>
      <c r="L690" t="s">
        <v>87</v>
      </c>
      <c r="M690" t="s">
        <v>199</v>
      </c>
      <c r="N690" t="s">
        <v>89</v>
      </c>
      <c r="O690" t="s">
        <v>89</v>
      </c>
      <c r="P690" t="s">
        <v>90</v>
      </c>
      <c r="Q690" t="s">
        <v>114</v>
      </c>
      <c r="R690">
        <v>8</v>
      </c>
      <c r="S690">
        <v>6</v>
      </c>
      <c r="T690">
        <v>2007</v>
      </c>
      <c r="U690">
        <v>2007</v>
      </c>
      <c r="V690" t="s">
        <v>92</v>
      </c>
      <c r="W690" t="s">
        <v>93</v>
      </c>
      <c r="X690" t="s">
        <v>115</v>
      </c>
      <c r="Y690" t="s">
        <v>115</v>
      </c>
      <c r="Z690" t="s">
        <v>95</v>
      </c>
      <c r="AA690">
        <v>0</v>
      </c>
      <c r="AB690" t="s">
        <v>96</v>
      </c>
      <c r="AC690" t="s">
        <v>97</v>
      </c>
      <c r="AD690" t="s">
        <v>98</v>
      </c>
      <c r="AE690" t="s">
        <v>96</v>
      </c>
      <c r="AF690" t="s">
        <v>97</v>
      </c>
      <c r="AG690" t="s">
        <v>129</v>
      </c>
      <c r="AH690" t="s">
        <v>100</v>
      </c>
      <c r="AI690">
        <v>945</v>
      </c>
      <c r="AJ690" t="s">
        <v>101</v>
      </c>
      <c r="AK690">
        <v>0</v>
      </c>
      <c r="AL690">
        <v>474</v>
      </c>
      <c r="AM690">
        <v>1419</v>
      </c>
      <c r="AN690" t="s">
        <v>102</v>
      </c>
      <c r="AO690" t="s">
        <v>103</v>
      </c>
      <c r="AP690" t="s">
        <v>104</v>
      </c>
      <c r="AQ690" t="s">
        <v>105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96</v>
      </c>
      <c r="BC690">
        <v>7</v>
      </c>
      <c r="BD690" t="s">
        <v>106</v>
      </c>
      <c r="BE690">
        <v>1</v>
      </c>
      <c r="BF690" t="s">
        <v>96</v>
      </c>
      <c r="BG690" t="s">
        <v>107</v>
      </c>
      <c r="BH690">
        <v>2007</v>
      </c>
      <c r="BI690" t="s">
        <v>108</v>
      </c>
      <c r="BJ690">
        <v>2</v>
      </c>
      <c r="BK690">
        <v>567</v>
      </c>
      <c r="BL690" t="s">
        <v>97</v>
      </c>
      <c r="BM690" t="s">
        <v>97</v>
      </c>
      <c r="BN690" t="s">
        <v>104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X690">
        <v>0</v>
      </c>
      <c r="BY690">
        <v>10</v>
      </c>
      <c r="BZ690">
        <v>2007</v>
      </c>
      <c r="CA690" t="s">
        <v>157</v>
      </c>
      <c r="CB690" t="s">
        <v>158</v>
      </c>
      <c r="CC690">
        <v>392000</v>
      </c>
    </row>
    <row r="691" spans="1:81" x14ac:dyDescent="0.3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H691" t="s">
        <v>119</v>
      </c>
      <c r="I691" t="s">
        <v>84</v>
      </c>
      <c r="J691" t="s">
        <v>85</v>
      </c>
      <c r="K691" t="s">
        <v>121</v>
      </c>
      <c r="L691" t="s">
        <v>87</v>
      </c>
      <c r="M691" t="s">
        <v>153</v>
      </c>
      <c r="N691" t="s">
        <v>89</v>
      </c>
      <c r="O691" t="s">
        <v>89</v>
      </c>
      <c r="P691" t="s">
        <v>178</v>
      </c>
      <c r="Q691" t="s">
        <v>114</v>
      </c>
      <c r="R691">
        <v>6</v>
      </c>
      <c r="S691">
        <v>5</v>
      </c>
      <c r="T691">
        <v>2005</v>
      </c>
      <c r="U691">
        <v>2006</v>
      </c>
      <c r="V691" t="s">
        <v>92</v>
      </c>
      <c r="W691" t="s">
        <v>93</v>
      </c>
      <c r="X691" t="s">
        <v>94</v>
      </c>
      <c r="Y691" t="s">
        <v>94</v>
      </c>
      <c r="Z691" t="s">
        <v>136</v>
      </c>
      <c r="AA691">
        <v>256</v>
      </c>
      <c r="AB691" t="s">
        <v>96</v>
      </c>
      <c r="AC691" t="s">
        <v>97</v>
      </c>
      <c r="AD691" t="s">
        <v>98</v>
      </c>
      <c r="AE691" t="s">
        <v>96</v>
      </c>
      <c r="AF691" t="s">
        <v>97</v>
      </c>
      <c r="AG691" t="s">
        <v>129</v>
      </c>
      <c r="AH691" t="s">
        <v>118</v>
      </c>
      <c r="AI691">
        <v>20</v>
      </c>
      <c r="AJ691" t="s">
        <v>101</v>
      </c>
      <c r="AK691">
        <v>0</v>
      </c>
      <c r="AL691">
        <v>1342</v>
      </c>
      <c r="AM691">
        <v>1362</v>
      </c>
      <c r="AN691" t="s">
        <v>102</v>
      </c>
      <c r="AO691" t="s">
        <v>103</v>
      </c>
      <c r="AP691" t="s">
        <v>104</v>
      </c>
      <c r="AQ691" t="s">
        <v>105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96</v>
      </c>
      <c r="BC691">
        <v>6</v>
      </c>
      <c r="BD691" t="s">
        <v>106</v>
      </c>
      <c r="BE691">
        <v>1</v>
      </c>
      <c r="BF691" t="s">
        <v>96</v>
      </c>
      <c r="BG691" t="s">
        <v>107</v>
      </c>
      <c r="BH691">
        <v>2005</v>
      </c>
      <c r="BI691" t="s">
        <v>108</v>
      </c>
      <c r="BJ691">
        <v>2</v>
      </c>
      <c r="BK691">
        <v>460</v>
      </c>
      <c r="BL691" t="s">
        <v>97</v>
      </c>
      <c r="BM691" t="s">
        <v>97</v>
      </c>
      <c r="BN691" t="s">
        <v>104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X691">
        <v>0</v>
      </c>
      <c r="BY691">
        <v>6</v>
      </c>
      <c r="BZ691">
        <v>2007</v>
      </c>
      <c r="CA691" t="s">
        <v>109</v>
      </c>
      <c r="CB691" t="s">
        <v>110</v>
      </c>
      <c r="CC691">
        <v>194700</v>
      </c>
    </row>
    <row r="692" spans="1:81" x14ac:dyDescent="0.3">
      <c r="A692">
        <v>691</v>
      </c>
      <c r="B692">
        <v>120</v>
      </c>
      <c r="C692" t="s">
        <v>141</v>
      </c>
      <c r="E692">
        <v>4426</v>
      </c>
      <c r="F692" t="s">
        <v>82</v>
      </c>
      <c r="H692" t="s">
        <v>83</v>
      </c>
      <c r="I692" t="s">
        <v>84</v>
      </c>
      <c r="J692" t="s">
        <v>85</v>
      </c>
      <c r="K692" t="s">
        <v>86</v>
      </c>
      <c r="L692" t="s">
        <v>87</v>
      </c>
      <c r="M692" t="s">
        <v>88</v>
      </c>
      <c r="N692" t="s">
        <v>89</v>
      </c>
      <c r="O692" t="s">
        <v>89</v>
      </c>
      <c r="P692" t="s">
        <v>178</v>
      </c>
      <c r="Q692" t="s">
        <v>114</v>
      </c>
      <c r="R692">
        <v>6</v>
      </c>
      <c r="S692">
        <v>5</v>
      </c>
      <c r="T692">
        <v>2004</v>
      </c>
      <c r="U692">
        <v>2004</v>
      </c>
      <c r="V692" t="s">
        <v>92</v>
      </c>
      <c r="W692" t="s">
        <v>93</v>
      </c>
      <c r="X692" t="s">
        <v>94</v>
      </c>
      <c r="Y692" t="s">
        <v>94</v>
      </c>
      <c r="Z692" t="s">
        <v>95</v>
      </c>
      <c r="AA692">
        <v>147</v>
      </c>
      <c r="AB692" t="s">
        <v>96</v>
      </c>
      <c r="AC692" t="s">
        <v>97</v>
      </c>
      <c r="AD692" t="s">
        <v>98</v>
      </c>
      <c r="AE692" t="s">
        <v>96</v>
      </c>
      <c r="AF692" t="s">
        <v>97</v>
      </c>
      <c r="AG692" t="s">
        <v>96</v>
      </c>
      <c r="AH692" t="s">
        <v>100</v>
      </c>
      <c r="AI692">
        <v>697</v>
      </c>
      <c r="AJ692" t="s">
        <v>101</v>
      </c>
      <c r="AK692">
        <v>0</v>
      </c>
      <c r="AL692">
        <v>151</v>
      </c>
      <c r="AM692">
        <v>848</v>
      </c>
      <c r="AN692" t="s">
        <v>102</v>
      </c>
      <c r="AO692" t="s">
        <v>103</v>
      </c>
      <c r="AP692" t="s">
        <v>104</v>
      </c>
      <c r="AQ692" t="s">
        <v>105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96</v>
      </c>
      <c r="BC692">
        <v>3</v>
      </c>
      <c r="BD692" t="s">
        <v>106</v>
      </c>
      <c r="BE692">
        <v>1</v>
      </c>
      <c r="BF692" t="s">
        <v>97</v>
      </c>
      <c r="BG692" t="s">
        <v>107</v>
      </c>
      <c r="BH692">
        <v>2004</v>
      </c>
      <c r="BI692" t="s">
        <v>108</v>
      </c>
      <c r="BJ692">
        <v>2</v>
      </c>
      <c r="BK692">
        <v>420</v>
      </c>
      <c r="BL692" t="s">
        <v>97</v>
      </c>
      <c r="BM692" t="s">
        <v>97</v>
      </c>
      <c r="BN692" t="s">
        <v>104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X692">
        <v>0</v>
      </c>
      <c r="BY692">
        <v>5</v>
      </c>
      <c r="BZ692">
        <v>2008</v>
      </c>
      <c r="CA692" t="s">
        <v>109</v>
      </c>
      <c r="CB692" t="s">
        <v>110</v>
      </c>
      <c r="CC692">
        <v>141000</v>
      </c>
    </row>
    <row r="693" spans="1:81" x14ac:dyDescent="0.3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H693" t="s">
        <v>119</v>
      </c>
      <c r="I693" t="s">
        <v>84</v>
      </c>
      <c r="J693" t="s">
        <v>85</v>
      </c>
      <c r="K693" t="s">
        <v>121</v>
      </c>
      <c r="L693" t="s">
        <v>87</v>
      </c>
      <c r="M693" t="s">
        <v>128</v>
      </c>
      <c r="N693" t="s">
        <v>89</v>
      </c>
      <c r="O693" t="s">
        <v>89</v>
      </c>
      <c r="P693" t="s">
        <v>90</v>
      </c>
      <c r="Q693" t="s">
        <v>91</v>
      </c>
      <c r="R693">
        <v>10</v>
      </c>
      <c r="S693">
        <v>6</v>
      </c>
      <c r="T693">
        <v>1994</v>
      </c>
      <c r="U693">
        <v>1995</v>
      </c>
      <c r="V693" t="s">
        <v>92</v>
      </c>
      <c r="W693" t="s">
        <v>195</v>
      </c>
      <c r="X693" t="s">
        <v>139</v>
      </c>
      <c r="Y693" t="s">
        <v>139</v>
      </c>
      <c r="Z693" t="s">
        <v>95</v>
      </c>
      <c r="AA693">
        <v>1170</v>
      </c>
      <c r="AB693" t="s">
        <v>103</v>
      </c>
      <c r="AC693" t="s">
        <v>97</v>
      </c>
      <c r="AD693" t="s">
        <v>98</v>
      </c>
      <c r="AE693" t="s">
        <v>103</v>
      </c>
      <c r="AF693" t="s">
        <v>97</v>
      </c>
      <c r="AG693" t="s">
        <v>96</v>
      </c>
      <c r="AH693" t="s">
        <v>100</v>
      </c>
      <c r="AI693">
        <v>1455</v>
      </c>
      <c r="AJ693" t="s">
        <v>101</v>
      </c>
      <c r="AK693">
        <v>0</v>
      </c>
      <c r="AL693">
        <v>989</v>
      </c>
      <c r="AM693">
        <v>2444</v>
      </c>
      <c r="AN693" t="s">
        <v>102</v>
      </c>
      <c r="AO693" t="s">
        <v>103</v>
      </c>
      <c r="AP693" t="s">
        <v>104</v>
      </c>
      <c r="AQ693" t="s">
        <v>105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103</v>
      </c>
      <c r="BC693">
        <v>10</v>
      </c>
      <c r="BD693" t="s">
        <v>106</v>
      </c>
      <c r="BE693">
        <v>2</v>
      </c>
      <c r="BF693" t="s">
        <v>103</v>
      </c>
      <c r="BG693" t="s">
        <v>107</v>
      </c>
      <c r="BH693">
        <v>1994</v>
      </c>
      <c r="BI693" t="s">
        <v>156</v>
      </c>
      <c r="BJ693">
        <v>3</v>
      </c>
      <c r="BK693">
        <v>832</v>
      </c>
      <c r="BL693" t="s">
        <v>97</v>
      </c>
      <c r="BM693" t="s">
        <v>97</v>
      </c>
      <c r="BN693" t="s">
        <v>104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X693">
        <v>0</v>
      </c>
      <c r="BY693">
        <v>1</v>
      </c>
      <c r="BZ693">
        <v>2007</v>
      </c>
      <c r="CA693" t="s">
        <v>109</v>
      </c>
      <c r="CB693" t="s">
        <v>110</v>
      </c>
      <c r="CC693">
        <v>755000</v>
      </c>
    </row>
    <row r="694" spans="1:81" x14ac:dyDescent="0.3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H694" t="s">
        <v>119</v>
      </c>
      <c r="I694" t="s">
        <v>84</v>
      </c>
      <c r="J694" t="s">
        <v>85</v>
      </c>
      <c r="K694" t="s">
        <v>86</v>
      </c>
      <c r="L694" t="s">
        <v>193</v>
      </c>
      <c r="M694" t="s">
        <v>188</v>
      </c>
      <c r="N694" t="s">
        <v>89</v>
      </c>
      <c r="O694" t="s">
        <v>89</v>
      </c>
      <c r="P694" t="s">
        <v>90</v>
      </c>
      <c r="Q694" t="s">
        <v>91</v>
      </c>
      <c r="R694">
        <v>7</v>
      </c>
      <c r="S694">
        <v>5</v>
      </c>
      <c r="T694">
        <v>1989</v>
      </c>
      <c r="U694">
        <v>1990</v>
      </c>
      <c r="V694" t="s">
        <v>151</v>
      </c>
      <c r="W694" t="s">
        <v>93</v>
      </c>
      <c r="X694" t="s">
        <v>115</v>
      </c>
      <c r="Y694" t="s">
        <v>115</v>
      </c>
      <c r="Z694" t="s">
        <v>95</v>
      </c>
      <c r="AA694">
        <v>293</v>
      </c>
      <c r="AB694" t="s">
        <v>96</v>
      </c>
      <c r="AC694" t="s">
        <v>97</v>
      </c>
      <c r="AD694" t="s">
        <v>98</v>
      </c>
      <c r="AE694" t="s">
        <v>96</v>
      </c>
      <c r="AF694" t="s">
        <v>97</v>
      </c>
      <c r="AG694" t="s">
        <v>96</v>
      </c>
      <c r="AH694" t="s">
        <v>100</v>
      </c>
      <c r="AI694">
        <v>965</v>
      </c>
      <c r="AJ694" t="s">
        <v>101</v>
      </c>
      <c r="AK694">
        <v>0</v>
      </c>
      <c r="AL694">
        <v>245</v>
      </c>
      <c r="AM694">
        <v>1210</v>
      </c>
      <c r="AN694" t="s">
        <v>102</v>
      </c>
      <c r="AO694" t="s">
        <v>103</v>
      </c>
      <c r="AP694" t="s">
        <v>104</v>
      </c>
      <c r="AQ694" t="s">
        <v>105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96</v>
      </c>
      <c r="BC694">
        <v>9</v>
      </c>
      <c r="BD694" t="s">
        <v>106</v>
      </c>
      <c r="BE694">
        <v>2</v>
      </c>
      <c r="BF694" t="s">
        <v>96</v>
      </c>
      <c r="BG694" t="s">
        <v>107</v>
      </c>
      <c r="BH694">
        <v>1989</v>
      </c>
      <c r="BI694" t="s">
        <v>108</v>
      </c>
      <c r="BJ694">
        <v>2</v>
      </c>
      <c r="BK694">
        <v>628</v>
      </c>
      <c r="BL694" t="s">
        <v>97</v>
      </c>
      <c r="BM694" t="s">
        <v>97</v>
      </c>
      <c r="BN694" t="s">
        <v>104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X694">
        <v>0</v>
      </c>
      <c r="BY694">
        <v>4</v>
      </c>
      <c r="BZ694">
        <v>2006</v>
      </c>
      <c r="CA694" t="s">
        <v>109</v>
      </c>
      <c r="CB694" t="s">
        <v>110</v>
      </c>
      <c r="CC694">
        <v>335000</v>
      </c>
    </row>
    <row r="695" spans="1:81" x14ac:dyDescent="0.3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H695" t="s">
        <v>83</v>
      </c>
      <c r="I695" t="s">
        <v>84</v>
      </c>
      <c r="J695" t="s">
        <v>85</v>
      </c>
      <c r="K695" t="s">
        <v>121</v>
      </c>
      <c r="L695" t="s">
        <v>212</v>
      </c>
      <c r="M695" t="s">
        <v>142</v>
      </c>
      <c r="N695" t="s">
        <v>89</v>
      </c>
      <c r="O695" t="s">
        <v>89</v>
      </c>
      <c r="P695" t="s">
        <v>90</v>
      </c>
      <c r="Q695" t="s">
        <v>114</v>
      </c>
      <c r="R695">
        <v>5</v>
      </c>
      <c r="S695">
        <v>6</v>
      </c>
      <c r="T695">
        <v>1921</v>
      </c>
      <c r="U695">
        <v>1968</v>
      </c>
      <c r="V695" t="s">
        <v>92</v>
      </c>
      <c r="W695" t="s">
        <v>93</v>
      </c>
      <c r="X695" t="s">
        <v>115</v>
      </c>
      <c r="Y695" t="s">
        <v>115</v>
      </c>
      <c r="Z695" t="s">
        <v>116</v>
      </c>
      <c r="AA695">
        <v>0</v>
      </c>
      <c r="AB695" t="s">
        <v>97</v>
      </c>
      <c r="AC695" t="s">
        <v>97</v>
      </c>
      <c r="AD695" t="s">
        <v>125</v>
      </c>
      <c r="AE695" t="s">
        <v>97</v>
      </c>
      <c r="AF695" t="s">
        <v>97</v>
      </c>
      <c r="AG695" t="s">
        <v>99</v>
      </c>
      <c r="AH695" t="s">
        <v>101</v>
      </c>
      <c r="AI695">
        <v>0</v>
      </c>
      <c r="AJ695" t="s">
        <v>101</v>
      </c>
      <c r="AK695">
        <v>0</v>
      </c>
      <c r="AL695">
        <v>1073</v>
      </c>
      <c r="AM695">
        <v>1073</v>
      </c>
      <c r="AN695" t="s">
        <v>102</v>
      </c>
      <c r="AO695" t="s">
        <v>103</v>
      </c>
      <c r="AP695" t="s">
        <v>104</v>
      </c>
      <c r="AQ695" t="s">
        <v>105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97</v>
      </c>
      <c r="BC695">
        <v>4</v>
      </c>
      <c r="BD695" t="s">
        <v>106</v>
      </c>
      <c r="BE695">
        <v>0</v>
      </c>
      <c r="BG695" t="s">
        <v>126</v>
      </c>
      <c r="BH695">
        <v>1968</v>
      </c>
      <c r="BI695" t="s">
        <v>101</v>
      </c>
      <c r="BJ695">
        <v>1</v>
      </c>
      <c r="BK695">
        <v>326</v>
      </c>
      <c r="BL695" t="s">
        <v>97</v>
      </c>
      <c r="BM695" t="s">
        <v>97</v>
      </c>
      <c r="BN695" t="s">
        <v>104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X695">
        <v>0</v>
      </c>
      <c r="BY695">
        <v>12</v>
      </c>
      <c r="BZ695">
        <v>2006</v>
      </c>
      <c r="CA695" t="s">
        <v>109</v>
      </c>
      <c r="CB695" t="s">
        <v>127</v>
      </c>
      <c r="CC695">
        <v>108480</v>
      </c>
    </row>
    <row r="696" spans="1:81" x14ac:dyDescent="0.3">
      <c r="A696">
        <v>695</v>
      </c>
      <c r="B696">
        <v>50</v>
      </c>
      <c r="C696" t="s">
        <v>141</v>
      </c>
      <c r="D696">
        <v>51</v>
      </c>
      <c r="E696">
        <v>6120</v>
      </c>
      <c r="F696" t="s">
        <v>82</v>
      </c>
      <c r="H696" t="s">
        <v>83</v>
      </c>
      <c r="I696" t="s">
        <v>84</v>
      </c>
      <c r="J696" t="s">
        <v>85</v>
      </c>
      <c r="K696" t="s">
        <v>121</v>
      </c>
      <c r="L696" t="s">
        <v>87</v>
      </c>
      <c r="M696" t="s">
        <v>147</v>
      </c>
      <c r="N696" t="s">
        <v>89</v>
      </c>
      <c r="O696" t="s">
        <v>89</v>
      </c>
      <c r="P696" t="s">
        <v>90</v>
      </c>
      <c r="Q696" t="s">
        <v>131</v>
      </c>
      <c r="R696">
        <v>5</v>
      </c>
      <c r="S696">
        <v>6</v>
      </c>
      <c r="T696">
        <v>1936</v>
      </c>
      <c r="U696">
        <v>1950</v>
      </c>
      <c r="V696" t="s">
        <v>92</v>
      </c>
      <c r="W696" t="s">
        <v>93</v>
      </c>
      <c r="X696" t="s">
        <v>123</v>
      </c>
      <c r="Y696" t="s">
        <v>123</v>
      </c>
      <c r="Z696" t="s">
        <v>116</v>
      </c>
      <c r="AA696">
        <v>0</v>
      </c>
      <c r="AB696" t="s">
        <v>97</v>
      </c>
      <c r="AC696" t="s">
        <v>146</v>
      </c>
      <c r="AD696" t="s">
        <v>125</v>
      </c>
      <c r="AE696" t="s">
        <v>97</v>
      </c>
      <c r="AF696" t="s">
        <v>97</v>
      </c>
      <c r="AG696" t="s">
        <v>99</v>
      </c>
      <c r="AH696" t="s">
        <v>101</v>
      </c>
      <c r="AI696">
        <v>0</v>
      </c>
      <c r="AJ696" t="s">
        <v>101</v>
      </c>
      <c r="AK696">
        <v>0</v>
      </c>
      <c r="AL696">
        <v>927</v>
      </c>
      <c r="AM696">
        <v>927</v>
      </c>
      <c r="AN696" t="s">
        <v>102</v>
      </c>
      <c r="AO696" t="s">
        <v>97</v>
      </c>
      <c r="AP696" t="s">
        <v>104</v>
      </c>
      <c r="AQ696" t="s">
        <v>105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97</v>
      </c>
      <c r="BC696">
        <v>5</v>
      </c>
      <c r="BD696" t="s">
        <v>106</v>
      </c>
      <c r="BE696">
        <v>0</v>
      </c>
      <c r="BG696" t="s">
        <v>126</v>
      </c>
      <c r="BH696">
        <v>1995</v>
      </c>
      <c r="BI696" t="s">
        <v>101</v>
      </c>
      <c r="BJ696">
        <v>2</v>
      </c>
      <c r="BK696">
        <v>576</v>
      </c>
      <c r="BL696" t="s">
        <v>97</v>
      </c>
      <c r="BM696" t="s">
        <v>97</v>
      </c>
      <c r="BN696" t="s">
        <v>104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V696" t="s">
        <v>133</v>
      </c>
      <c r="BX696">
        <v>0</v>
      </c>
      <c r="BY696">
        <v>4</v>
      </c>
      <c r="BZ696">
        <v>2009</v>
      </c>
      <c r="CA696" t="s">
        <v>109</v>
      </c>
      <c r="CB696" t="s">
        <v>110</v>
      </c>
      <c r="CC696">
        <v>141500</v>
      </c>
    </row>
    <row r="697" spans="1:81" x14ac:dyDescent="0.3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H697" t="s">
        <v>119</v>
      </c>
      <c r="I697" t="s">
        <v>84</v>
      </c>
      <c r="J697" t="s">
        <v>85</v>
      </c>
      <c r="K697" t="s">
        <v>86</v>
      </c>
      <c r="L697" t="s">
        <v>87</v>
      </c>
      <c r="M697" t="s">
        <v>188</v>
      </c>
      <c r="N697" t="s">
        <v>89</v>
      </c>
      <c r="O697" t="s">
        <v>89</v>
      </c>
      <c r="P697" t="s">
        <v>90</v>
      </c>
      <c r="Q697" t="s">
        <v>114</v>
      </c>
      <c r="R697">
        <v>6</v>
      </c>
      <c r="S697">
        <v>6</v>
      </c>
      <c r="T697">
        <v>1987</v>
      </c>
      <c r="U697">
        <v>1987</v>
      </c>
      <c r="V697" t="s">
        <v>92</v>
      </c>
      <c r="W697" t="s">
        <v>93</v>
      </c>
      <c r="X697" t="s">
        <v>139</v>
      </c>
      <c r="Y697" t="s">
        <v>139</v>
      </c>
      <c r="Z697" t="s">
        <v>95</v>
      </c>
      <c r="AA697">
        <v>72</v>
      </c>
      <c r="AB697" t="s">
        <v>97</v>
      </c>
      <c r="AC697" t="s">
        <v>97</v>
      </c>
      <c r="AD697" t="s">
        <v>117</v>
      </c>
      <c r="AE697" t="s">
        <v>96</v>
      </c>
      <c r="AF697" t="s">
        <v>96</v>
      </c>
      <c r="AG697" t="s">
        <v>99</v>
      </c>
      <c r="AH697" t="s">
        <v>100</v>
      </c>
      <c r="AI697">
        <v>980</v>
      </c>
      <c r="AJ697" t="s">
        <v>171</v>
      </c>
      <c r="AK697">
        <v>40</v>
      </c>
      <c r="AL697">
        <v>92</v>
      </c>
      <c r="AM697">
        <v>1112</v>
      </c>
      <c r="AN697" t="s">
        <v>102</v>
      </c>
      <c r="AO697" t="s">
        <v>96</v>
      </c>
      <c r="AP697" t="s">
        <v>104</v>
      </c>
      <c r="AQ697" t="s">
        <v>105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96</v>
      </c>
      <c r="BC697">
        <v>5</v>
      </c>
      <c r="BD697" t="s">
        <v>106</v>
      </c>
      <c r="BE697">
        <v>1</v>
      </c>
      <c r="BF697" t="s">
        <v>97</v>
      </c>
      <c r="BG697" t="s">
        <v>107</v>
      </c>
      <c r="BH697">
        <v>1987</v>
      </c>
      <c r="BI697" t="s">
        <v>101</v>
      </c>
      <c r="BJ697">
        <v>2</v>
      </c>
      <c r="BK697">
        <v>551</v>
      </c>
      <c r="BL697" t="s">
        <v>97</v>
      </c>
      <c r="BM697" t="s">
        <v>97</v>
      </c>
      <c r="BN697" t="s">
        <v>104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X697">
        <v>0</v>
      </c>
      <c r="BY697">
        <v>7</v>
      </c>
      <c r="BZ697">
        <v>2006</v>
      </c>
      <c r="CA697" t="s">
        <v>109</v>
      </c>
      <c r="CB697" t="s">
        <v>110</v>
      </c>
      <c r="CC697">
        <v>176000</v>
      </c>
    </row>
    <row r="698" spans="1:81" x14ac:dyDescent="0.3">
      <c r="A698">
        <v>697</v>
      </c>
      <c r="B698">
        <v>30</v>
      </c>
      <c r="C698" t="s">
        <v>141</v>
      </c>
      <c r="D698">
        <v>50</v>
      </c>
      <c r="E698">
        <v>6000</v>
      </c>
      <c r="F698" t="s">
        <v>82</v>
      </c>
      <c r="H698" t="s">
        <v>83</v>
      </c>
      <c r="I698" t="s">
        <v>84</v>
      </c>
      <c r="J698" t="s">
        <v>85</v>
      </c>
      <c r="K698" t="s">
        <v>86</v>
      </c>
      <c r="L698" t="s">
        <v>87</v>
      </c>
      <c r="M698" t="s">
        <v>147</v>
      </c>
      <c r="N698" t="s">
        <v>89</v>
      </c>
      <c r="O698" t="s">
        <v>89</v>
      </c>
      <c r="P698" t="s">
        <v>90</v>
      </c>
      <c r="Q698" t="s">
        <v>114</v>
      </c>
      <c r="R698">
        <v>5</v>
      </c>
      <c r="S698">
        <v>7</v>
      </c>
      <c r="T698">
        <v>1921</v>
      </c>
      <c r="U698">
        <v>1950</v>
      </c>
      <c r="V698" t="s">
        <v>92</v>
      </c>
      <c r="W698" t="s">
        <v>93</v>
      </c>
      <c r="X698" t="s">
        <v>123</v>
      </c>
      <c r="Y698" t="s">
        <v>124</v>
      </c>
      <c r="Z698" t="s">
        <v>116</v>
      </c>
      <c r="AA698">
        <v>0</v>
      </c>
      <c r="AB698" t="s">
        <v>97</v>
      </c>
      <c r="AC698" t="s">
        <v>97</v>
      </c>
      <c r="AD698" t="s">
        <v>117</v>
      </c>
      <c r="AE698" t="s">
        <v>97</v>
      </c>
      <c r="AF698" t="s">
        <v>97</v>
      </c>
      <c r="AG698" t="s">
        <v>99</v>
      </c>
      <c r="AH698" t="s">
        <v>171</v>
      </c>
      <c r="AI698">
        <v>616</v>
      </c>
      <c r="AJ698" t="s">
        <v>101</v>
      </c>
      <c r="AK698">
        <v>0</v>
      </c>
      <c r="AL698">
        <v>0</v>
      </c>
      <c r="AM698">
        <v>616</v>
      </c>
      <c r="AN698" t="s">
        <v>102</v>
      </c>
      <c r="AO698" t="s">
        <v>96</v>
      </c>
      <c r="AP698" t="s">
        <v>104</v>
      </c>
      <c r="AQ698" t="s">
        <v>105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97</v>
      </c>
      <c r="BC698">
        <v>4</v>
      </c>
      <c r="BD698" t="s">
        <v>106</v>
      </c>
      <c r="BE698">
        <v>0</v>
      </c>
      <c r="BG698" t="s">
        <v>126</v>
      </c>
      <c r="BH698">
        <v>1921</v>
      </c>
      <c r="BI698" t="s">
        <v>101</v>
      </c>
      <c r="BJ698">
        <v>1</v>
      </c>
      <c r="BK698">
        <v>205</v>
      </c>
      <c r="BL698" t="s">
        <v>97</v>
      </c>
      <c r="BM698" t="s">
        <v>97</v>
      </c>
      <c r="BN698" t="s">
        <v>104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X698">
        <v>0</v>
      </c>
      <c r="BY698">
        <v>6</v>
      </c>
      <c r="BZ698">
        <v>2006</v>
      </c>
      <c r="CA698" t="s">
        <v>109</v>
      </c>
      <c r="CB698" t="s">
        <v>110</v>
      </c>
      <c r="CC698">
        <v>89000</v>
      </c>
    </row>
    <row r="699" spans="1:81" x14ac:dyDescent="0.3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H699" t="s">
        <v>119</v>
      </c>
      <c r="I699" t="s">
        <v>84</v>
      </c>
      <c r="J699" t="s">
        <v>85</v>
      </c>
      <c r="K699" t="s">
        <v>86</v>
      </c>
      <c r="L699" t="s">
        <v>87</v>
      </c>
      <c r="M699" t="s">
        <v>184</v>
      </c>
      <c r="N699" t="s">
        <v>89</v>
      </c>
      <c r="O699" t="s">
        <v>89</v>
      </c>
      <c r="P699" t="s">
        <v>90</v>
      </c>
      <c r="Q699" t="s">
        <v>114</v>
      </c>
      <c r="R699">
        <v>5</v>
      </c>
      <c r="S699">
        <v>7</v>
      </c>
      <c r="T699">
        <v>1952</v>
      </c>
      <c r="U699">
        <v>1952</v>
      </c>
      <c r="V699" t="s">
        <v>92</v>
      </c>
      <c r="W699" t="s">
        <v>93</v>
      </c>
      <c r="X699" t="s">
        <v>123</v>
      </c>
      <c r="Y699" t="s">
        <v>123</v>
      </c>
      <c r="Z699" t="s">
        <v>116</v>
      </c>
      <c r="AA699">
        <v>0</v>
      </c>
      <c r="AB699" t="s">
        <v>97</v>
      </c>
      <c r="AC699" t="s">
        <v>97</v>
      </c>
      <c r="AD699" t="s">
        <v>98</v>
      </c>
      <c r="AE699" t="s">
        <v>103</v>
      </c>
      <c r="AF699" t="s">
        <v>96</v>
      </c>
      <c r="AG699" t="s">
        <v>120</v>
      </c>
      <c r="AH699" t="s">
        <v>171</v>
      </c>
      <c r="AI699">
        <v>210</v>
      </c>
      <c r="AJ699" t="s">
        <v>118</v>
      </c>
      <c r="AK699">
        <v>551</v>
      </c>
      <c r="AL699">
        <v>219</v>
      </c>
      <c r="AM699">
        <v>980</v>
      </c>
      <c r="AN699" t="s">
        <v>102</v>
      </c>
      <c r="AO699" t="s">
        <v>146</v>
      </c>
      <c r="AP699" t="s">
        <v>104</v>
      </c>
      <c r="AQ699" t="s">
        <v>163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97</v>
      </c>
      <c r="BC699">
        <v>6</v>
      </c>
      <c r="BD699" t="s">
        <v>106</v>
      </c>
      <c r="BE699">
        <v>0</v>
      </c>
      <c r="BG699" t="s">
        <v>126</v>
      </c>
      <c r="BH699">
        <v>1952</v>
      </c>
      <c r="BI699" t="s">
        <v>101</v>
      </c>
      <c r="BJ699">
        <v>1</v>
      </c>
      <c r="BK699">
        <v>308</v>
      </c>
      <c r="BL699" t="s">
        <v>97</v>
      </c>
      <c r="BM699" t="s">
        <v>97</v>
      </c>
      <c r="BN699" t="s">
        <v>104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X699">
        <v>0</v>
      </c>
      <c r="BY699">
        <v>9</v>
      </c>
      <c r="BZ699">
        <v>2006</v>
      </c>
      <c r="CA699" t="s">
        <v>109</v>
      </c>
      <c r="CB699" t="s">
        <v>110</v>
      </c>
      <c r="CC699">
        <v>123500</v>
      </c>
    </row>
    <row r="700" spans="1:81" x14ac:dyDescent="0.3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H700" t="s">
        <v>83</v>
      </c>
      <c r="I700" t="s">
        <v>84</v>
      </c>
      <c r="J700" t="s">
        <v>85</v>
      </c>
      <c r="K700" t="s">
        <v>86</v>
      </c>
      <c r="L700" t="s">
        <v>87</v>
      </c>
      <c r="M700" t="s">
        <v>150</v>
      </c>
      <c r="N700" t="s">
        <v>170</v>
      </c>
      <c r="O700" t="s">
        <v>89</v>
      </c>
      <c r="P700" t="s">
        <v>90</v>
      </c>
      <c r="Q700" t="s">
        <v>114</v>
      </c>
      <c r="R700">
        <v>5</v>
      </c>
      <c r="S700">
        <v>8</v>
      </c>
      <c r="T700">
        <v>1965</v>
      </c>
      <c r="U700">
        <v>2009</v>
      </c>
      <c r="V700" t="s">
        <v>92</v>
      </c>
      <c r="W700" t="s">
        <v>93</v>
      </c>
      <c r="X700" t="s">
        <v>115</v>
      </c>
      <c r="Y700" t="s">
        <v>115</v>
      </c>
      <c r="Z700" t="s">
        <v>116</v>
      </c>
      <c r="AA700">
        <v>0</v>
      </c>
      <c r="AB700" t="s">
        <v>97</v>
      </c>
      <c r="AC700" t="s">
        <v>96</v>
      </c>
      <c r="AD700" t="s">
        <v>117</v>
      </c>
      <c r="AE700" t="s">
        <v>97</v>
      </c>
      <c r="AF700" t="s">
        <v>97</v>
      </c>
      <c r="AG700" t="s">
        <v>99</v>
      </c>
      <c r="AH700" t="s">
        <v>100</v>
      </c>
      <c r="AI700">
        <v>553</v>
      </c>
      <c r="AJ700" t="s">
        <v>140</v>
      </c>
      <c r="AK700">
        <v>117</v>
      </c>
      <c r="AL700">
        <v>224</v>
      </c>
      <c r="AM700">
        <v>894</v>
      </c>
      <c r="AN700" t="s">
        <v>102</v>
      </c>
      <c r="AO700" t="s">
        <v>103</v>
      </c>
      <c r="AP700" t="s">
        <v>104</v>
      </c>
      <c r="AQ700" t="s">
        <v>105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97</v>
      </c>
      <c r="BC700">
        <v>5</v>
      </c>
      <c r="BD700" t="s">
        <v>106</v>
      </c>
      <c r="BE700">
        <v>1</v>
      </c>
      <c r="BF700" t="s">
        <v>96</v>
      </c>
      <c r="BG700" t="s">
        <v>126</v>
      </c>
      <c r="BH700">
        <v>1973</v>
      </c>
      <c r="BI700" t="s">
        <v>101</v>
      </c>
      <c r="BJ700">
        <v>1</v>
      </c>
      <c r="BK700">
        <v>336</v>
      </c>
      <c r="BL700" t="s">
        <v>97</v>
      </c>
      <c r="BM700" t="s">
        <v>97</v>
      </c>
      <c r="BN700" t="s">
        <v>104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V700" t="s">
        <v>133</v>
      </c>
      <c r="BX700">
        <v>0</v>
      </c>
      <c r="BY700">
        <v>4</v>
      </c>
      <c r="BZ700">
        <v>2010</v>
      </c>
      <c r="CA700" t="s">
        <v>109</v>
      </c>
      <c r="CB700" t="s">
        <v>110</v>
      </c>
      <c r="CC700">
        <v>138500</v>
      </c>
    </row>
    <row r="701" spans="1:81" x14ac:dyDescent="0.3">
      <c r="A701">
        <v>700</v>
      </c>
      <c r="B701">
        <v>120</v>
      </c>
      <c r="C701" t="s">
        <v>191</v>
      </c>
      <c r="D701">
        <v>59</v>
      </c>
      <c r="E701">
        <v>4282</v>
      </c>
      <c r="F701" t="s">
        <v>82</v>
      </c>
      <c r="G701" t="s">
        <v>82</v>
      </c>
      <c r="H701" t="s">
        <v>159</v>
      </c>
      <c r="I701" t="s">
        <v>84</v>
      </c>
      <c r="J701" t="s">
        <v>85</v>
      </c>
      <c r="K701" t="s">
        <v>86</v>
      </c>
      <c r="L701" t="s">
        <v>87</v>
      </c>
      <c r="M701" t="s">
        <v>135</v>
      </c>
      <c r="N701" t="s">
        <v>89</v>
      </c>
      <c r="O701" t="s">
        <v>89</v>
      </c>
      <c r="P701" t="s">
        <v>178</v>
      </c>
      <c r="Q701" t="s">
        <v>114</v>
      </c>
      <c r="R701">
        <v>7</v>
      </c>
      <c r="S701">
        <v>5</v>
      </c>
      <c r="T701">
        <v>2004</v>
      </c>
      <c r="U701">
        <v>2004</v>
      </c>
      <c r="V701" t="s">
        <v>92</v>
      </c>
      <c r="W701" t="s">
        <v>93</v>
      </c>
      <c r="X701" t="s">
        <v>115</v>
      </c>
      <c r="Y701" t="s">
        <v>115</v>
      </c>
      <c r="Z701" t="s">
        <v>116</v>
      </c>
      <c r="AA701">
        <v>0</v>
      </c>
      <c r="AB701" t="s">
        <v>96</v>
      </c>
      <c r="AC701" t="s">
        <v>97</v>
      </c>
      <c r="AD701" t="s">
        <v>98</v>
      </c>
      <c r="AE701" t="s">
        <v>96</v>
      </c>
      <c r="AF701" t="s">
        <v>97</v>
      </c>
      <c r="AG701" t="s">
        <v>120</v>
      </c>
      <c r="AH701" t="s">
        <v>100</v>
      </c>
      <c r="AI701">
        <v>16</v>
      </c>
      <c r="AJ701" t="s">
        <v>101</v>
      </c>
      <c r="AK701">
        <v>0</v>
      </c>
      <c r="AL701">
        <v>1375</v>
      </c>
      <c r="AM701">
        <v>1391</v>
      </c>
      <c r="AN701" t="s">
        <v>102</v>
      </c>
      <c r="AO701" t="s">
        <v>103</v>
      </c>
      <c r="AP701" t="s">
        <v>104</v>
      </c>
      <c r="AQ701" t="s">
        <v>105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96</v>
      </c>
      <c r="BC701">
        <v>5</v>
      </c>
      <c r="BD701" t="s">
        <v>106</v>
      </c>
      <c r="BE701">
        <v>0</v>
      </c>
      <c r="BG701" t="s">
        <v>107</v>
      </c>
      <c r="BH701">
        <v>2004</v>
      </c>
      <c r="BI701" t="s">
        <v>108</v>
      </c>
      <c r="BJ701">
        <v>2</v>
      </c>
      <c r="BK701">
        <v>530</v>
      </c>
      <c r="BL701" t="s">
        <v>97</v>
      </c>
      <c r="BM701" t="s">
        <v>97</v>
      </c>
      <c r="BN701" t="s">
        <v>104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X701">
        <v>0</v>
      </c>
      <c r="BY701">
        <v>7</v>
      </c>
      <c r="BZ701">
        <v>2008</v>
      </c>
      <c r="CA701" t="s">
        <v>109</v>
      </c>
      <c r="CB701" t="s">
        <v>110</v>
      </c>
      <c r="CC701">
        <v>196000</v>
      </c>
    </row>
    <row r="702" spans="1:81" x14ac:dyDescent="0.3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H702" t="s">
        <v>83</v>
      </c>
      <c r="I702" t="s">
        <v>84</v>
      </c>
      <c r="J702" t="s">
        <v>85</v>
      </c>
      <c r="K702" t="s">
        <v>86</v>
      </c>
      <c r="L702" t="s">
        <v>87</v>
      </c>
      <c r="M702" t="s">
        <v>188</v>
      </c>
      <c r="N702" t="s">
        <v>89</v>
      </c>
      <c r="O702" t="s">
        <v>89</v>
      </c>
      <c r="P702" t="s">
        <v>90</v>
      </c>
      <c r="Q702" t="s">
        <v>114</v>
      </c>
      <c r="R702">
        <v>8</v>
      </c>
      <c r="S702">
        <v>5</v>
      </c>
      <c r="T702">
        <v>2002</v>
      </c>
      <c r="U702">
        <v>2002</v>
      </c>
      <c r="V702" t="s">
        <v>151</v>
      </c>
      <c r="W702" t="s">
        <v>93</v>
      </c>
      <c r="X702" t="s">
        <v>94</v>
      </c>
      <c r="Y702" t="s">
        <v>94</v>
      </c>
      <c r="Z702" t="s">
        <v>95</v>
      </c>
      <c r="AA702">
        <v>630</v>
      </c>
      <c r="AB702" t="s">
        <v>96</v>
      </c>
      <c r="AC702" t="s">
        <v>97</v>
      </c>
      <c r="AD702" t="s">
        <v>98</v>
      </c>
      <c r="AE702" t="s">
        <v>103</v>
      </c>
      <c r="AF702" t="s">
        <v>97</v>
      </c>
      <c r="AG702" t="s">
        <v>96</v>
      </c>
      <c r="AH702" t="s">
        <v>100</v>
      </c>
      <c r="AI702">
        <v>1274</v>
      </c>
      <c r="AJ702" t="s">
        <v>101</v>
      </c>
      <c r="AK702">
        <v>0</v>
      </c>
      <c r="AL702">
        <v>526</v>
      </c>
      <c r="AM702">
        <v>1800</v>
      </c>
      <c r="AN702" t="s">
        <v>102</v>
      </c>
      <c r="AO702" t="s">
        <v>103</v>
      </c>
      <c r="AP702" t="s">
        <v>104</v>
      </c>
      <c r="AQ702" t="s">
        <v>105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96</v>
      </c>
      <c r="BC702">
        <v>7</v>
      </c>
      <c r="BD702" t="s">
        <v>106</v>
      </c>
      <c r="BE702">
        <v>1</v>
      </c>
      <c r="BF702" t="s">
        <v>96</v>
      </c>
      <c r="BG702" t="s">
        <v>107</v>
      </c>
      <c r="BH702">
        <v>2002</v>
      </c>
      <c r="BI702" t="s">
        <v>156</v>
      </c>
      <c r="BJ702">
        <v>3</v>
      </c>
      <c r="BK702">
        <v>765</v>
      </c>
      <c r="BL702" t="s">
        <v>97</v>
      </c>
      <c r="BM702" t="s">
        <v>97</v>
      </c>
      <c r="BN702" t="s">
        <v>104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X702">
        <v>0</v>
      </c>
      <c r="BY702">
        <v>5</v>
      </c>
      <c r="BZ702">
        <v>2006</v>
      </c>
      <c r="CA702" t="s">
        <v>109</v>
      </c>
      <c r="CB702" t="s">
        <v>110</v>
      </c>
      <c r="CC702">
        <v>312500</v>
      </c>
    </row>
    <row r="703" spans="1:81" x14ac:dyDescent="0.3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H703" t="s">
        <v>83</v>
      </c>
      <c r="I703" t="s">
        <v>84</v>
      </c>
      <c r="J703" t="s">
        <v>85</v>
      </c>
      <c r="K703" t="s">
        <v>86</v>
      </c>
      <c r="L703" t="s">
        <v>87</v>
      </c>
      <c r="M703" t="s">
        <v>137</v>
      </c>
      <c r="N703" t="s">
        <v>89</v>
      </c>
      <c r="O703" t="s">
        <v>89</v>
      </c>
      <c r="P703" t="s">
        <v>90</v>
      </c>
      <c r="Q703" t="s">
        <v>114</v>
      </c>
      <c r="R703">
        <v>7</v>
      </c>
      <c r="S703">
        <v>5</v>
      </c>
      <c r="T703">
        <v>1969</v>
      </c>
      <c r="U703">
        <v>1969</v>
      </c>
      <c r="V703" t="s">
        <v>151</v>
      </c>
      <c r="W703" t="s">
        <v>93</v>
      </c>
      <c r="X703" t="s">
        <v>139</v>
      </c>
      <c r="Y703" t="s">
        <v>139</v>
      </c>
      <c r="Z703" t="s">
        <v>95</v>
      </c>
      <c r="AA703">
        <v>168</v>
      </c>
      <c r="AB703" t="s">
        <v>97</v>
      </c>
      <c r="AC703" t="s">
        <v>97</v>
      </c>
      <c r="AD703" t="s">
        <v>117</v>
      </c>
      <c r="AE703" t="s">
        <v>97</v>
      </c>
      <c r="AF703" t="s">
        <v>97</v>
      </c>
      <c r="AG703" t="s">
        <v>99</v>
      </c>
      <c r="AH703" t="s">
        <v>101</v>
      </c>
      <c r="AI703">
        <v>0</v>
      </c>
      <c r="AJ703" t="s">
        <v>101</v>
      </c>
      <c r="AK703">
        <v>0</v>
      </c>
      <c r="AL703">
        <v>1164</v>
      </c>
      <c r="AM703">
        <v>1164</v>
      </c>
      <c r="AN703" t="s">
        <v>102</v>
      </c>
      <c r="AO703" t="s">
        <v>97</v>
      </c>
      <c r="AP703" t="s">
        <v>104</v>
      </c>
      <c r="AQ703" t="s">
        <v>105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97</v>
      </c>
      <c r="BC703">
        <v>6</v>
      </c>
      <c r="BD703" t="s">
        <v>106</v>
      </c>
      <c r="BE703">
        <v>0</v>
      </c>
      <c r="BG703" t="s">
        <v>107</v>
      </c>
      <c r="BH703">
        <v>1969</v>
      </c>
      <c r="BI703" t="s">
        <v>101</v>
      </c>
      <c r="BJ703">
        <v>2</v>
      </c>
      <c r="BK703">
        <v>528</v>
      </c>
      <c r="BL703" t="s">
        <v>97</v>
      </c>
      <c r="BM703" t="s">
        <v>97</v>
      </c>
      <c r="BN703" t="s">
        <v>104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X703">
        <v>0</v>
      </c>
      <c r="BY703">
        <v>7</v>
      </c>
      <c r="BZ703">
        <v>2006</v>
      </c>
      <c r="CA703" t="s">
        <v>172</v>
      </c>
      <c r="CB703" t="s">
        <v>110</v>
      </c>
      <c r="CC703">
        <v>140000</v>
      </c>
    </row>
    <row r="704" spans="1:81" x14ac:dyDescent="0.3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H704" t="s">
        <v>119</v>
      </c>
      <c r="I704" t="s">
        <v>84</v>
      </c>
      <c r="J704" t="s">
        <v>85</v>
      </c>
      <c r="K704" t="s">
        <v>86</v>
      </c>
      <c r="L704" t="s">
        <v>87</v>
      </c>
      <c r="M704" t="s">
        <v>199</v>
      </c>
      <c r="N704" t="s">
        <v>89</v>
      </c>
      <c r="O704" t="s">
        <v>89</v>
      </c>
      <c r="P704" t="s">
        <v>90</v>
      </c>
      <c r="Q704" t="s">
        <v>91</v>
      </c>
      <c r="R704">
        <v>8</v>
      </c>
      <c r="S704">
        <v>5</v>
      </c>
      <c r="T704">
        <v>2006</v>
      </c>
      <c r="U704">
        <v>2006</v>
      </c>
      <c r="V704" t="s">
        <v>151</v>
      </c>
      <c r="W704" t="s">
        <v>93</v>
      </c>
      <c r="X704" t="s">
        <v>94</v>
      </c>
      <c r="Y704" t="s">
        <v>94</v>
      </c>
      <c r="Z704" t="s">
        <v>95</v>
      </c>
      <c r="AA704">
        <v>466</v>
      </c>
      <c r="AB704" t="s">
        <v>103</v>
      </c>
      <c r="AC704" t="s">
        <v>97</v>
      </c>
      <c r="AD704" t="s">
        <v>98</v>
      </c>
      <c r="AE704" t="s">
        <v>103</v>
      </c>
      <c r="AF704" t="s">
        <v>96</v>
      </c>
      <c r="AG704" t="s">
        <v>99</v>
      </c>
      <c r="AH704" t="s">
        <v>101</v>
      </c>
      <c r="AI704">
        <v>0</v>
      </c>
      <c r="AJ704" t="s">
        <v>101</v>
      </c>
      <c r="AK704">
        <v>0</v>
      </c>
      <c r="AL704">
        <v>1234</v>
      </c>
      <c r="AM704">
        <v>1234</v>
      </c>
      <c r="AN704" t="s">
        <v>102</v>
      </c>
      <c r="AO704" t="s">
        <v>103</v>
      </c>
      <c r="AP704" t="s">
        <v>104</v>
      </c>
      <c r="AQ704" t="s">
        <v>105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103</v>
      </c>
      <c r="BC704">
        <v>10</v>
      </c>
      <c r="BD704" t="s">
        <v>106</v>
      </c>
      <c r="BE704">
        <v>1</v>
      </c>
      <c r="BF704" t="s">
        <v>96</v>
      </c>
      <c r="BG704" t="s">
        <v>155</v>
      </c>
      <c r="BH704">
        <v>2006</v>
      </c>
      <c r="BI704" t="s">
        <v>156</v>
      </c>
      <c r="BJ704">
        <v>3</v>
      </c>
      <c r="BK704">
        <v>666</v>
      </c>
      <c r="BL704" t="s">
        <v>97</v>
      </c>
      <c r="BM704" t="s">
        <v>97</v>
      </c>
      <c r="BN704" t="s">
        <v>104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X704">
        <v>0</v>
      </c>
      <c r="BY704">
        <v>7</v>
      </c>
      <c r="BZ704">
        <v>2006</v>
      </c>
      <c r="CA704" t="s">
        <v>157</v>
      </c>
      <c r="CB704" t="s">
        <v>158</v>
      </c>
      <c r="CC704">
        <v>361919</v>
      </c>
    </row>
    <row r="705" spans="1:81" x14ac:dyDescent="0.3">
      <c r="A705">
        <v>704</v>
      </c>
      <c r="B705">
        <v>190</v>
      </c>
      <c r="C705" t="s">
        <v>141</v>
      </c>
      <c r="D705">
        <v>76</v>
      </c>
      <c r="E705">
        <v>7630</v>
      </c>
      <c r="F705" t="s">
        <v>82</v>
      </c>
      <c r="H705" t="s">
        <v>83</v>
      </c>
      <c r="I705" t="s">
        <v>84</v>
      </c>
      <c r="J705" t="s">
        <v>85</v>
      </c>
      <c r="K705" t="s">
        <v>86</v>
      </c>
      <c r="L705" t="s">
        <v>87</v>
      </c>
      <c r="M705" t="s">
        <v>142</v>
      </c>
      <c r="N705" t="s">
        <v>113</v>
      </c>
      <c r="O705" t="s">
        <v>89</v>
      </c>
      <c r="P705" t="s">
        <v>148</v>
      </c>
      <c r="Q705" t="s">
        <v>91</v>
      </c>
      <c r="R705">
        <v>5</v>
      </c>
      <c r="S705">
        <v>9</v>
      </c>
      <c r="T705">
        <v>1900</v>
      </c>
      <c r="U705">
        <v>1996</v>
      </c>
      <c r="V705" t="s">
        <v>92</v>
      </c>
      <c r="W705" t="s">
        <v>93</v>
      </c>
      <c r="X705" t="s">
        <v>123</v>
      </c>
      <c r="Y705" t="s">
        <v>123</v>
      </c>
      <c r="Z705" t="s">
        <v>116</v>
      </c>
      <c r="AA705">
        <v>0</v>
      </c>
      <c r="AB705" t="s">
        <v>97</v>
      </c>
      <c r="AC705" t="s">
        <v>96</v>
      </c>
      <c r="AD705" t="s">
        <v>125</v>
      </c>
      <c r="AE705" t="s">
        <v>96</v>
      </c>
      <c r="AF705" t="s">
        <v>97</v>
      </c>
      <c r="AG705" t="s">
        <v>99</v>
      </c>
      <c r="AH705" t="s">
        <v>101</v>
      </c>
      <c r="AI705">
        <v>0</v>
      </c>
      <c r="AJ705" t="s">
        <v>101</v>
      </c>
      <c r="AK705">
        <v>0</v>
      </c>
      <c r="AL705">
        <v>360</v>
      </c>
      <c r="AM705">
        <v>360</v>
      </c>
      <c r="AN705" t="s">
        <v>102</v>
      </c>
      <c r="AO705" t="s">
        <v>96</v>
      </c>
      <c r="AP705" t="s">
        <v>104</v>
      </c>
      <c r="AQ705" t="s">
        <v>105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96</v>
      </c>
      <c r="BC705">
        <v>8</v>
      </c>
      <c r="BD705" t="s">
        <v>106</v>
      </c>
      <c r="BE705">
        <v>1</v>
      </c>
      <c r="BF705" t="s">
        <v>211</v>
      </c>
      <c r="BG705" t="s">
        <v>126</v>
      </c>
      <c r="BH705">
        <v>1999</v>
      </c>
      <c r="BI705" t="s">
        <v>101</v>
      </c>
      <c r="BJ705">
        <v>2</v>
      </c>
      <c r="BK705">
        <v>672</v>
      </c>
      <c r="BL705" t="s">
        <v>97</v>
      </c>
      <c r="BM705" t="s">
        <v>97</v>
      </c>
      <c r="BN705" t="s">
        <v>176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V705" t="s">
        <v>133</v>
      </c>
      <c r="BX705">
        <v>0</v>
      </c>
      <c r="BY705">
        <v>5</v>
      </c>
      <c r="BZ705">
        <v>2010</v>
      </c>
      <c r="CA705" t="s">
        <v>109</v>
      </c>
      <c r="CB705" t="s">
        <v>110</v>
      </c>
      <c r="CC705">
        <v>140000</v>
      </c>
    </row>
    <row r="706" spans="1:81" x14ac:dyDescent="0.3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H706" t="s">
        <v>83</v>
      </c>
      <c r="I706" t="s">
        <v>84</v>
      </c>
      <c r="J706" t="s">
        <v>85</v>
      </c>
      <c r="K706" t="s">
        <v>86</v>
      </c>
      <c r="L706" t="s">
        <v>87</v>
      </c>
      <c r="M706" t="s">
        <v>88</v>
      </c>
      <c r="N706" t="s">
        <v>89</v>
      </c>
      <c r="O706" t="s">
        <v>89</v>
      </c>
      <c r="P706" t="s">
        <v>90</v>
      </c>
      <c r="Q706" t="s">
        <v>114</v>
      </c>
      <c r="R706">
        <v>7</v>
      </c>
      <c r="S706">
        <v>5</v>
      </c>
      <c r="T706">
        <v>2004</v>
      </c>
      <c r="U706">
        <v>2005</v>
      </c>
      <c r="V706" t="s">
        <v>92</v>
      </c>
      <c r="W706" t="s">
        <v>93</v>
      </c>
      <c r="X706" t="s">
        <v>94</v>
      </c>
      <c r="Y706" t="s">
        <v>94</v>
      </c>
      <c r="Z706" t="s">
        <v>95</v>
      </c>
      <c r="AA706">
        <v>109</v>
      </c>
      <c r="AB706" t="s">
        <v>96</v>
      </c>
      <c r="AC706" t="s">
        <v>97</v>
      </c>
      <c r="AD706" t="s">
        <v>98</v>
      </c>
      <c r="AE706" t="s">
        <v>96</v>
      </c>
      <c r="AF706" t="s">
        <v>97</v>
      </c>
      <c r="AG706" t="s">
        <v>129</v>
      </c>
      <c r="AH706" t="s">
        <v>100</v>
      </c>
      <c r="AI706">
        <v>712</v>
      </c>
      <c r="AJ706" t="s">
        <v>101</v>
      </c>
      <c r="AK706">
        <v>0</v>
      </c>
      <c r="AL706">
        <v>761</v>
      </c>
      <c r="AM706">
        <v>1473</v>
      </c>
      <c r="AN706" t="s">
        <v>102</v>
      </c>
      <c r="AO706" t="s">
        <v>103</v>
      </c>
      <c r="AP706" t="s">
        <v>104</v>
      </c>
      <c r="AQ706" t="s">
        <v>105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96</v>
      </c>
      <c r="BC706">
        <v>7</v>
      </c>
      <c r="BD706" t="s">
        <v>106</v>
      </c>
      <c r="BE706">
        <v>0</v>
      </c>
      <c r="BG706" t="s">
        <v>107</v>
      </c>
      <c r="BH706">
        <v>2004</v>
      </c>
      <c r="BI706" t="s">
        <v>108</v>
      </c>
      <c r="BJ706">
        <v>2</v>
      </c>
      <c r="BK706">
        <v>606</v>
      </c>
      <c r="BL706" t="s">
        <v>97</v>
      </c>
      <c r="BM706" t="s">
        <v>97</v>
      </c>
      <c r="BN706" t="s">
        <v>104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X706">
        <v>0</v>
      </c>
      <c r="BY706">
        <v>5</v>
      </c>
      <c r="BZ706">
        <v>2010</v>
      </c>
      <c r="CA706" t="s">
        <v>109</v>
      </c>
      <c r="CB706" t="s">
        <v>110</v>
      </c>
      <c r="CC706">
        <v>213000</v>
      </c>
    </row>
    <row r="707" spans="1:81" x14ac:dyDescent="0.3">
      <c r="A707">
        <v>706</v>
      </c>
      <c r="B707">
        <v>190</v>
      </c>
      <c r="C707" t="s">
        <v>141</v>
      </c>
      <c r="D707">
        <v>70</v>
      </c>
      <c r="E707">
        <v>5600</v>
      </c>
      <c r="F707" t="s">
        <v>82</v>
      </c>
      <c r="H707" t="s">
        <v>83</v>
      </c>
      <c r="I707" t="s">
        <v>84</v>
      </c>
      <c r="J707" t="s">
        <v>85</v>
      </c>
      <c r="K707" t="s">
        <v>86</v>
      </c>
      <c r="L707" t="s">
        <v>87</v>
      </c>
      <c r="M707" t="s">
        <v>175</v>
      </c>
      <c r="N707" t="s">
        <v>89</v>
      </c>
      <c r="O707" t="s">
        <v>89</v>
      </c>
      <c r="P707" t="s">
        <v>148</v>
      </c>
      <c r="Q707" t="s">
        <v>91</v>
      </c>
      <c r="R707">
        <v>4</v>
      </c>
      <c r="S707">
        <v>5</v>
      </c>
      <c r="T707">
        <v>1930</v>
      </c>
      <c r="U707">
        <v>1950</v>
      </c>
      <c r="V707" t="s">
        <v>151</v>
      </c>
      <c r="W707" t="s">
        <v>93</v>
      </c>
      <c r="X707" t="s">
        <v>94</v>
      </c>
      <c r="Y707" t="s">
        <v>124</v>
      </c>
      <c r="Z707" t="s">
        <v>116</v>
      </c>
      <c r="AA707">
        <v>0</v>
      </c>
      <c r="AB707" t="s">
        <v>146</v>
      </c>
      <c r="AC707" t="s">
        <v>146</v>
      </c>
      <c r="AD707" t="s">
        <v>167</v>
      </c>
      <c r="AI707">
        <v>0</v>
      </c>
      <c r="AK707">
        <v>0</v>
      </c>
      <c r="AL707">
        <v>0</v>
      </c>
      <c r="AM707">
        <v>0</v>
      </c>
      <c r="AN707" t="s">
        <v>102</v>
      </c>
      <c r="AO707" t="s">
        <v>146</v>
      </c>
      <c r="AP707" t="s">
        <v>176</v>
      </c>
      <c r="AQ707" t="s">
        <v>105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146</v>
      </c>
      <c r="BC707">
        <v>7</v>
      </c>
      <c r="BD707" t="s">
        <v>193</v>
      </c>
      <c r="BE707">
        <v>0</v>
      </c>
      <c r="BJ707">
        <v>0</v>
      </c>
      <c r="BK707">
        <v>0</v>
      </c>
      <c r="BN707" t="s">
        <v>176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s">
        <v>247</v>
      </c>
      <c r="BX707">
        <v>3500</v>
      </c>
      <c r="BY707">
        <v>7</v>
      </c>
      <c r="BZ707">
        <v>2010</v>
      </c>
      <c r="CA707" t="s">
        <v>109</v>
      </c>
      <c r="CB707" t="s">
        <v>110</v>
      </c>
      <c r="CC707">
        <v>55000</v>
      </c>
    </row>
    <row r="708" spans="1:81" x14ac:dyDescent="0.3">
      <c r="A708">
        <v>707</v>
      </c>
      <c r="B708">
        <v>20</v>
      </c>
      <c r="C708" t="s">
        <v>81</v>
      </c>
      <c r="E708">
        <v>115149</v>
      </c>
      <c r="F708" t="s">
        <v>82</v>
      </c>
      <c r="H708" t="s">
        <v>159</v>
      </c>
      <c r="I708" t="s">
        <v>194</v>
      </c>
      <c r="J708" t="s">
        <v>85</v>
      </c>
      <c r="K708" t="s">
        <v>165</v>
      </c>
      <c r="L708" t="s">
        <v>212</v>
      </c>
      <c r="M708" t="s">
        <v>204</v>
      </c>
      <c r="N708" t="s">
        <v>89</v>
      </c>
      <c r="O708" t="s">
        <v>89</v>
      </c>
      <c r="P708" t="s">
        <v>90</v>
      </c>
      <c r="Q708" t="s">
        <v>114</v>
      </c>
      <c r="R708">
        <v>7</v>
      </c>
      <c r="S708">
        <v>5</v>
      </c>
      <c r="T708">
        <v>1971</v>
      </c>
      <c r="U708">
        <v>2002</v>
      </c>
      <c r="V708" t="s">
        <v>92</v>
      </c>
      <c r="W708" t="s">
        <v>93</v>
      </c>
      <c r="X708" t="s">
        <v>160</v>
      </c>
      <c r="Y708" t="s">
        <v>160</v>
      </c>
      <c r="Z708" t="s">
        <v>136</v>
      </c>
      <c r="AA708">
        <v>351</v>
      </c>
      <c r="AB708" t="s">
        <v>97</v>
      </c>
      <c r="AC708" t="s">
        <v>97</v>
      </c>
      <c r="AD708" t="s">
        <v>117</v>
      </c>
      <c r="AE708" t="s">
        <v>96</v>
      </c>
      <c r="AF708" t="s">
        <v>97</v>
      </c>
      <c r="AG708" t="s">
        <v>96</v>
      </c>
      <c r="AH708" t="s">
        <v>100</v>
      </c>
      <c r="AI708">
        <v>1219</v>
      </c>
      <c r="AJ708" t="s">
        <v>101</v>
      </c>
      <c r="AK708">
        <v>0</v>
      </c>
      <c r="AL708">
        <v>424</v>
      </c>
      <c r="AM708">
        <v>1643</v>
      </c>
      <c r="AN708" t="s">
        <v>102</v>
      </c>
      <c r="AO708" t="s">
        <v>97</v>
      </c>
      <c r="AP708" t="s">
        <v>104</v>
      </c>
      <c r="AQ708" t="s">
        <v>105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96</v>
      </c>
      <c r="BC708">
        <v>5</v>
      </c>
      <c r="BD708" t="s">
        <v>106</v>
      </c>
      <c r="BE708">
        <v>2</v>
      </c>
      <c r="BF708" t="s">
        <v>97</v>
      </c>
      <c r="BG708" t="s">
        <v>107</v>
      </c>
      <c r="BH708">
        <v>1971</v>
      </c>
      <c r="BI708" t="s">
        <v>101</v>
      </c>
      <c r="BJ708">
        <v>2</v>
      </c>
      <c r="BK708">
        <v>739</v>
      </c>
      <c r="BL708" t="s">
        <v>97</v>
      </c>
      <c r="BM708" t="s">
        <v>97</v>
      </c>
      <c r="BN708" t="s">
        <v>104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X708">
        <v>0</v>
      </c>
      <c r="BY708">
        <v>6</v>
      </c>
      <c r="BZ708">
        <v>2007</v>
      </c>
      <c r="CA708" t="s">
        <v>109</v>
      </c>
      <c r="CB708" t="s">
        <v>110</v>
      </c>
      <c r="CC708">
        <v>302000</v>
      </c>
    </row>
    <row r="709" spans="1:81" x14ac:dyDescent="0.3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H709" t="s">
        <v>83</v>
      </c>
      <c r="I709" t="s">
        <v>84</v>
      </c>
      <c r="J709" t="s">
        <v>85</v>
      </c>
      <c r="K709" t="s">
        <v>86</v>
      </c>
      <c r="L709" t="s">
        <v>87</v>
      </c>
      <c r="M709" t="s">
        <v>153</v>
      </c>
      <c r="N709" t="s">
        <v>89</v>
      </c>
      <c r="O709" t="s">
        <v>89</v>
      </c>
      <c r="P709" t="s">
        <v>178</v>
      </c>
      <c r="Q709" t="s">
        <v>114</v>
      </c>
      <c r="R709">
        <v>8</v>
      </c>
      <c r="S709">
        <v>5</v>
      </c>
      <c r="T709">
        <v>2006</v>
      </c>
      <c r="U709">
        <v>2006</v>
      </c>
      <c r="V709" t="s">
        <v>151</v>
      </c>
      <c r="W709" t="s">
        <v>93</v>
      </c>
      <c r="X709" t="s">
        <v>115</v>
      </c>
      <c r="Y709" t="s">
        <v>115</v>
      </c>
      <c r="Z709" t="s">
        <v>95</v>
      </c>
      <c r="AA709">
        <v>176</v>
      </c>
      <c r="AB709" t="s">
        <v>96</v>
      </c>
      <c r="AC709" t="s">
        <v>97</v>
      </c>
      <c r="AD709" t="s">
        <v>98</v>
      </c>
      <c r="AE709" t="s">
        <v>96</v>
      </c>
      <c r="AF709" t="s">
        <v>97</v>
      </c>
      <c r="AG709" t="s">
        <v>99</v>
      </c>
      <c r="AH709" t="s">
        <v>100</v>
      </c>
      <c r="AI709">
        <v>863</v>
      </c>
      <c r="AJ709" t="s">
        <v>101</v>
      </c>
      <c r="AK709">
        <v>0</v>
      </c>
      <c r="AL709">
        <v>461</v>
      </c>
      <c r="AM709">
        <v>1324</v>
      </c>
      <c r="AN709" t="s">
        <v>102</v>
      </c>
      <c r="AO709" t="s">
        <v>103</v>
      </c>
      <c r="AP709" t="s">
        <v>104</v>
      </c>
      <c r="AQ709" t="s">
        <v>105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96</v>
      </c>
      <c r="BC709">
        <v>6</v>
      </c>
      <c r="BD709" t="s">
        <v>106</v>
      </c>
      <c r="BE709">
        <v>1</v>
      </c>
      <c r="BF709" t="s">
        <v>96</v>
      </c>
      <c r="BG709" t="s">
        <v>107</v>
      </c>
      <c r="BH709">
        <v>2006</v>
      </c>
      <c r="BI709" t="s">
        <v>156</v>
      </c>
      <c r="BJ709">
        <v>2</v>
      </c>
      <c r="BK709">
        <v>550</v>
      </c>
      <c r="BL709" t="s">
        <v>97</v>
      </c>
      <c r="BM709" t="s">
        <v>97</v>
      </c>
      <c r="BN709" t="s">
        <v>104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X709">
        <v>0</v>
      </c>
      <c r="BY709">
        <v>12</v>
      </c>
      <c r="BZ709">
        <v>2009</v>
      </c>
      <c r="CA709" t="s">
        <v>109</v>
      </c>
      <c r="CB709" t="s">
        <v>110</v>
      </c>
      <c r="CC709">
        <v>254000</v>
      </c>
    </row>
    <row r="710" spans="1:81" x14ac:dyDescent="0.3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H710" t="s">
        <v>119</v>
      </c>
      <c r="I710" t="s">
        <v>84</v>
      </c>
      <c r="J710" t="s">
        <v>85</v>
      </c>
      <c r="K710" t="s">
        <v>86</v>
      </c>
      <c r="L710" t="s">
        <v>87</v>
      </c>
      <c r="M710" t="s">
        <v>192</v>
      </c>
      <c r="N710" t="s">
        <v>89</v>
      </c>
      <c r="O710" t="s">
        <v>89</v>
      </c>
      <c r="P710" t="s">
        <v>90</v>
      </c>
      <c r="Q710" t="s">
        <v>91</v>
      </c>
      <c r="R710">
        <v>7</v>
      </c>
      <c r="S710">
        <v>5</v>
      </c>
      <c r="T710">
        <v>2007</v>
      </c>
      <c r="U710">
        <v>2007</v>
      </c>
      <c r="V710" t="s">
        <v>151</v>
      </c>
      <c r="W710" t="s">
        <v>93</v>
      </c>
      <c r="X710" t="s">
        <v>94</v>
      </c>
      <c r="Y710" t="s">
        <v>94</v>
      </c>
      <c r="Z710" t="s">
        <v>116</v>
      </c>
      <c r="AA710">
        <v>0</v>
      </c>
      <c r="AB710" t="s">
        <v>96</v>
      </c>
      <c r="AC710" t="s">
        <v>97</v>
      </c>
      <c r="AD710" t="s">
        <v>98</v>
      </c>
      <c r="AE710" t="s">
        <v>96</v>
      </c>
      <c r="AF710" t="s">
        <v>97</v>
      </c>
      <c r="AG710" t="s">
        <v>129</v>
      </c>
      <c r="AH710" t="s">
        <v>101</v>
      </c>
      <c r="AI710">
        <v>0</v>
      </c>
      <c r="AJ710" t="s">
        <v>101</v>
      </c>
      <c r="AK710">
        <v>0</v>
      </c>
      <c r="AL710">
        <v>728</v>
      </c>
      <c r="AM710">
        <v>728</v>
      </c>
      <c r="AN710" t="s">
        <v>102</v>
      </c>
      <c r="AO710" t="s">
        <v>103</v>
      </c>
      <c r="AP710" t="s">
        <v>104</v>
      </c>
      <c r="AQ710" t="s">
        <v>105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96</v>
      </c>
      <c r="BC710">
        <v>8</v>
      </c>
      <c r="BD710" t="s">
        <v>106</v>
      </c>
      <c r="BE710">
        <v>1</v>
      </c>
      <c r="BF710" t="s">
        <v>96</v>
      </c>
      <c r="BG710" t="s">
        <v>107</v>
      </c>
      <c r="BH710">
        <v>2007</v>
      </c>
      <c r="BI710" t="s">
        <v>156</v>
      </c>
      <c r="BJ710">
        <v>2</v>
      </c>
      <c r="BK710">
        <v>400</v>
      </c>
      <c r="BL710" t="s">
        <v>97</v>
      </c>
      <c r="BM710" t="s">
        <v>97</v>
      </c>
      <c r="BN710" t="s">
        <v>104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X710">
        <v>0</v>
      </c>
      <c r="BY710">
        <v>7</v>
      </c>
      <c r="BZ710">
        <v>2007</v>
      </c>
      <c r="CA710" t="s">
        <v>157</v>
      </c>
      <c r="CB710" t="s">
        <v>158</v>
      </c>
      <c r="CC710">
        <v>179540</v>
      </c>
    </row>
    <row r="711" spans="1:81" x14ac:dyDescent="0.3">
      <c r="A711">
        <v>710</v>
      </c>
      <c r="B711">
        <v>20</v>
      </c>
      <c r="C711" t="s">
        <v>81</v>
      </c>
      <c r="E711">
        <v>7162</v>
      </c>
      <c r="F711" t="s">
        <v>82</v>
      </c>
      <c r="H711" t="s">
        <v>119</v>
      </c>
      <c r="I711" t="s">
        <v>84</v>
      </c>
      <c r="J711" t="s">
        <v>85</v>
      </c>
      <c r="K711" t="s">
        <v>86</v>
      </c>
      <c r="L711" t="s">
        <v>87</v>
      </c>
      <c r="M711" t="s">
        <v>150</v>
      </c>
      <c r="N711" t="s">
        <v>89</v>
      </c>
      <c r="O711" t="s">
        <v>89</v>
      </c>
      <c r="P711" t="s">
        <v>90</v>
      </c>
      <c r="Q711" t="s">
        <v>114</v>
      </c>
      <c r="R711">
        <v>5</v>
      </c>
      <c r="S711">
        <v>7</v>
      </c>
      <c r="T711">
        <v>1966</v>
      </c>
      <c r="U711">
        <v>1966</v>
      </c>
      <c r="V711" t="s">
        <v>92</v>
      </c>
      <c r="W711" t="s">
        <v>93</v>
      </c>
      <c r="X711" t="s">
        <v>139</v>
      </c>
      <c r="Y711" t="s">
        <v>139</v>
      </c>
      <c r="Z711" t="s">
        <v>206</v>
      </c>
      <c r="AA711">
        <v>41</v>
      </c>
      <c r="AB711" t="s">
        <v>97</v>
      </c>
      <c r="AC711" t="s">
        <v>97</v>
      </c>
      <c r="AD711" t="s">
        <v>98</v>
      </c>
      <c r="AE711" t="s">
        <v>97</v>
      </c>
      <c r="AF711" t="s">
        <v>97</v>
      </c>
      <c r="AG711" t="s">
        <v>99</v>
      </c>
      <c r="AH711" t="s">
        <v>101</v>
      </c>
      <c r="AI711">
        <v>0</v>
      </c>
      <c r="AJ711" t="s">
        <v>101</v>
      </c>
      <c r="AK711">
        <v>0</v>
      </c>
      <c r="AL711">
        <v>876</v>
      </c>
      <c r="AM711">
        <v>876</v>
      </c>
      <c r="AN711" t="s">
        <v>102</v>
      </c>
      <c r="AO711" t="s">
        <v>97</v>
      </c>
      <c r="AP711" t="s">
        <v>104</v>
      </c>
      <c r="AQ711" t="s">
        <v>105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97</v>
      </c>
      <c r="BC711">
        <v>6</v>
      </c>
      <c r="BD711" t="s">
        <v>106</v>
      </c>
      <c r="BE711">
        <v>0</v>
      </c>
      <c r="BG711" t="s">
        <v>107</v>
      </c>
      <c r="BH711">
        <v>1966</v>
      </c>
      <c r="BI711" t="s">
        <v>101</v>
      </c>
      <c r="BJ711">
        <v>1</v>
      </c>
      <c r="BK711">
        <v>408</v>
      </c>
      <c r="BL711" t="s">
        <v>97</v>
      </c>
      <c r="BM711" t="s">
        <v>97</v>
      </c>
      <c r="BN711" t="s">
        <v>104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V711" t="s">
        <v>133</v>
      </c>
      <c r="BX711">
        <v>0</v>
      </c>
      <c r="BY711">
        <v>12</v>
      </c>
      <c r="BZ711">
        <v>2008</v>
      </c>
      <c r="CA711" t="s">
        <v>109</v>
      </c>
      <c r="CB711" t="s">
        <v>127</v>
      </c>
      <c r="CC711">
        <v>109900</v>
      </c>
    </row>
    <row r="712" spans="1:81" x14ac:dyDescent="0.3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H712" t="s">
        <v>119</v>
      </c>
      <c r="I712" t="s">
        <v>84</v>
      </c>
      <c r="J712" t="s">
        <v>85</v>
      </c>
      <c r="K712" t="s">
        <v>86</v>
      </c>
      <c r="L712" t="s">
        <v>87</v>
      </c>
      <c r="M712" t="s">
        <v>147</v>
      </c>
      <c r="N712" t="s">
        <v>89</v>
      </c>
      <c r="O712" t="s">
        <v>89</v>
      </c>
      <c r="P712" t="s">
        <v>90</v>
      </c>
      <c r="Q712" t="s">
        <v>114</v>
      </c>
      <c r="R712">
        <v>3</v>
      </c>
      <c r="S712">
        <v>6</v>
      </c>
      <c r="T712">
        <v>1935</v>
      </c>
      <c r="U712">
        <v>2003</v>
      </c>
      <c r="V712" t="s">
        <v>92</v>
      </c>
      <c r="W712" t="s">
        <v>93</v>
      </c>
      <c r="X712" t="s">
        <v>94</v>
      </c>
      <c r="Y712" t="s">
        <v>94</v>
      </c>
      <c r="Z712" t="s">
        <v>116</v>
      </c>
      <c r="AA712">
        <v>0</v>
      </c>
      <c r="AB712" t="s">
        <v>96</v>
      </c>
      <c r="AC712" t="s">
        <v>97</v>
      </c>
      <c r="AD712" t="s">
        <v>117</v>
      </c>
      <c r="AE712" t="s">
        <v>97</v>
      </c>
      <c r="AF712" t="s">
        <v>97</v>
      </c>
      <c r="AG712" t="s">
        <v>99</v>
      </c>
      <c r="AH712" t="s">
        <v>101</v>
      </c>
      <c r="AI712">
        <v>0</v>
      </c>
      <c r="AJ712" t="s">
        <v>101</v>
      </c>
      <c r="AK712">
        <v>0</v>
      </c>
      <c r="AL712">
        <v>270</v>
      </c>
      <c r="AM712">
        <v>270</v>
      </c>
      <c r="AN712" t="s">
        <v>102</v>
      </c>
      <c r="AO712" t="s">
        <v>96</v>
      </c>
      <c r="AP712" t="s">
        <v>104</v>
      </c>
      <c r="AQ712" t="s">
        <v>105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97</v>
      </c>
      <c r="BC712">
        <v>5</v>
      </c>
      <c r="BD712" t="s">
        <v>243</v>
      </c>
      <c r="BE712">
        <v>0</v>
      </c>
      <c r="BJ712">
        <v>0</v>
      </c>
      <c r="BK712">
        <v>0</v>
      </c>
      <c r="BN712" t="s">
        <v>176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X712">
        <v>0</v>
      </c>
      <c r="BY712">
        <v>7</v>
      </c>
      <c r="BZ712">
        <v>2008</v>
      </c>
      <c r="CA712" t="s">
        <v>109</v>
      </c>
      <c r="CB712" t="s">
        <v>110</v>
      </c>
      <c r="CC712">
        <v>52000</v>
      </c>
    </row>
    <row r="713" spans="1:81" x14ac:dyDescent="0.3">
      <c r="A713">
        <v>712</v>
      </c>
      <c r="B713">
        <v>50</v>
      </c>
      <c r="C713" t="s">
        <v>182</v>
      </c>
      <c r="D713">
        <v>66</v>
      </c>
      <c r="E713">
        <v>8712</v>
      </c>
      <c r="F713" t="s">
        <v>82</v>
      </c>
      <c r="G713" t="s">
        <v>82</v>
      </c>
      <c r="H713" t="s">
        <v>83</v>
      </c>
      <c r="I713" t="s">
        <v>198</v>
      </c>
      <c r="J713" t="s">
        <v>85</v>
      </c>
      <c r="K713" t="s">
        <v>86</v>
      </c>
      <c r="L713" t="s">
        <v>193</v>
      </c>
      <c r="M713" t="s">
        <v>175</v>
      </c>
      <c r="N713" t="s">
        <v>89</v>
      </c>
      <c r="O713" t="s">
        <v>89</v>
      </c>
      <c r="P713" t="s">
        <v>90</v>
      </c>
      <c r="Q713" t="s">
        <v>131</v>
      </c>
      <c r="R713">
        <v>4</v>
      </c>
      <c r="S713">
        <v>7</v>
      </c>
      <c r="T713">
        <v>1900</v>
      </c>
      <c r="U713">
        <v>1950</v>
      </c>
      <c r="V713" t="s">
        <v>92</v>
      </c>
      <c r="W713" t="s">
        <v>93</v>
      </c>
      <c r="X713" t="s">
        <v>115</v>
      </c>
      <c r="Y713" t="s">
        <v>115</v>
      </c>
      <c r="Z713" t="s">
        <v>116</v>
      </c>
      <c r="AA713">
        <v>0</v>
      </c>
      <c r="AB713" t="s">
        <v>97</v>
      </c>
      <c r="AC713" t="s">
        <v>97</v>
      </c>
      <c r="AD713" t="s">
        <v>136</v>
      </c>
      <c r="AE713" t="s">
        <v>97</v>
      </c>
      <c r="AF713" t="s">
        <v>97</v>
      </c>
      <c r="AG713" t="s">
        <v>120</v>
      </c>
      <c r="AH713" t="s">
        <v>101</v>
      </c>
      <c r="AI713">
        <v>0</v>
      </c>
      <c r="AJ713" t="s">
        <v>101</v>
      </c>
      <c r="AK713">
        <v>0</v>
      </c>
      <c r="AL713">
        <v>859</v>
      </c>
      <c r="AM713">
        <v>859</v>
      </c>
      <c r="AN713" t="s">
        <v>102</v>
      </c>
      <c r="AO713" t="s">
        <v>96</v>
      </c>
      <c r="AP713" t="s">
        <v>104</v>
      </c>
      <c r="AQ713" t="s">
        <v>105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97</v>
      </c>
      <c r="BC713">
        <v>7</v>
      </c>
      <c r="BD713" t="s">
        <v>106</v>
      </c>
      <c r="BE713">
        <v>0</v>
      </c>
      <c r="BG713" t="s">
        <v>126</v>
      </c>
      <c r="BH713">
        <v>1964</v>
      </c>
      <c r="BI713" t="s">
        <v>108</v>
      </c>
      <c r="BJ713">
        <v>1</v>
      </c>
      <c r="BK713">
        <v>384</v>
      </c>
      <c r="BL713" t="s">
        <v>97</v>
      </c>
      <c r="BM713" t="s">
        <v>97</v>
      </c>
      <c r="BN713" t="s">
        <v>176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X713">
        <v>0</v>
      </c>
      <c r="BY713">
        <v>1</v>
      </c>
      <c r="BZ713">
        <v>2010</v>
      </c>
      <c r="CA713" t="s">
        <v>109</v>
      </c>
      <c r="CB713" t="s">
        <v>127</v>
      </c>
      <c r="CC713">
        <v>102776</v>
      </c>
    </row>
    <row r="714" spans="1:81" x14ac:dyDescent="0.3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H714" t="s">
        <v>119</v>
      </c>
      <c r="I714" t="s">
        <v>198</v>
      </c>
      <c r="J714" t="s">
        <v>85</v>
      </c>
      <c r="K714" t="s">
        <v>86</v>
      </c>
      <c r="L714" t="s">
        <v>87</v>
      </c>
      <c r="M714" t="s">
        <v>199</v>
      </c>
      <c r="N714" t="s">
        <v>89</v>
      </c>
      <c r="O714" t="s">
        <v>89</v>
      </c>
      <c r="P714" t="s">
        <v>178</v>
      </c>
      <c r="Q714" t="s">
        <v>114</v>
      </c>
      <c r="R714">
        <v>8</v>
      </c>
      <c r="S714">
        <v>5</v>
      </c>
      <c r="T714">
        <v>1988</v>
      </c>
      <c r="U714">
        <v>1989</v>
      </c>
      <c r="V714" t="s">
        <v>92</v>
      </c>
      <c r="W714" t="s">
        <v>93</v>
      </c>
      <c r="X714" t="s">
        <v>139</v>
      </c>
      <c r="Y714" t="s">
        <v>139</v>
      </c>
      <c r="Z714" t="s">
        <v>116</v>
      </c>
      <c r="AA714">
        <v>0</v>
      </c>
      <c r="AB714" t="s">
        <v>96</v>
      </c>
      <c r="AC714" t="s">
        <v>97</v>
      </c>
      <c r="AD714" t="s">
        <v>98</v>
      </c>
      <c r="AE714" t="s">
        <v>96</v>
      </c>
      <c r="AF714" t="s">
        <v>97</v>
      </c>
      <c r="AG714" t="s">
        <v>120</v>
      </c>
      <c r="AH714" t="s">
        <v>100</v>
      </c>
      <c r="AI714">
        <v>767</v>
      </c>
      <c r="AJ714" t="s">
        <v>101</v>
      </c>
      <c r="AK714">
        <v>0</v>
      </c>
      <c r="AL714">
        <v>461</v>
      </c>
      <c r="AM714">
        <v>1228</v>
      </c>
      <c r="AN714" t="s">
        <v>102</v>
      </c>
      <c r="AO714" t="s">
        <v>96</v>
      </c>
      <c r="AP714" t="s">
        <v>104</v>
      </c>
      <c r="AQ714" t="s">
        <v>105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96</v>
      </c>
      <c r="BC714">
        <v>5</v>
      </c>
      <c r="BD714" t="s">
        <v>106</v>
      </c>
      <c r="BE714">
        <v>1</v>
      </c>
      <c r="BF714" t="s">
        <v>96</v>
      </c>
      <c r="BG714" t="s">
        <v>107</v>
      </c>
      <c r="BH714">
        <v>1988</v>
      </c>
      <c r="BI714" t="s">
        <v>156</v>
      </c>
      <c r="BJ714">
        <v>2</v>
      </c>
      <c r="BK714">
        <v>472</v>
      </c>
      <c r="BL714" t="s">
        <v>97</v>
      </c>
      <c r="BM714" t="s">
        <v>97</v>
      </c>
      <c r="BN714" t="s">
        <v>104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X714">
        <v>0</v>
      </c>
      <c r="BY714">
        <v>10</v>
      </c>
      <c r="BZ714">
        <v>2008</v>
      </c>
      <c r="CA714" t="s">
        <v>109</v>
      </c>
      <c r="CB714" t="s">
        <v>110</v>
      </c>
      <c r="CC714">
        <v>189000</v>
      </c>
    </row>
    <row r="715" spans="1:81" x14ac:dyDescent="0.3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H715" t="s">
        <v>83</v>
      </c>
      <c r="I715" t="s">
        <v>84</v>
      </c>
      <c r="J715" t="s">
        <v>85</v>
      </c>
      <c r="K715" t="s">
        <v>86</v>
      </c>
      <c r="L715" t="s">
        <v>87</v>
      </c>
      <c r="M715" t="s">
        <v>147</v>
      </c>
      <c r="N715" t="s">
        <v>201</v>
      </c>
      <c r="O715" t="s">
        <v>89</v>
      </c>
      <c r="P715" t="s">
        <v>148</v>
      </c>
      <c r="Q715" t="s">
        <v>114</v>
      </c>
      <c r="R715">
        <v>4</v>
      </c>
      <c r="S715">
        <v>5</v>
      </c>
      <c r="T715">
        <v>1970</v>
      </c>
      <c r="U715">
        <v>1970</v>
      </c>
      <c r="V715" t="s">
        <v>92</v>
      </c>
      <c r="W715" t="s">
        <v>93</v>
      </c>
      <c r="X715" t="s">
        <v>139</v>
      </c>
      <c r="Y715" t="s">
        <v>139</v>
      </c>
      <c r="Z715" t="s">
        <v>95</v>
      </c>
      <c r="AA715">
        <v>160</v>
      </c>
      <c r="AB715" t="s">
        <v>97</v>
      </c>
      <c r="AC715" t="s">
        <v>97</v>
      </c>
      <c r="AD715" t="s">
        <v>117</v>
      </c>
      <c r="AE715" t="s">
        <v>97</v>
      </c>
      <c r="AF715" t="s">
        <v>97</v>
      </c>
      <c r="AG715" t="s">
        <v>129</v>
      </c>
      <c r="AH715" t="s">
        <v>118</v>
      </c>
      <c r="AI715">
        <v>789</v>
      </c>
      <c r="AJ715" t="s">
        <v>101</v>
      </c>
      <c r="AK715">
        <v>0</v>
      </c>
      <c r="AL715">
        <v>171</v>
      </c>
      <c r="AM715">
        <v>960</v>
      </c>
      <c r="AN715" t="s">
        <v>205</v>
      </c>
      <c r="AO715" t="s">
        <v>97</v>
      </c>
      <c r="AP715" t="s">
        <v>176</v>
      </c>
      <c r="AQ715" t="s">
        <v>105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97</v>
      </c>
      <c r="BC715">
        <v>6</v>
      </c>
      <c r="BD715" t="s">
        <v>106</v>
      </c>
      <c r="BE715">
        <v>0</v>
      </c>
      <c r="BG715" t="s">
        <v>126</v>
      </c>
      <c r="BH715">
        <v>1970</v>
      </c>
      <c r="BI715" t="s">
        <v>101</v>
      </c>
      <c r="BJ715">
        <v>2</v>
      </c>
      <c r="BK715">
        <v>576</v>
      </c>
      <c r="BL715" t="s">
        <v>97</v>
      </c>
      <c r="BM715" t="s">
        <v>97</v>
      </c>
      <c r="BN715" t="s">
        <v>104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X715">
        <v>0</v>
      </c>
      <c r="BY715">
        <v>5</v>
      </c>
      <c r="BZ715">
        <v>2006</v>
      </c>
      <c r="CA715" t="s">
        <v>109</v>
      </c>
      <c r="CB715" t="s">
        <v>110</v>
      </c>
      <c r="CC715">
        <v>129000</v>
      </c>
    </row>
    <row r="716" spans="1:81" x14ac:dyDescent="0.3">
      <c r="A716">
        <v>715</v>
      </c>
      <c r="B716">
        <v>60</v>
      </c>
      <c r="C716" t="s">
        <v>81</v>
      </c>
      <c r="E716">
        <v>13517</v>
      </c>
      <c r="F716" t="s">
        <v>82</v>
      </c>
      <c r="H716" t="s">
        <v>119</v>
      </c>
      <c r="I716" t="s">
        <v>84</v>
      </c>
      <c r="J716" t="s">
        <v>85</v>
      </c>
      <c r="K716" t="s">
        <v>165</v>
      </c>
      <c r="L716" t="s">
        <v>87</v>
      </c>
      <c r="M716" t="s">
        <v>150</v>
      </c>
      <c r="N716" t="s">
        <v>170</v>
      </c>
      <c r="O716" t="s">
        <v>89</v>
      </c>
      <c r="P716" t="s">
        <v>90</v>
      </c>
      <c r="Q716" t="s">
        <v>91</v>
      </c>
      <c r="R716">
        <v>6</v>
      </c>
      <c r="S716">
        <v>8</v>
      </c>
      <c r="T716">
        <v>1976</v>
      </c>
      <c r="U716">
        <v>2005</v>
      </c>
      <c r="V716" t="s">
        <v>92</v>
      </c>
      <c r="W716" t="s">
        <v>93</v>
      </c>
      <c r="X716" t="s">
        <v>139</v>
      </c>
      <c r="Y716" t="s">
        <v>160</v>
      </c>
      <c r="Z716" t="s">
        <v>95</v>
      </c>
      <c r="AA716">
        <v>289</v>
      </c>
      <c r="AB716" t="s">
        <v>96</v>
      </c>
      <c r="AC716" t="s">
        <v>97</v>
      </c>
      <c r="AD716" t="s">
        <v>117</v>
      </c>
      <c r="AE716" t="s">
        <v>97</v>
      </c>
      <c r="AF716" t="s">
        <v>97</v>
      </c>
      <c r="AG716" t="s">
        <v>99</v>
      </c>
      <c r="AH716" t="s">
        <v>100</v>
      </c>
      <c r="AI716">
        <v>533</v>
      </c>
      <c r="AJ716" t="s">
        <v>101</v>
      </c>
      <c r="AK716">
        <v>0</v>
      </c>
      <c r="AL716">
        <v>192</v>
      </c>
      <c r="AM716">
        <v>725</v>
      </c>
      <c r="AN716" t="s">
        <v>102</v>
      </c>
      <c r="AO716" t="s">
        <v>103</v>
      </c>
      <c r="AP716" t="s">
        <v>104</v>
      </c>
      <c r="AQ716" t="s">
        <v>105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96</v>
      </c>
      <c r="BC716">
        <v>6</v>
      </c>
      <c r="BD716" t="s">
        <v>106</v>
      </c>
      <c r="BE716">
        <v>0</v>
      </c>
      <c r="BG716" t="s">
        <v>107</v>
      </c>
      <c r="BH716">
        <v>1976</v>
      </c>
      <c r="BI716" t="s">
        <v>108</v>
      </c>
      <c r="BJ716">
        <v>2</v>
      </c>
      <c r="BK716">
        <v>475</v>
      </c>
      <c r="BL716" t="s">
        <v>97</v>
      </c>
      <c r="BM716" t="s">
        <v>97</v>
      </c>
      <c r="BN716" t="s">
        <v>104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X716">
        <v>0</v>
      </c>
      <c r="BY716">
        <v>3</v>
      </c>
      <c r="BZ716">
        <v>2010</v>
      </c>
      <c r="CA716" t="s">
        <v>109</v>
      </c>
      <c r="CB716" t="s">
        <v>110</v>
      </c>
      <c r="CC716">
        <v>130500</v>
      </c>
    </row>
    <row r="717" spans="1:81" x14ac:dyDescent="0.3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H717" t="s">
        <v>83</v>
      </c>
      <c r="I717" t="s">
        <v>84</v>
      </c>
      <c r="J717" t="s">
        <v>85</v>
      </c>
      <c r="K717" t="s">
        <v>86</v>
      </c>
      <c r="L717" t="s">
        <v>87</v>
      </c>
      <c r="M717" t="s">
        <v>137</v>
      </c>
      <c r="N717" t="s">
        <v>89</v>
      </c>
      <c r="O717" t="s">
        <v>89</v>
      </c>
      <c r="P717" t="s">
        <v>90</v>
      </c>
      <c r="Q717" t="s">
        <v>114</v>
      </c>
      <c r="R717">
        <v>6</v>
      </c>
      <c r="S717">
        <v>5</v>
      </c>
      <c r="T717">
        <v>1974</v>
      </c>
      <c r="U717">
        <v>1974</v>
      </c>
      <c r="V717" t="s">
        <v>151</v>
      </c>
      <c r="W717" t="s">
        <v>93</v>
      </c>
      <c r="X717" t="s">
        <v>139</v>
      </c>
      <c r="Y717" t="s">
        <v>139</v>
      </c>
      <c r="Z717" t="s">
        <v>95</v>
      </c>
      <c r="AA717">
        <v>174</v>
      </c>
      <c r="AB717" t="s">
        <v>97</v>
      </c>
      <c r="AC717" t="s">
        <v>97</v>
      </c>
      <c r="AD717" t="s">
        <v>117</v>
      </c>
      <c r="AE717" t="s">
        <v>96</v>
      </c>
      <c r="AF717" t="s">
        <v>97</v>
      </c>
      <c r="AG717" t="s">
        <v>99</v>
      </c>
      <c r="AH717" t="s">
        <v>101</v>
      </c>
      <c r="AI717">
        <v>0</v>
      </c>
      <c r="AJ717" t="s">
        <v>101</v>
      </c>
      <c r="AK717">
        <v>0</v>
      </c>
      <c r="AL717">
        <v>1064</v>
      </c>
      <c r="AM717">
        <v>1064</v>
      </c>
      <c r="AN717" t="s">
        <v>102</v>
      </c>
      <c r="AO717" t="s">
        <v>97</v>
      </c>
      <c r="AP717" t="s">
        <v>104</v>
      </c>
      <c r="AQ717" t="s">
        <v>105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97</v>
      </c>
      <c r="BC717">
        <v>7</v>
      </c>
      <c r="BD717" t="s">
        <v>106</v>
      </c>
      <c r="BE717">
        <v>1</v>
      </c>
      <c r="BF717" t="s">
        <v>97</v>
      </c>
      <c r="BG717" t="s">
        <v>107</v>
      </c>
      <c r="BH717">
        <v>1974</v>
      </c>
      <c r="BI717" t="s">
        <v>108</v>
      </c>
      <c r="BJ717">
        <v>2</v>
      </c>
      <c r="BK717">
        <v>478</v>
      </c>
      <c r="BL717" t="s">
        <v>97</v>
      </c>
      <c r="BM717" t="s">
        <v>97</v>
      </c>
      <c r="BN717" t="s">
        <v>104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V717" t="s">
        <v>133</v>
      </c>
      <c r="BX717">
        <v>0</v>
      </c>
      <c r="BY717">
        <v>8</v>
      </c>
      <c r="BZ717">
        <v>2009</v>
      </c>
      <c r="CA717" t="s">
        <v>109</v>
      </c>
      <c r="CB717" t="s">
        <v>110</v>
      </c>
      <c r="CC717">
        <v>165000</v>
      </c>
    </row>
    <row r="718" spans="1:81" x14ac:dyDescent="0.3">
      <c r="A718">
        <v>717</v>
      </c>
      <c r="B718">
        <v>70</v>
      </c>
      <c r="C718" t="s">
        <v>141</v>
      </c>
      <c r="D718">
        <v>60</v>
      </c>
      <c r="E718">
        <v>10800</v>
      </c>
      <c r="F718" t="s">
        <v>82</v>
      </c>
      <c r="G718" t="s">
        <v>173</v>
      </c>
      <c r="H718" t="s">
        <v>83</v>
      </c>
      <c r="I718" t="s">
        <v>174</v>
      </c>
      <c r="J718" t="s">
        <v>85</v>
      </c>
      <c r="K718" t="s">
        <v>86</v>
      </c>
      <c r="L718" t="s">
        <v>87</v>
      </c>
      <c r="M718" t="s">
        <v>142</v>
      </c>
      <c r="N718" t="s">
        <v>89</v>
      </c>
      <c r="O718" t="s">
        <v>89</v>
      </c>
      <c r="P718" t="s">
        <v>90</v>
      </c>
      <c r="Q718" t="s">
        <v>91</v>
      </c>
      <c r="R718">
        <v>7</v>
      </c>
      <c r="S718">
        <v>8</v>
      </c>
      <c r="T718">
        <v>1890</v>
      </c>
      <c r="U718">
        <v>1998</v>
      </c>
      <c r="V718" t="s">
        <v>92</v>
      </c>
      <c r="W718" t="s">
        <v>93</v>
      </c>
      <c r="X718" t="s">
        <v>123</v>
      </c>
      <c r="Y718" t="s">
        <v>94</v>
      </c>
      <c r="Z718" t="s">
        <v>116</v>
      </c>
      <c r="AA718">
        <v>0</v>
      </c>
      <c r="AB718" t="s">
        <v>97</v>
      </c>
      <c r="AC718" t="s">
        <v>96</v>
      </c>
      <c r="AD718" t="s">
        <v>125</v>
      </c>
      <c r="AE718" t="s">
        <v>97</v>
      </c>
      <c r="AF718" t="s">
        <v>97</v>
      </c>
      <c r="AG718" t="s">
        <v>99</v>
      </c>
      <c r="AH718" t="s">
        <v>101</v>
      </c>
      <c r="AI718">
        <v>0</v>
      </c>
      <c r="AJ718" t="s">
        <v>101</v>
      </c>
      <c r="AK718">
        <v>0</v>
      </c>
      <c r="AL718">
        <v>718</v>
      </c>
      <c r="AM718">
        <v>718</v>
      </c>
      <c r="AN718" t="s">
        <v>102</v>
      </c>
      <c r="AO718" t="s">
        <v>103</v>
      </c>
      <c r="AP718" t="s">
        <v>104</v>
      </c>
      <c r="AQ718" t="s">
        <v>105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97</v>
      </c>
      <c r="BC718">
        <v>8</v>
      </c>
      <c r="BD718" t="s">
        <v>106</v>
      </c>
      <c r="BE718">
        <v>0</v>
      </c>
      <c r="BG718" t="s">
        <v>126</v>
      </c>
      <c r="BH718">
        <v>1996</v>
      </c>
      <c r="BI718" t="s">
        <v>101</v>
      </c>
      <c r="BJ718">
        <v>2</v>
      </c>
      <c r="BK718">
        <v>704</v>
      </c>
      <c r="BL718" t="s">
        <v>97</v>
      </c>
      <c r="BM718" t="s">
        <v>97</v>
      </c>
      <c r="BN718" t="s">
        <v>189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X718">
        <v>0</v>
      </c>
      <c r="BY718">
        <v>7</v>
      </c>
      <c r="BZ718">
        <v>2007</v>
      </c>
      <c r="CA718" t="s">
        <v>109</v>
      </c>
      <c r="CB718" t="s">
        <v>110</v>
      </c>
      <c r="CC718">
        <v>159500</v>
      </c>
    </row>
    <row r="719" spans="1:81" x14ac:dyDescent="0.3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H719" t="s">
        <v>83</v>
      </c>
      <c r="I719" t="s">
        <v>84</v>
      </c>
      <c r="J719" t="s">
        <v>85</v>
      </c>
      <c r="K719" t="s">
        <v>86</v>
      </c>
      <c r="L719" t="s">
        <v>87</v>
      </c>
      <c r="M719" t="s">
        <v>137</v>
      </c>
      <c r="N719" t="s">
        <v>89</v>
      </c>
      <c r="O719" t="s">
        <v>89</v>
      </c>
      <c r="P719" t="s">
        <v>90</v>
      </c>
      <c r="Q719" t="s">
        <v>114</v>
      </c>
      <c r="R719">
        <v>5</v>
      </c>
      <c r="S719">
        <v>6</v>
      </c>
      <c r="T719">
        <v>1973</v>
      </c>
      <c r="U719">
        <v>2000</v>
      </c>
      <c r="V719" t="s">
        <v>92</v>
      </c>
      <c r="W719" t="s">
        <v>93</v>
      </c>
      <c r="X719" t="s">
        <v>139</v>
      </c>
      <c r="Y719" t="s">
        <v>139</v>
      </c>
      <c r="Z719" t="s">
        <v>116</v>
      </c>
      <c r="AA719">
        <v>0</v>
      </c>
      <c r="AB719" t="s">
        <v>97</v>
      </c>
      <c r="AC719" t="s">
        <v>97</v>
      </c>
      <c r="AD719" t="s">
        <v>117</v>
      </c>
      <c r="AE719" t="s">
        <v>96</v>
      </c>
      <c r="AF719" t="s">
        <v>97</v>
      </c>
      <c r="AG719" t="s">
        <v>99</v>
      </c>
      <c r="AH719" t="s">
        <v>140</v>
      </c>
      <c r="AI719">
        <v>1084</v>
      </c>
      <c r="AJ719" t="s">
        <v>101</v>
      </c>
      <c r="AK719">
        <v>0</v>
      </c>
      <c r="AL719">
        <v>92</v>
      </c>
      <c r="AM719">
        <v>1176</v>
      </c>
      <c r="AN719" t="s">
        <v>102</v>
      </c>
      <c r="AO719" t="s">
        <v>96</v>
      </c>
      <c r="AP719" t="s">
        <v>104</v>
      </c>
      <c r="AQ719" t="s">
        <v>105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96</v>
      </c>
      <c r="BC719">
        <v>5</v>
      </c>
      <c r="BD719" t="s">
        <v>106</v>
      </c>
      <c r="BE719">
        <v>1</v>
      </c>
      <c r="BF719" t="s">
        <v>146</v>
      </c>
      <c r="BG719" t="s">
        <v>107</v>
      </c>
      <c r="BH719">
        <v>1973</v>
      </c>
      <c r="BI719" t="s">
        <v>101</v>
      </c>
      <c r="BJ719">
        <v>2</v>
      </c>
      <c r="BK719">
        <v>439</v>
      </c>
      <c r="BL719" t="s">
        <v>97</v>
      </c>
      <c r="BM719" t="s">
        <v>97</v>
      </c>
      <c r="BN719" t="s">
        <v>104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V719" t="s">
        <v>133</v>
      </c>
      <c r="BX719">
        <v>0</v>
      </c>
      <c r="BY719">
        <v>11</v>
      </c>
      <c r="BZ719">
        <v>2008</v>
      </c>
      <c r="CA719" t="s">
        <v>109</v>
      </c>
      <c r="CB719" t="s">
        <v>110</v>
      </c>
      <c r="CC719">
        <v>157000</v>
      </c>
    </row>
    <row r="720" spans="1:81" x14ac:dyDescent="0.3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H720" t="s">
        <v>83</v>
      </c>
      <c r="I720" t="s">
        <v>84</v>
      </c>
      <c r="J720" t="s">
        <v>85</v>
      </c>
      <c r="K720" t="s">
        <v>86</v>
      </c>
      <c r="L720" t="s">
        <v>87</v>
      </c>
      <c r="M720" t="s">
        <v>128</v>
      </c>
      <c r="N720" t="s">
        <v>89</v>
      </c>
      <c r="O720" t="s">
        <v>89</v>
      </c>
      <c r="P720" t="s">
        <v>90</v>
      </c>
      <c r="Q720" t="s">
        <v>91</v>
      </c>
      <c r="R720">
        <v>7</v>
      </c>
      <c r="S720">
        <v>5</v>
      </c>
      <c r="T720">
        <v>1993</v>
      </c>
      <c r="U720">
        <v>1994</v>
      </c>
      <c r="V720" t="s">
        <v>151</v>
      </c>
      <c r="W720" t="s">
        <v>93</v>
      </c>
      <c r="X720" t="s">
        <v>123</v>
      </c>
      <c r="Y720" t="s">
        <v>233</v>
      </c>
      <c r="Z720" t="s">
        <v>95</v>
      </c>
      <c r="AA720">
        <v>651</v>
      </c>
      <c r="AB720" t="s">
        <v>96</v>
      </c>
      <c r="AC720" t="s">
        <v>97</v>
      </c>
      <c r="AD720" t="s">
        <v>98</v>
      </c>
      <c r="AE720" t="s">
        <v>96</v>
      </c>
      <c r="AF720" t="s">
        <v>97</v>
      </c>
      <c r="AG720" t="s">
        <v>96</v>
      </c>
      <c r="AH720" t="s">
        <v>100</v>
      </c>
      <c r="AI720">
        <v>1173</v>
      </c>
      <c r="AJ720" t="s">
        <v>101</v>
      </c>
      <c r="AK720">
        <v>0</v>
      </c>
      <c r="AL720">
        <v>138</v>
      </c>
      <c r="AM720">
        <v>1311</v>
      </c>
      <c r="AN720" t="s">
        <v>102</v>
      </c>
      <c r="AO720" t="s">
        <v>103</v>
      </c>
      <c r="AP720" t="s">
        <v>104</v>
      </c>
      <c r="AQ720" t="s">
        <v>105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96</v>
      </c>
      <c r="BC720">
        <v>9</v>
      </c>
      <c r="BD720" t="s">
        <v>106</v>
      </c>
      <c r="BE720">
        <v>1</v>
      </c>
      <c r="BF720" t="s">
        <v>97</v>
      </c>
      <c r="BG720" t="s">
        <v>107</v>
      </c>
      <c r="BH720">
        <v>1993</v>
      </c>
      <c r="BI720" t="s">
        <v>108</v>
      </c>
      <c r="BJ720">
        <v>3</v>
      </c>
      <c r="BK720">
        <v>983</v>
      </c>
      <c r="BL720" t="s">
        <v>97</v>
      </c>
      <c r="BM720" t="s">
        <v>97</v>
      </c>
      <c r="BN720" t="s">
        <v>104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X720">
        <v>0</v>
      </c>
      <c r="BY720">
        <v>8</v>
      </c>
      <c r="BZ720">
        <v>2008</v>
      </c>
      <c r="CA720" t="s">
        <v>109</v>
      </c>
      <c r="CB720" t="s">
        <v>110</v>
      </c>
      <c r="CC720">
        <v>341000</v>
      </c>
    </row>
    <row r="721" spans="1:81" x14ac:dyDescent="0.3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H721" t="s">
        <v>119</v>
      </c>
      <c r="I721" t="s">
        <v>84</v>
      </c>
      <c r="J721" t="s">
        <v>85</v>
      </c>
      <c r="K721" t="s">
        <v>86</v>
      </c>
      <c r="L721" t="s">
        <v>87</v>
      </c>
      <c r="M721" t="s">
        <v>88</v>
      </c>
      <c r="N721" t="s">
        <v>89</v>
      </c>
      <c r="O721" t="s">
        <v>89</v>
      </c>
      <c r="P721" t="s">
        <v>90</v>
      </c>
      <c r="Q721" t="s">
        <v>114</v>
      </c>
      <c r="R721">
        <v>5</v>
      </c>
      <c r="S721">
        <v>6</v>
      </c>
      <c r="T721">
        <v>1969</v>
      </c>
      <c r="U721">
        <v>1969</v>
      </c>
      <c r="V721" t="s">
        <v>92</v>
      </c>
      <c r="W721" t="s">
        <v>93</v>
      </c>
      <c r="X721" t="s">
        <v>139</v>
      </c>
      <c r="Y721" t="s">
        <v>160</v>
      </c>
      <c r="Z721" t="s">
        <v>116</v>
      </c>
      <c r="AA721">
        <v>0</v>
      </c>
      <c r="AB721" t="s">
        <v>97</v>
      </c>
      <c r="AC721" t="s">
        <v>97</v>
      </c>
      <c r="AD721" t="s">
        <v>117</v>
      </c>
      <c r="AE721" t="s">
        <v>96</v>
      </c>
      <c r="AF721" t="s">
        <v>97</v>
      </c>
      <c r="AG721" t="s">
        <v>96</v>
      </c>
      <c r="AH721" t="s">
        <v>118</v>
      </c>
      <c r="AI721">
        <v>523</v>
      </c>
      <c r="AJ721" t="s">
        <v>101</v>
      </c>
      <c r="AK721">
        <v>0</v>
      </c>
      <c r="AL721">
        <v>448</v>
      </c>
      <c r="AM721">
        <v>971</v>
      </c>
      <c r="AN721" t="s">
        <v>102</v>
      </c>
      <c r="AO721" t="s">
        <v>97</v>
      </c>
      <c r="AP721" t="s">
        <v>104</v>
      </c>
      <c r="AQ721" t="s">
        <v>105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97</v>
      </c>
      <c r="BC721">
        <v>5</v>
      </c>
      <c r="BD721" t="s">
        <v>106</v>
      </c>
      <c r="BE721">
        <v>1</v>
      </c>
      <c r="BF721" t="s">
        <v>211</v>
      </c>
      <c r="BG721" t="s">
        <v>107</v>
      </c>
      <c r="BH721">
        <v>1969</v>
      </c>
      <c r="BI721" t="s">
        <v>101</v>
      </c>
      <c r="BJ721">
        <v>1</v>
      </c>
      <c r="BK721">
        <v>300</v>
      </c>
      <c r="BL721" t="s">
        <v>97</v>
      </c>
      <c r="BM721" t="s">
        <v>97</v>
      </c>
      <c r="BN721" t="s">
        <v>104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X721">
        <v>0</v>
      </c>
      <c r="BY721">
        <v>5</v>
      </c>
      <c r="BZ721">
        <v>2006</v>
      </c>
      <c r="CA721" t="s">
        <v>109</v>
      </c>
      <c r="CB721" t="s">
        <v>110</v>
      </c>
      <c r="CC721">
        <v>128500</v>
      </c>
    </row>
    <row r="722" spans="1:81" x14ac:dyDescent="0.3">
      <c r="A722">
        <v>721</v>
      </c>
      <c r="B722">
        <v>120</v>
      </c>
      <c r="C722" t="s">
        <v>81</v>
      </c>
      <c r="E722">
        <v>6563</v>
      </c>
      <c r="F722" t="s">
        <v>82</v>
      </c>
      <c r="H722" t="s">
        <v>119</v>
      </c>
      <c r="I722" t="s">
        <v>194</v>
      </c>
      <c r="J722" t="s">
        <v>85</v>
      </c>
      <c r="K722" t="s">
        <v>165</v>
      </c>
      <c r="L722" t="s">
        <v>193</v>
      </c>
      <c r="M722" t="s">
        <v>199</v>
      </c>
      <c r="N722" t="s">
        <v>89</v>
      </c>
      <c r="O722" t="s">
        <v>89</v>
      </c>
      <c r="P722" t="s">
        <v>90</v>
      </c>
      <c r="Q722" t="s">
        <v>114</v>
      </c>
      <c r="R722">
        <v>8</v>
      </c>
      <c r="S722">
        <v>5</v>
      </c>
      <c r="T722">
        <v>1985</v>
      </c>
      <c r="U722">
        <v>1985</v>
      </c>
      <c r="V722" t="s">
        <v>92</v>
      </c>
      <c r="W722" t="s">
        <v>93</v>
      </c>
      <c r="X722" t="s">
        <v>139</v>
      </c>
      <c r="Y722" t="s">
        <v>139</v>
      </c>
      <c r="Z722" t="s">
        <v>116</v>
      </c>
      <c r="AA722">
        <v>0</v>
      </c>
      <c r="AB722" t="s">
        <v>96</v>
      </c>
      <c r="AC722" t="s">
        <v>97</v>
      </c>
      <c r="AD722" t="s">
        <v>98</v>
      </c>
      <c r="AE722" t="s">
        <v>96</v>
      </c>
      <c r="AF722" t="s">
        <v>97</v>
      </c>
      <c r="AG722" t="s">
        <v>96</v>
      </c>
      <c r="AH722" t="s">
        <v>100</v>
      </c>
      <c r="AI722">
        <v>1148</v>
      </c>
      <c r="AJ722" t="s">
        <v>101</v>
      </c>
      <c r="AK722">
        <v>0</v>
      </c>
      <c r="AL722">
        <v>594</v>
      </c>
      <c r="AM722">
        <v>1742</v>
      </c>
      <c r="AN722" t="s">
        <v>102</v>
      </c>
      <c r="AO722" t="s">
        <v>97</v>
      </c>
      <c r="AP722" t="s">
        <v>104</v>
      </c>
      <c r="AQ722" t="s">
        <v>105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96</v>
      </c>
      <c r="BC722">
        <v>5</v>
      </c>
      <c r="BD722" t="s">
        <v>106</v>
      </c>
      <c r="BE722">
        <v>1</v>
      </c>
      <c r="BF722" t="s">
        <v>97</v>
      </c>
      <c r="BG722" t="s">
        <v>107</v>
      </c>
      <c r="BH722">
        <v>1985</v>
      </c>
      <c r="BI722" t="s">
        <v>108</v>
      </c>
      <c r="BJ722">
        <v>2</v>
      </c>
      <c r="BK722">
        <v>564</v>
      </c>
      <c r="BL722" t="s">
        <v>97</v>
      </c>
      <c r="BM722" t="s">
        <v>97</v>
      </c>
      <c r="BN722" t="s">
        <v>104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X722">
        <v>0</v>
      </c>
      <c r="BY722">
        <v>12</v>
      </c>
      <c r="BZ722">
        <v>2006</v>
      </c>
      <c r="CA722" t="s">
        <v>109</v>
      </c>
      <c r="CB722" t="s">
        <v>110</v>
      </c>
      <c r="CC722">
        <v>275000</v>
      </c>
    </row>
    <row r="723" spans="1:81" x14ac:dyDescent="0.3">
      <c r="A723">
        <v>722</v>
      </c>
      <c r="B723">
        <v>120</v>
      </c>
      <c r="C723" t="s">
        <v>141</v>
      </c>
      <c r="E723">
        <v>4426</v>
      </c>
      <c r="F723" t="s">
        <v>82</v>
      </c>
      <c r="H723" t="s">
        <v>83</v>
      </c>
      <c r="I723" t="s">
        <v>84</v>
      </c>
      <c r="J723" t="s">
        <v>85</v>
      </c>
      <c r="K723" t="s">
        <v>86</v>
      </c>
      <c r="L723" t="s">
        <v>87</v>
      </c>
      <c r="M723" t="s">
        <v>88</v>
      </c>
      <c r="N723" t="s">
        <v>89</v>
      </c>
      <c r="O723" t="s">
        <v>89</v>
      </c>
      <c r="P723" t="s">
        <v>178</v>
      </c>
      <c r="Q723" t="s">
        <v>114</v>
      </c>
      <c r="R723">
        <v>6</v>
      </c>
      <c r="S723">
        <v>5</v>
      </c>
      <c r="T723">
        <v>2004</v>
      </c>
      <c r="U723">
        <v>2004</v>
      </c>
      <c r="V723" t="s">
        <v>92</v>
      </c>
      <c r="W723" t="s">
        <v>93</v>
      </c>
      <c r="X723" t="s">
        <v>94</v>
      </c>
      <c r="Y723" t="s">
        <v>94</v>
      </c>
      <c r="Z723" t="s">
        <v>95</v>
      </c>
      <c r="AA723">
        <v>169</v>
      </c>
      <c r="AB723" t="s">
        <v>96</v>
      </c>
      <c r="AC723" t="s">
        <v>97</v>
      </c>
      <c r="AD723" t="s">
        <v>98</v>
      </c>
      <c r="AE723" t="s">
        <v>96</v>
      </c>
      <c r="AF723" t="s">
        <v>97</v>
      </c>
      <c r="AG723" t="s">
        <v>129</v>
      </c>
      <c r="AH723" t="s">
        <v>100</v>
      </c>
      <c r="AI723">
        <v>662</v>
      </c>
      <c r="AJ723" t="s">
        <v>101</v>
      </c>
      <c r="AK723">
        <v>0</v>
      </c>
      <c r="AL723">
        <v>186</v>
      </c>
      <c r="AM723">
        <v>848</v>
      </c>
      <c r="AN723" t="s">
        <v>102</v>
      </c>
      <c r="AO723" t="s">
        <v>103</v>
      </c>
      <c r="AP723" t="s">
        <v>104</v>
      </c>
      <c r="AQ723" t="s">
        <v>105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96</v>
      </c>
      <c r="BC723">
        <v>3</v>
      </c>
      <c r="BD723" t="s">
        <v>106</v>
      </c>
      <c r="BE723">
        <v>0</v>
      </c>
      <c r="BG723" t="s">
        <v>107</v>
      </c>
      <c r="BH723">
        <v>2004</v>
      </c>
      <c r="BI723" t="s">
        <v>108</v>
      </c>
      <c r="BJ723">
        <v>2</v>
      </c>
      <c r="BK723">
        <v>420</v>
      </c>
      <c r="BL723" t="s">
        <v>97</v>
      </c>
      <c r="BM723" t="s">
        <v>97</v>
      </c>
      <c r="BN723" t="s">
        <v>104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X723">
        <v>0</v>
      </c>
      <c r="BY723">
        <v>5</v>
      </c>
      <c r="BZ723">
        <v>2010</v>
      </c>
      <c r="CA723" t="s">
        <v>109</v>
      </c>
      <c r="CB723" t="s">
        <v>110</v>
      </c>
      <c r="CC723">
        <v>143000</v>
      </c>
    </row>
    <row r="724" spans="1:81" x14ac:dyDescent="0.3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H724" t="s">
        <v>83</v>
      </c>
      <c r="I724" t="s">
        <v>84</v>
      </c>
      <c r="J724" t="s">
        <v>85</v>
      </c>
      <c r="K724" t="s">
        <v>86</v>
      </c>
      <c r="L724" t="s">
        <v>87</v>
      </c>
      <c r="M724" t="s">
        <v>270</v>
      </c>
      <c r="N724" t="s">
        <v>89</v>
      </c>
      <c r="O724" t="s">
        <v>89</v>
      </c>
      <c r="P724" t="s">
        <v>90</v>
      </c>
      <c r="Q724" t="s">
        <v>114</v>
      </c>
      <c r="R724">
        <v>4</v>
      </c>
      <c r="S724">
        <v>7</v>
      </c>
      <c r="T724">
        <v>1970</v>
      </c>
      <c r="U724">
        <v>1970</v>
      </c>
      <c r="V724" t="s">
        <v>92</v>
      </c>
      <c r="W724" t="s">
        <v>93</v>
      </c>
      <c r="X724" t="s">
        <v>115</v>
      </c>
      <c r="Y724" t="s">
        <v>115</v>
      </c>
      <c r="Z724" t="s">
        <v>116</v>
      </c>
      <c r="AA724">
        <v>0</v>
      </c>
      <c r="AB724" t="s">
        <v>97</v>
      </c>
      <c r="AC724" t="s">
        <v>96</v>
      </c>
      <c r="AD724" t="s">
        <v>117</v>
      </c>
      <c r="AE724" t="s">
        <v>97</v>
      </c>
      <c r="AF724" t="s">
        <v>97</v>
      </c>
      <c r="AG724" t="s">
        <v>99</v>
      </c>
      <c r="AH724" t="s">
        <v>118</v>
      </c>
      <c r="AI724">
        <v>191</v>
      </c>
      <c r="AJ724" t="s">
        <v>101</v>
      </c>
      <c r="AK724">
        <v>0</v>
      </c>
      <c r="AL724">
        <v>673</v>
      </c>
      <c r="AM724">
        <v>864</v>
      </c>
      <c r="AN724" t="s">
        <v>102</v>
      </c>
      <c r="AO724" t="s">
        <v>103</v>
      </c>
      <c r="AP724" t="s">
        <v>104</v>
      </c>
      <c r="AQ724" t="s">
        <v>105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97</v>
      </c>
      <c r="BC724">
        <v>5</v>
      </c>
      <c r="BD724" t="s">
        <v>106</v>
      </c>
      <c r="BE724">
        <v>0</v>
      </c>
      <c r="BG724" t="s">
        <v>126</v>
      </c>
      <c r="BH724">
        <v>1994</v>
      </c>
      <c r="BI724" t="s">
        <v>101</v>
      </c>
      <c r="BJ724">
        <v>2</v>
      </c>
      <c r="BK724">
        <v>463</v>
      </c>
      <c r="BL724" t="s">
        <v>97</v>
      </c>
      <c r="BM724" t="s">
        <v>97</v>
      </c>
      <c r="BN724" t="s">
        <v>104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X724">
        <v>0</v>
      </c>
      <c r="BY724">
        <v>7</v>
      </c>
      <c r="BZ724">
        <v>2009</v>
      </c>
      <c r="CA724" t="s">
        <v>109</v>
      </c>
      <c r="CB724" t="s">
        <v>110</v>
      </c>
      <c r="CC724">
        <v>124500</v>
      </c>
    </row>
    <row r="725" spans="1:81" x14ac:dyDescent="0.3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H725" t="s">
        <v>83</v>
      </c>
      <c r="I725" t="s">
        <v>84</v>
      </c>
      <c r="J725" t="s">
        <v>85</v>
      </c>
      <c r="K725" t="s">
        <v>86</v>
      </c>
      <c r="L725" t="s">
        <v>87</v>
      </c>
      <c r="M725" t="s">
        <v>184</v>
      </c>
      <c r="N725" t="s">
        <v>89</v>
      </c>
      <c r="O725" t="s">
        <v>89</v>
      </c>
      <c r="P725" t="s">
        <v>90</v>
      </c>
      <c r="Q725" t="s">
        <v>131</v>
      </c>
      <c r="R725">
        <v>4</v>
      </c>
      <c r="S725">
        <v>6</v>
      </c>
      <c r="T725">
        <v>1954</v>
      </c>
      <c r="U725">
        <v>1972</v>
      </c>
      <c r="V725" t="s">
        <v>92</v>
      </c>
      <c r="W725" t="s">
        <v>93</v>
      </c>
      <c r="X725" t="s">
        <v>115</v>
      </c>
      <c r="Y725" t="s">
        <v>115</v>
      </c>
      <c r="Z725" t="s">
        <v>116</v>
      </c>
      <c r="AA725">
        <v>0</v>
      </c>
      <c r="AB725" t="s">
        <v>97</v>
      </c>
      <c r="AC725" t="s">
        <v>97</v>
      </c>
      <c r="AD725" t="s">
        <v>98</v>
      </c>
      <c r="AE725" t="s">
        <v>97</v>
      </c>
      <c r="AF725" t="s">
        <v>97</v>
      </c>
      <c r="AG725" t="s">
        <v>99</v>
      </c>
      <c r="AH725" t="s">
        <v>101</v>
      </c>
      <c r="AI725">
        <v>0</v>
      </c>
      <c r="AJ725" t="s">
        <v>101</v>
      </c>
      <c r="AK725">
        <v>0</v>
      </c>
      <c r="AL725">
        <v>941</v>
      </c>
      <c r="AM725">
        <v>941</v>
      </c>
      <c r="AN725" t="s">
        <v>102</v>
      </c>
      <c r="AO725" t="s">
        <v>103</v>
      </c>
      <c r="AP725" t="s">
        <v>104</v>
      </c>
      <c r="AQ725" t="s">
        <v>105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97</v>
      </c>
      <c r="BC725">
        <v>7</v>
      </c>
      <c r="BD725" t="s">
        <v>106</v>
      </c>
      <c r="BE725">
        <v>0</v>
      </c>
      <c r="BG725" t="s">
        <v>126</v>
      </c>
      <c r="BH725">
        <v>1958</v>
      </c>
      <c r="BI725" t="s">
        <v>101</v>
      </c>
      <c r="BJ725">
        <v>1</v>
      </c>
      <c r="BK725">
        <v>548</v>
      </c>
      <c r="BL725" t="s">
        <v>97</v>
      </c>
      <c r="BM725" t="s">
        <v>97</v>
      </c>
      <c r="BN725" t="s">
        <v>104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X725">
        <v>0</v>
      </c>
      <c r="BY725">
        <v>5</v>
      </c>
      <c r="BZ725">
        <v>2008</v>
      </c>
      <c r="CA725" t="s">
        <v>109</v>
      </c>
      <c r="CB725" t="s">
        <v>110</v>
      </c>
      <c r="CC725">
        <v>135000</v>
      </c>
    </row>
    <row r="726" spans="1:81" x14ac:dyDescent="0.3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H726" t="s">
        <v>119</v>
      </c>
      <c r="I726" t="s">
        <v>84</v>
      </c>
      <c r="J726" t="s">
        <v>85</v>
      </c>
      <c r="K726" t="s">
        <v>86</v>
      </c>
      <c r="L726" t="s">
        <v>87</v>
      </c>
      <c r="M726" t="s">
        <v>184</v>
      </c>
      <c r="N726" t="s">
        <v>89</v>
      </c>
      <c r="O726" t="s">
        <v>89</v>
      </c>
      <c r="P726" t="s">
        <v>90</v>
      </c>
      <c r="Q726" t="s">
        <v>114</v>
      </c>
      <c r="R726">
        <v>9</v>
      </c>
      <c r="S726">
        <v>5</v>
      </c>
      <c r="T726">
        <v>2007</v>
      </c>
      <c r="U726">
        <v>2008</v>
      </c>
      <c r="V726" t="s">
        <v>151</v>
      </c>
      <c r="W726" t="s">
        <v>93</v>
      </c>
      <c r="X726" t="s">
        <v>179</v>
      </c>
      <c r="Y726" t="s">
        <v>180</v>
      </c>
      <c r="Z726" t="s">
        <v>136</v>
      </c>
      <c r="AA726">
        <v>340</v>
      </c>
      <c r="AB726" t="s">
        <v>103</v>
      </c>
      <c r="AC726" t="s">
        <v>97</v>
      </c>
      <c r="AD726" t="s">
        <v>98</v>
      </c>
      <c r="AE726" t="s">
        <v>103</v>
      </c>
      <c r="AF726" t="s">
        <v>97</v>
      </c>
      <c r="AG726" t="s">
        <v>99</v>
      </c>
      <c r="AH726" t="s">
        <v>100</v>
      </c>
      <c r="AI726">
        <v>1234</v>
      </c>
      <c r="AJ726" t="s">
        <v>101</v>
      </c>
      <c r="AK726">
        <v>0</v>
      </c>
      <c r="AL726">
        <v>464</v>
      </c>
      <c r="AM726">
        <v>1698</v>
      </c>
      <c r="AN726" t="s">
        <v>102</v>
      </c>
      <c r="AO726" t="s">
        <v>103</v>
      </c>
      <c r="AP726" t="s">
        <v>104</v>
      </c>
      <c r="AQ726" t="s">
        <v>105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103</v>
      </c>
      <c r="BC726">
        <v>8</v>
      </c>
      <c r="BD726" t="s">
        <v>106</v>
      </c>
      <c r="BE726">
        <v>1</v>
      </c>
      <c r="BF726" t="s">
        <v>96</v>
      </c>
      <c r="BG726" t="s">
        <v>107</v>
      </c>
      <c r="BH726">
        <v>2007</v>
      </c>
      <c r="BI726" t="s">
        <v>156</v>
      </c>
      <c r="BJ726">
        <v>3</v>
      </c>
      <c r="BK726">
        <v>768</v>
      </c>
      <c r="BL726" t="s">
        <v>97</v>
      </c>
      <c r="BM726" t="s">
        <v>97</v>
      </c>
      <c r="BN726" t="s">
        <v>104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X726">
        <v>0</v>
      </c>
      <c r="BY726">
        <v>2</v>
      </c>
      <c r="BZ726">
        <v>2009</v>
      </c>
      <c r="CA726" t="s">
        <v>109</v>
      </c>
      <c r="CB726" t="s">
        <v>110</v>
      </c>
      <c r="CC726">
        <v>320000</v>
      </c>
    </row>
    <row r="727" spans="1:81" x14ac:dyDescent="0.3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H727" t="s">
        <v>83</v>
      </c>
      <c r="I727" t="s">
        <v>84</v>
      </c>
      <c r="J727" t="s">
        <v>85</v>
      </c>
      <c r="K727" t="s">
        <v>86</v>
      </c>
      <c r="L727" t="s">
        <v>87</v>
      </c>
      <c r="M727" t="s">
        <v>270</v>
      </c>
      <c r="N727" t="s">
        <v>89</v>
      </c>
      <c r="O727" t="s">
        <v>89</v>
      </c>
      <c r="P727" t="s">
        <v>90</v>
      </c>
      <c r="Q727" t="s">
        <v>114</v>
      </c>
      <c r="R727">
        <v>4</v>
      </c>
      <c r="S727">
        <v>6</v>
      </c>
      <c r="T727">
        <v>1970</v>
      </c>
      <c r="U727">
        <v>1970</v>
      </c>
      <c r="V727" t="s">
        <v>92</v>
      </c>
      <c r="W727" t="s">
        <v>93</v>
      </c>
      <c r="X727" t="s">
        <v>139</v>
      </c>
      <c r="Y727" t="s">
        <v>160</v>
      </c>
      <c r="Z727" t="s">
        <v>116</v>
      </c>
      <c r="AA727">
        <v>0</v>
      </c>
      <c r="AB727" t="s">
        <v>97</v>
      </c>
      <c r="AC727" t="s">
        <v>97</v>
      </c>
      <c r="AD727" t="s">
        <v>117</v>
      </c>
      <c r="AE727" t="s">
        <v>97</v>
      </c>
      <c r="AF727" t="s">
        <v>97</v>
      </c>
      <c r="AG727" t="s">
        <v>99</v>
      </c>
      <c r="AH727" t="s">
        <v>118</v>
      </c>
      <c r="AI727">
        <v>375</v>
      </c>
      <c r="AJ727" t="s">
        <v>140</v>
      </c>
      <c r="AK727">
        <v>239</v>
      </c>
      <c r="AL727">
        <v>250</v>
      </c>
      <c r="AM727">
        <v>864</v>
      </c>
      <c r="AN727" t="s">
        <v>102</v>
      </c>
      <c r="AO727" t="s">
        <v>97</v>
      </c>
      <c r="AP727" t="s">
        <v>104</v>
      </c>
      <c r="AQ727" t="s">
        <v>105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96</v>
      </c>
      <c r="BC727">
        <v>5</v>
      </c>
      <c r="BD727" t="s">
        <v>106</v>
      </c>
      <c r="BE727">
        <v>0</v>
      </c>
      <c r="BG727" t="s">
        <v>126</v>
      </c>
      <c r="BH727">
        <v>1989</v>
      </c>
      <c r="BI727" t="s">
        <v>101</v>
      </c>
      <c r="BJ727">
        <v>2</v>
      </c>
      <c r="BK727">
        <v>660</v>
      </c>
      <c r="BL727" t="s">
        <v>97</v>
      </c>
      <c r="BM727" t="s">
        <v>97</v>
      </c>
      <c r="BN727" t="s">
        <v>104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W727" t="s">
        <v>134</v>
      </c>
      <c r="BX727">
        <v>500</v>
      </c>
      <c r="BY727">
        <v>11</v>
      </c>
      <c r="BZ727">
        <v>2009</v>
      </c>
      <c r="CA727" t="s">
        <v>109</v>
      </c>
      <c r="CB727" t="s">
        <v>110</v>
      </c>
      <c r="CC727">
        <v>120500</v>
      </c>
    </row>
    <row r="728" spans="1:81" x14ac:dyDescent="0.3">
      <c r="A728">
        <v>727</v>
      </c>
      <c r="B728">
        <v>20</v>
      </c>
      <c r="C728" t="s">
        <v>81</v>
      </c>
      <c r="E728">
        <v>21695</v>
      </c>
      <c r="F728" t="s">
        <v>82</v>
      </c>
      <c r="H728" t="s">
        <v>119</v>
      </c>
      <c r="I728" t="s">
        <v>84</v>
      </c>
      <c r="J728" t="s">
        <v>85</v>
      </c>
      <c r="K728" t="s">
        <v>121</v>
      </c>
      <c r="L728" t="s">
        <v>87</v>
      </c>
      <c r="M728" t="s">
        <v>122</v>
      </c>
      <c r="N728" t="s">
        <v>89</v>
      </c>
      <c r="O728" t="s">
        <v>89</v>
      </c>
      <c r="P728" t="s">
        <v>90</v>
      </c>
      <c r="Q728" t="s">
        <v>114</v>
      </c>
      <c r="R728">
        <v>6</v>
      </c>
      <c r="S728">
        <v>9</v>
      </c>
      <c r="T728">
        <v>1988</v>
      </c>
      <c r="U728">
        <v>2007</v>
      </c>
      <c r="V728" t="s">
        <v>151</v>
      </c>
      <c r="W728" t="s">
        <v>93</v>
      </c>
      <c r="X728" t="s">
        <v>123</v>
      </c>
      <c r="Y728" t="s">
        <v>160</v>
      </c>
      <c r="Z728" t="s">
        <v>95</v>
      </c>
      <c r="AA728">
        <v>260</v>
      </c>
      <c r="AB728" t="s">
        <v>96</v>
      </c>
      <c r="AC728" t="s">
        <v>96</v>
      </c>
      <c r="AD728" t="s">
        <v>117</v>
      </c>
      <c r="AE728" t="s">
        <v>96</v>
      </c>
      <c r="AF728" t="s">
        <v>97</v>
      </c>
      <c r="AG728" t="s">
        <v>99</v>
      </c>
      <c r="AH728" t="s">
        <v>100</v>
      </c>
      <c r="AI728">
        <v>808</v>
      </c>
      <c r="AJ728" t="s">
        <v>101</v>
      </c>
      <c r="AK728">
        <v>0</v>
      </c>
      <c r="AL728">
        <v>72</v>
      </c>
      <c r="AM728">
        <v>880</v>
      </c>
      <c r="AN728" t="s">
        <v>102</v>
      </c>
      <c r="AO728" t="s">
        <v>103</v>
      </c>
      <c r="AP728" t="s">
        <v>104</v>
      </c>
      <c r="AQ728" t="s">
        <v>105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96</v>
      </c>
      <c r="BC728">
        <v>5</v>
      </c>
      <c r="BD728" t="s">
        <v>106</v>
      </c>
      <c r="BE728">
        <v>1</v>
      </c>
      <c r="BF728" t="s">
        <v>96</v>
      </c>
      <c r="BG728" t="s">
        <v>107</v>
      </c>
      <c r="BH728">
        <v>1988</v>
      </c>
      <c r="BI728" t="s">
        <v>156</v>
      </c>
      <c r="BJ728">
        <v>2</v>
      </c>
      <c r="BK728">
        <v>540</v>
      </c>
      <c r="BL728" t="s">
        <v>97</v>
      </c>
      <c r="BM728" t="s">
        <v>97</v>
      </c>
      <c r="BN728" t="s">
        <v>104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X728">
        <v>0</v>
      </c>
      <c r="BY728">
        <v>12</v>
      </c>
      <c r="BZ728">
        <v>2009</v>
      </c>
      <c r="CA728" t="s">
        <v>109</v>
      </c>
      <c r="CB728" t="s">
        <v>110</v>
      </c>
      <c r="CC728">
        <v>222000</v>
      </c>
    </row>
    <row r="729" spans="1:81" x14ac:dyDescent="0.3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H729" t="s">
        <v>83</v>
      </c>
      <c r="I729" t="s">
        <v>84</v>
      </c>
      <c r="J729" t="s">
        <v>85</v>
      </c>
      <c r="K729" t="s">
        <v>86</v>
      </c>
      <c r="L729" t="s">
        <v>87</v>
      </c>
      <c r="M729" t="s">
        <v>88</v>
      </c>
      <c r="N729" t="s">
        <v>89</v>
      </c>
      <c r="O729" t="s">
        <v>89</v>
      </c>
      <c r="P729" t="s">
        <v>90</v>
      </c>
      <c r="Q729" t="s">
        <v>114</v>
      </c>
      <c r="R729">
        <v>7</v>
      </c>
      <c r="S729">
        <v>5</v>
      </c>
      <c r="T729">
        <v>2007</v>
      </c>
      <c r="U729">
        <v>2007</v>
      </c>
      <c r="V729" t="s">
        <v>92</v>
      </c>
      <c r="W729" t="s">
        <v>93</v>
      </c>
      <c r="X729" t="s">
        <v>94</v>
      </c>
      <c r="Y729" t="s">
        <v>94</v>
      </c>
      <c r="Z729" t="s">
        <v>136</v>
      </c>
      <c r="AA729">
        <v>82</v>
      </c>
      <c r="AB729" t="s">
        <v>96</v>
      </c>
      <c r="AC729" t="s">
        <v>97</v>
      </c>
      <c r="AD729" t="s">
        <v>98</v>
      </c>
      <c r="AE729" t="s">
        <v>96</v>
      </c>
      <c r="AF729" t="s">
        <v>97</v>
      </c>
      <c r="AG729" t="s">
        <v>129</v>
      </c>
      <c r="AH729" t="s">
        <v>100</v>
      </c>
      <c r="AI729">
        <v>724</v>
      </c>
      <c r="AJ729" t="s">
        <v>101</v>
      </c>
      <c r="AK729">
        <v>0</v>
      </c>
      <c r="AL729">
        <v>508</v>
      </c>
      <c r="AM729">
        <v>1232</v>
      </c>
      <c r="AN729" t="s">
        <v>102</v>
      </c>
      <c r="AO729" t="s">
        <v>103</v>
      </c>
      <c r="AP729" t="s">
        <v>104</v>
      </c>
      <c r="AQ729" t="s">
        <v>105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96</v>
      </c>
      <c r="BC729">
        <v>6</v>
      </c>
      <c r="BD729" t="s">
        <v>106</v>
      </c>
      <c r="BE729">
        <v>0</v>
      </c>
      <c r="BG729" t="s">
        <v>107</v>
      </c>
      <c r="BH729">
        <v>2007</v>
      </c>
      <c r="BI729" t="s">
        <v>108</v>
      </c>
      <c r="BJ729">
        <v>2</v>
      </c>
      <c r="BK729">
        <v>632</v>
      </c>
      <c r="BL729" t="s">
        <v>97</v>
      </c>
      <c r="BM729" t="s">
        <v>97</v>
      </c>
      <c r="BN729" t="s">
        <v>104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X729">
        <v>0</v>
      </c>
      <c r="BY729">
        <v>2</v>
      </c>
      <c r="BZ729">
        <v>2009</v>
      </c>
      <c r="CA729" t="s">
        <v>109</v>
      </c>
      <c r="CB729" t="s">
        <v>110</v>
      </c>
      <c r="CC729">
        <v>194500</v>
      </c>
    </row>
    <row r="730" spans="1:81" x14ac:dyDescent="0.3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H730" t="s">
        <v>83</v>
      </c>
      <c r="I730" t="s">
        <v>84</v>
      </c>
      <c r="J730" t="s">
        <v>85</v>
      </c>
      <c r="K730" t="s">
        <v>121</v>
      </c>
      <c r="L730" t="s">
        <v>87</v>
      </c>
      <c r="M730" t="s">
        <v>270</v>
      </c>
      <c r="N730" t="s">
        <v>89</v>
      </c>
      <c r="O730" t="s">
        <v>89</v>
      </c>
      <c r="P730" t="s">
        <v>166</v>
      </c>
      <c r="Q730" t="s">
        <v>114</v>
      </c>
      <c r="R730">
        <v>5</v>
      </c>
      <c r="S730">
        <v>5</v>
      </c>
      <c r="T730">
        <v>1958</v>
      </c>
      <c r="U730">
        <v>1958</v>
      </c>
      <c r="V730" t="s">
        <v>92</v>
      </c>
      <c r="W730" t="s">
        <v>93</v>
      </c>
      <c r="X730" t="s">
        <v>94</v>
      </c>
      <c r="Y730" t="s">
        <v>94</v>
      </c>
      <c r="Z730" t="s">
        <v>95</v>
      </c>
      <c r="AA730">
        <v>95</v>
      </c>
      <c r="AB730" t="s">
        <v>97</v>
      </c>
      <c r="AC730" t="s">
        <v>97</v>
      </c>
      <c r="AD730" t="s">
        <v>117</v>
      </c>
      <c r="AE730" t="s">
        <v>97</v>
      </c>
      <c r="AF730" t="s">
        <v>97</v>
      </c>
      <c r="AG730" t="s">
        <v>99</v>
      </c>
      <c r="AH730" t="s">
        <v>101</v>
      </c>
      <c r="AI730">
        <v>0</v>
      </c>
      <c r="AJ730" t="s">
        <v>101</v>
      </c>
      <c r="AK730">
        <v>0</v>
      </c>
      <c r="AL730">
        <v>1584</v>
      </c>
      <c r="AM730">
        <v>1584</v>
      </c>
      <c r="AN730" t="s">
        <v>102</v>
      </c>
      <c r="AO730" t="s">
        <v>97</v>
      </c>
      <c r="AP730" t="s">
        <v>104</v>
      </c>
      <c r="AQ730" t="s">
        <v>105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97</v>
      </c>
      <c r="BC730">
        <v>9</v>
      </c>
      <c r="BD730" t="s">
        <v>106</v>
      </c>
      <c r="BE730">
        <v>0</v>
      </c>
      <c r="BG730" t="s">
        <v>126</v>
      </c>
      <c r="BH730">
        <v>1968</v>
      </c>
      <c r="BI730" t="s">
        <v>101</v>
      </c>
      <c r="BJ730">
        <v>3</v>
      </c>
      <c r="BK730">
        <v>888</v>
      </c>
      <c r="BL730" t="s">
        <v>97</v>
      </c>
      <c r="BM730" t="s">
        <v>97</v>
      </c>
      <c r="BN730" t="s">
        <v>104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X730">
        <v>0</v>
      </c>
      <c r="BY730">
        <v>7</v>
      </c>
      <c r="BZ730">
        <v>2009</v>
      </c>
      <c r="CA730" t="s">
        <v>172</v>
      </c>
      <c r="CB730" t="s">
        <v>127</v>
      </c>
      <c r="CC730">
        <v>110000</v>
      </c>
    </row>
    <row r="731" spans="1:81" x14ac:dyDescent="0.3">
      <c r="A731">
        <v>730</v>
      </c>
      <c r="B731">
        <v>30</v>
      </c>
      <c r="C731" t="s">
        <v>141</v>
      </c>
      <c r="D731">
        <v>52</v>
      </c>
      <c r="E731">
        <v>6240</v>
      </c>
      <c r="F731" t="s">
        <v>82</v>
      </c>
      <c r="G731" t="s">
        <v>173</v>
      </c>
      <c r="H731" t="s">
        <v>83</v>
      </c>
      <c r="I731" t="s">
        <v>84</v>
      </c>
      <c r="J731" t="s">
        <v>85</v>
      </c>
      <c r="K731" t="s">
        <v>86</v>
      </c>
      <c r="L731" t="s">
        <v>87</v>
      </c>
      <c r="M731" t="s">
        <v>175</v>
      </c>
      <c r="N731" t="s">
        <v>89</v>
      </c>
      <c r="O731" t="s">
        <v>89</v>
      </c>
      <c r="P731" t="s">
        <v>90</v>
      </c>
      <c r="Q731" t="s">
        <v>131</v>
      </c>
      <c r="R731">
        <v>4</v>
      </c>
      <c r="S731">
        <v>5</v>
      </c>
      <c r="T731">
        <v>1925</v>
      </c>
      <c r="U731">
        <v>1950</v>
      </c>
      <c r="V731" t="s">
        <v>92</v>
      </c>
      <c r="W731" t="s">
        <v>93</v>
      </c>
      <c r="X731" t="s">
        <v>115</v>
      </c>
      <c r="Y731" t="s">
        <v>115</v>
      </c>
      <c r="Z731" t="s">
        <v>116</v>
      </c>
      <c r="AA731">
        <v>0</v>
      </c>
      <c r="AB731" t="s">
        <v>97</v>
      </c>
      <c r="AC731" t="s">
        <v>97</v>
      </c>
      <c r="AD731" t="s">
        <v>117</v>
      </c>
      <c r="AE731" t="s">
        <v>97</v>
      </c>
      <c r="AF731" t="s">
        <v>97</v>
      </c>
      <c r="AG731" t="s">
        <v>99</v>
      </c>
      <c r="AH731" t="s">
        <v>140</v>
      </c>
      <c r="AI731">
        <v>152</v>
      </c>
      <c r="AJ731" t="s">
        <v>101</v>
      </c>
      <c r="AK731">
        <v>0</v>
      </c>
      <c r="AL731">
        <v>628</v>
      </c>
      <c r="AM731">
        <v>780</v>
      </c>
      <c r="AN731" t="s">
        <v>102</v>
      </c>
      <c r="AO731" t="s">
        <v>97</v>
      </c>
      <c r="AP731" t="s">
        <v>104</v>
      </c>
      <c r="AQ731" t="s">
        <v>163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97</v>
      </c>
      <c r="BC731">
        <v>5</v>
      </c>
      <c r="BD731" t="s">
        <v>106</v>
      </c>
      <c r="BE731">
        <v>0</v>
      </c>
      <c r="BG731" t="s">
        <v>126</v>
      </c>
      <c r="BH731">
        <v>1962</v>
      </c>
      <c r="BI731" t="s">
        <v>101</v>
      </c>
      <c r="BJ731">
        <v>2</v>
      </c>
      <c r="BK731">
        <v>539</v>
      </c>
      <c r="BL731" t="s">
        <v>97</v>
      </c>
      <c r="BM731" t="s">
        <v>97</v>
      </c>
      <c r="BN731" t="s">
        <v>104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X731">
        <v>0</v>
      </c>
      <c r="BY731">
        <v>1</v>
      </c>
      <c r="BZ731">
        <v>2009</v>
      </c>
      <c r="CA731" t="s">
        <v>109</v>
      </c>
      <c r="CB731" t="s">
        <v>110</v>
      </c>
      <c r="CC731">
        <v>103000</v>
      </c>
    </row>
    <row r="732" spans="1:81" x14ac:dyDescent="0.3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H732" t="s">
        <v>119</v>
      </c>
      <c r="I732" t="s">
        <v>84</v>
      </c>
      <c r="J732" t="s">
        <v>85</v>
      </c>
      <c r="K732" t="s">
        <v>86</v>
      </c>
      <c r="L732" t="s">
        <v>87</v>
      </c>
      <c r="M732" t="s">
        <v>199</v>
      </c>
      <c r="N732" t="s">
        <v>89</v>
      </c>
      <c r="O732" t="s">
        <v>89</v>
      </c>
      <c r="P732" t="s">
        <v>178</v>
      </c>
      <c r="Q732" t="s">
        <v>114</v>
      </c>
      <c r="R732">
        <v>8</v>
      </c>
      <c r="S732">
        <v>5</v>
      </c>
      <c r="T732">
        <v>1995</v>
      </c>
      <c r="U732">
        <v>1996</v>
      </c>
      <c r="V732" t="s">
        <v>92</v>
      </c>
      <c r="W732" t="s">
        <v>93</v>
      </c>
      <c r="X732" t="s">
        <v>179</v>
      </c>
      <c r="Y732" t="s">
        <v>180</v>
      </c>
      <c r="Z732" t="s">
        <v>116</v>
      </c>
      <c r="AA732">
        <v>0</v>
      </c>
      <c r="AB732" t="s">
        <v>96</v>
      </c>
      <c r="AC732" t="s">
        <v>97</v>
      </c>
      <c r="AD732" t="s">
        <v>98</v>
      </c>
      <c r="AE732" t="s">
        <v>96</v>
      </c>
      <c r="AF732" t="s">
        <v>97</v>
      </c>
      <c r="AG732" t="s">
        <v>99</v>
      </c>
      <c r="AH732" t="s">
        <v>100</v>
      </c>
      <c r="AI732">
        <v>1180</v>
      </c>
      <c r="AJ732" t="s">
        <v>101</v>
      </c>
      <c r="AK732">
        <v>0</v>
      </c>
      <c r="AL732">
        <v>415</v>
      </c>
      <c r="AM732">
        <v>1595</v>
      </c>
      <c r="AN732" t="s">
        <v>102</v>
      </c>
      <c r="AO732" t="s">
        <v>103</v>
      </c>
      <c r="AP732" t="s">
        <v>104</v>
      </c>
      <c r="AQ732" t="s">
        <v>105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96</v>
      </c>
      <c r="BC732">
        <v>5</v>
      </c>
      <c r="BD732" t="s">
        <v>106</v>
      </c>
      <c r="BE732">
        <v>1</v>
      </c>
      <c r="BF732" t="s">
        <v>97</v>
      </c>
      <c r="BG732" t="s">
        <v>107</v>
      </c>
      <c r="BH732">
        <v>1995</v>
      </c>
      <c r="BI732" t="s">
        <v>108</v>
      </c>
      <c r="BJ732">
        <v>2</v>
      </c>
      <c r="BK732">
        <v>608</v>
      </c>
      <c r="BL732" t="s">
        <v>97</v>
      </c>
      <c r="BM732" t="s">
        <v>97</v>
      </c>
      <c r="BN732" t="s">
        <v>104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X732">
        <v>0</v>
      </c>
      <c r="BY732">
        <v>3</v>
      </c>
      <c r="BZ732">
        <v>2010</v>
      </c>
      <c r="CA732" t="s">
        <v>109</v>
      </c>
      <c r="CB732" t="s">
        <v>110</v>
      </c>
      <c r="CC732">
        <v>236500</v>
      </c>
    </row>
    <row r="733" spans="1:81" x14ac:dyDescent="0.3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H733" t="s">
        <v>119</v>
      </c>
      <c r="I733" t="s">
        <v>84</v>
      </c>
      <c r="J733" t="s">
        <v>85</v>
      </c>
      <c r="K733" t="s">
        <v>121</v>
      </c>
      <c r="L733" t="s">
        <v>87</v>
      </c>
      <c r="M733" t="s">
        <v>188</v>
      </c>
      <c r="N733" t="s">
        <v>89</v>
      </c>
      <c r="O733" t="s">
        <v>89</v>
      </c>
      <c r="P733" t="s">
        <v>90</v>
      </c>
      <c r="Q733" t="s">
        <v>196</v>
      </c>
      <c r="R733">
        <v>7</v>
      </c>
      <c r="S733">
        <v>5</v>
      </c>
      <c r="T733">
        <v>2003</v>
      </c>
      <c r="U733">
        <v>2003</v>
      </c>
      <c r="V733" t="s">
        <v>92</v>
      </c>
      <c r="W733" t="s">
        <v>93</v>
      </c>
      <c r="X733" t="s">
        <v>94</v>
      </c>
      <c r="Y733" t="s">
        <v>94</v>
      </c>
      <c r="Z733" t="s">
        <v>95</v>
      </c>
      <c r="AA733">
        <v>442</v>
      </c>
      <c r="AB733" t="s">
        <v>96</v>
      </c>
      <c r="AC733" t="s">
        <v>97</v>
      </c>
      <c r="AD733" t="s">
        <v>98</v>
      </c>
      <c r="AE733" t="s">
        <v>103</v>
      </c>
      <c r="AF733" t="s">
        <v>97</v>
      </c>
      <c r="AG733" t="s">
        <v>129</v>
      </c>
      <c r="AH733" t="s">
        <v>100</v>
      </c>
      <c r="AI733">
        <v>786</v>
      </c>
      <c r="AJ733" t="s">
        <v>101</v>
      </c>
      <c r="AK733">
        <v>0</v>
      </c>
      <c r="AL733">
        <v>82</v>
      </c>
      <c r="AM733">
        <v>868</v>
      </c>
      <c r="AN733" t="s">
        <v>102</v>
      </c>
      <c r="AO733" t="s">
        <v>103</v>
      </c>
      <c r="AP733" t="s">
        <v>104</v>
      </c>
      <c r="AQ733" t="s">
        <v>105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96</v>
      </c>
      <c r="BC733">
        <v>6</v>
      </c>
      <c r="BD733" t="s">
        <v>106</v>
      </c>
      <c r="BE733">
        <v>1</v>
      </c>
      <c r="BF733" t="s">
        <v>96</v>
      </c>
      <c r="BG733" t="s">
        <v>107</v>
      </c>
      <c r="BH733">
        <v>2003</v>
      </c>
      <c r="BI733" t="s">
        <v>156</v>
      </c>
      <c r="BJ733">
        <v>2</v>
      </c>
      <c r="BK733">
        <v>438</v>
      </c>
      <c r="BL733" t="s">
        <v>97</v>
      </c>
      <c r="BM733" t="s">
        <v>97</v>
      </c>
      <c r="BN733" t="s">
        <v>104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X733">
        <v>0</v>
      </c>
      <c r="BY733">
        <v>5</v>
      </c>
      <c r="BZ733">
        <v>2007</v>
      </c>
      <c r="CA733" t="s">
        <v>109</v>
      </c>
      <c r="CB733" t="s">
        <v>110</v>
      </c>
      <c r="CC733">
        <v>187500</v>
      </c>
    </row>
    <row r="734" spans="1:81" x14ac:dyDescent="0.3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H734" t="s">
        <v>119</v>
      </c>
      <c r="I734" t="s">
        <v>84</v>
      </c>
      <c r="J734" t="s">
        <v>85</v>
      </c>
      <c r="K734" t="s">
        <v>86</v>
      </c>
      <c r="L734" t="s">
        <v>87</v>
      </c>
      <c r="M734" t="s">
        <v>88</v>
      </c>
      <c r="N734" t="s">
        <v>89</v>
      </c>
      <c r="O734" t="s">
        <v>89</v>
      </c>
      <c r="P734" t="s">
        <v>90</v>
      </c>
      <c r="Q734" t="s">
        <v>91</v>
      </c>
      <c r="R734">
        <v>7</v>
      </c>
      <c r="S734">
        <v>5</v>
      </c>
      <c r="T734">
        <v>1998</v>
      </c>
      <c r="U734">
        <v>1999</v>
      </c>
      <c r="V734" t="s">
        <v>92</v>
      </c>
      <c r="W734" t="s">
        <v>93</v>
      </c>
      <c r="X734" t="s">
        <v>94</v>
      </c>
      <c r="Y734" t="s">
        <v>94</v>
      </c>
      <c r="Z734" t="s">
        <v>95</v>
      </c>
      <c r="AA734">
        <v>202</v>
      </c>
      <c r="AB734" t="s">
        <v>96</v>
      </c>
      <c r="AC734" t="s">
        <v>97</v>
      </c>
      <c r="AD734" t="s">
        <v>98</v>
      </c>
      <c r="AE734" t="s">
        <v>96</v>
      </c>
      <c r="AF734" t="s">
        <v>97</v>
      </c>
      <c r="AG734" t="s">
        <v>129</v>
      </c>
      <c r="AH734" t="s">
        <v>118</v>
      </c>
      <c r="AI734">
        <v>252</v>
      </c>
      <c r="AJ734" t="s">
        <v>101</v>
      </c>
      <c r="AK734">
        <v>0</v>
      </c>
      <c r="AL734">
        <v>901</v>
      </c>
      <c r="AM734">
        <v>1153</v>
      </c>
      <c r="AN734" t="s">
        <v>102</v>
      </c>
      <c r="AO734" t="s">
        <v>103</v>
      </c>
      <c r="AP734" t="s">
        <v>104</v>
      </c>
      <c r="AQ734" t="s">
        <v>105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96</v>
      </c>
      <c r="BC734">
        <v>8</v>
      </c>
      <c r="BD734" t="s">
        <v>106</v>
      </c>
      <c r="BE734">
        <v>1</v>
      </c>
      <c r="BF734" t="s">
        <v>97</v>
      </c>
      <c r="BG734" t="s">
        <v>107</v>
      </c>
      <c r="BH734">
        <v>1998</v>
      </c>
      <c r="BI734" t="s">
        <v>156</v>
      </c>
      <c r="BJ734">
        <v>2</v>
      </c>
      <c r="BK734">
        <v>541</v>
      </c>
      <c r="BL734" t="s">
        <v>97</v>
      </c>
      <c r="BM734" t="s">
        <v>97</v>
      </c>
      <c r="BN734" t="s">
        <v>104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X734">
        <v>0</v>
      </c>
      <c r="BY734">
        <v>7</v>
      </c>
      <c r="BZ734">
        <v>2008</v>
      </c>
      <c r="CA734" t="s">
        <v>109</v>
      </c>
      <c r="CB734" t="s">
        <v>110</v>
      </c>
      <c r="CC734">
        <v>222500</v>
      </c>
    </row>
    <row r="735" spans="1:81" x14ac:dyDescent="0.3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H735" t="s">
        <v>83</v>
      </c>
      <c r="I735" t="s">
        <v>84</v>
      </c>
      <c r="J735" t="s">
        <v>85</v>
      </c>
      <c r="K735" t="s">
        <v>121</v>
      </c>
      <c r="L735" t="s">
        <v>87</v>
      </c>
      <c r="M735" t="s">
        <v>150</v>
      </c>
      <c r="N735" t="s">
        <v>113</v>
      </c>
      <c r="O735" t="s">
        <v>89</v>
      </c>
      <c r="P735" t="s">
        <v>90</v>
      </c>
      <c r="Q735" t="s">
        <v>114</v>
      </c>
      <c r="R735">
        <v>5</v>
      </c>
      <c r="S735">
        <v>6</v>
      </c>
      <c r="T735">
        <v>1961</v>
      </c>
      <c r="U735">
        <v>1983</v>
      </c>
      <c r="V735" t="s">
        <v>151</v>
      </c>
      <c r="W735" t="s">
        <v>93</v>
      </c>
      <c r="X735" t="s">
        <v>139</v>
      </c>
      <c r="Y735" t="s">
        <v>139</v>
      </c>
      <c r="Z735" t="s">
        <v>116</v>
      </c>
      <c r="AA735">
        <v>0</v>
      </c>
      <c r="AB735" t="s">
        <v>97</v>
      </c>
      <c r="AC735" t="s">
        <v>97</v>
      </c>
      <c r="AD735" t="s">
        <v>117</v>
      </c>
      <c r="AE735" t="s">
        <v>97</v>
      </c>
      <c r="AF735" t="s">
        <v>97</v>
      </c>
      <c r="AG735" t="s">
        <v>99</v>
      </c>
      <c r="AH735" t="s">
        <v>140</v>
      </c>
      <c r="AI735">
        <v>594</v>
      </c>
      <c r="AJ735" t="s">
        <v>101</v>
      </c>
      <c r="AK735">
        <v>0</v>
      </c>
      <c r="AL735">
        <v>270</v>
      </c>
      <c r="AM735">
        <v>864</v>
      </c>
      <c r="AN735" t="s">
        <v>102</v>
      </c>
      <c r="AO735" t="s">
        <v>103</v>
      </c>
      <c r="AP735" t="s">
        <v>104</v>
      </c>
      <c r="AQ735" t="s">
        <v>105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97</v>
      </c>
      <c r="BC735">
        <v>6</v>
      </c>
      <c r="BD735" t="s">
        <v>106</v>
      </c>
      <c r="BE735">
        <v>1</v>
      </c>
      <c r="BF735" t="s">
        <v>97</v>
      </c>
      <c r="BG735" t="s">
        <v>107</v>
      </c>
      <c r="BH735">
        <v>1961</v>
      </c>
      <c r="BI735" t="s">
        <v>108</v>
      </c>
      <c r="BJ735">
        <v>1</v>
      </c>
      <c r="BK735">
        <v>264</v>
      </c>
      <c r="BL735" t="s">
        <v>97</v>
      </c>
      <c r="BM735" t="s">
        <v>97</v>
      </c>
      <c r="BN735" t="s">
        <v>104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V735" t="s">
        <v>162</v>
      </c>
      <c r="BW735" t="s">
        <v>134</v>
      </c>
      <c r="BX735">
        <v>400</v>
      </c>
      <c r="BY735">
        <v>3</v>
      </c>
      <c r="BZ735">
        <v>2009</v>
      </c>
      <c r="CA735" t="s">
        <v>109</v>
      </c>
      <c r="CB735" t="s">
        <v>110</v>
      </c>
      <c r="CC735">
        <v>131400</v>
      </c>
    </row>
    <row r="736" spans="1:81" x14ac:dyDescent="0.3">
      <c r="A736">
        <v>735</v>
      </c>
      <c r="B736">
        <v>20</v>
      </c>
      <c r="C736" t="s">
        <v>81</v>
      </c>
      <c r="E736">
        <v>8978</v>
      </c>
      <c r="F736" t="s">
        <v>82</v>
      </c>
      <c r="H736" t="s">
        <v>119</v>
      </c>
      <c r="I736" t="s">
        <v>84</v>
      </c>
      <c r="J736" t="s">
        <v>85</v>
      </c>
      <c r="K736" t="s">
        <v>121</v>
      </c>
      <c r="L736" t="s">
        <v>87</v>
      </c>
      <c r="M736" t="s">
        <v>150</v>
      </c>
      <c r="N736" t="s">
        <v>89</v>
      </c>
      <c r="O736" t="s">
        <v>89</v>
      </c>
      <c r="P736" t="s">
        <v>90</v>
      </c>
      <c r="Q736" t="s">
        <v>114</v>
      </c>
      <c r="R736">
        <v>5</v>
      </c>
      <c r="S736">
        <v>5</v>
      </c>
      <c r="T736">
        <v>1968</v>
      </c>
      <c r="U736">
        <v>1968</v>
      </c>
      <c r="V736" t="s">
        <v>92</v>
      </c>
      <c r="W736" t="s">
        <v>93</v>
      </c>
      <c r="X736" t="s">
        <v>160</v>
      </c>
      <c r="Y736" t="s">
        <v>160</v>
      </c>
      <c r="Z736" t="s">
        <v>116</v>
      </c>
      <c r="AA736">
        <v>0</v>
      </c>
      <c r="AB736" t="s">
        <v>97</v>
      </c>
      <c r="AC736" t="s">
        <v>97</v>
      </c>
      <c r="AD736" t="s">
        <v>98</v>
      </c>
      <c r="AE736" t="s">
        <v>97</v>
      </c>
      <c r="AF736" t="s">
        <v>97</v>
      </c>
      <c r="AG736" t="s">
        <v>99</v>
      </c>
      <c r="AH736" t="s">
        <v>101</v>
      </c>
      <c r="AI736">
        <v>0</v>
      </c>
      <c r="AJ736" t="s">
        <v>101</v>
      </c>
      <c r="AK736">
        <v>0</v>
      </c>
      <c r="AL736">
        <v>948</v>
      </c>
      <c r="AM736">
        <v>948</v>
      </c>
      <c r="AN736" t="s">
        <v>102</v>
      </c>
      <c r="AO736" t="s">
        <v>97</v>
      </c>
      <c r="AP736" t="s">
        <v>104</v>
      </c>
      <c r="AQ736" t="s">
        <v>105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97</v>
      </c>
      <c r="BC736">
        <v>6</v>
      </c>
      <c r="BD736" t="s">
        <v>106</v>
      </c>
      <c r="BE736">
        <v>0</v>
      </c>
      <c r="BG736" t="s">
        <v>107</v>
      </c>
      <c r="BH736">
        <v>1968</v>
      </c>
      <c r="BI736" t="s">
        <v>101</v>
      </c>
      <c r="BJ736">
        <v>1</v>
      </c>
      <c r="BK736">
        <v>300</v>
      </c>
      <c r="BL736" t="s">
        <v>97</v>
      </c>
      <c r="BM736" t="s">
        <v>97</v>
      </c>
      <c r="BN736" t="s">
        <v>104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X736">
        <v>0</v>
      </c>
      <c r="BY736">
        <v>5</v>
      </c>
      <c r="BZ736">
        <v>2007</v>
      </c>
      <c r="CA736" t="s">
        <v>109</v>
      </c>
      <c r="CB736" t="s">
        <v>218</v>
      </c>
      <c r="CC736">
        <v>108000</v>
      </c>
    </row>
    <row r="737" spans="1:81" x14ac:dyDescent="0.3">
      <c r="A737">
        <v>736</v>
      </c>
      <c r="B737">
        <v>75</v>
      </c>
      <c r="C737" t="s">
        <v>141</v>
      </c>
      <c r="D737">
        <v>60</v>
      </c>
      <c r="E737">
        <v>10800</v>
      </c>
      <c r="F737" t="s">
        <v>82</v>
      </c>
      <c r="H737" t="s">
        <v>83</v>
      </c>
      <c r="I737" t="s">
        <v>84</v>
      </c>
      <c r="J737" t="s">
        <v>85</v>
      </c>
      <c r="K737" t="s">
        <v>86</v>
      </c>
      <c r="L737" t="s">
        <v>87</v>
      </c>
      <c r="M737" t="s">
        <v>142</v>
      </c>
      <c r="N737" t="s">
        <v>89</v>
      </c>
      <c r="O737" t="s">
        <v>89</v>
      </c>
      <c r="P737" t="s">
        <v>90</v>
      </c>
      <c r="Q737" t="s">
        <v>200</v>
      </c>
      <c r="R737">
        <v>7</v>
      </c>
      <c r="S737">
        <v>7</v>
      </c>
      <c r="T737">
        <v>1914</v>
      </c>
      <c r="U737">
        <v>1970</v>
      </c>
      <c r="V737" t="s">
        <v>92</v>
      </c>
      <c r="W737" t="s">
        <v>93</v>
      </c>
      <c r="X737" t="s">
        <v>123</v>
      </c>
      <c r="Y737" t="s">
        <v>123</v>
      </c>
      <c r="Z737" t="s">
        <v>116</v>
      </c>
      <c r="AA737">
        <v>0</v>
      </c>
      <c r="AB737" t="s">
        <v>97</v>
      </c>
      <c r="AC737" t="s">
        <v>97</v>
      </c>
      <c r="AD737" t="s">
        <v>125</v>
      </c>
      <c r="AE737" t="s">
        <v>96</v>
      </c>
      <c r="AF737" t="s">
        <v>97</v>
      </c>
      <c r="AG737" t="s">
        <v>120</v>
      </c>
      <c r="AH737" t="s">
        <v>152</v>
      </c>
      <c r="AI737">
        <v>390</v>
      </c>
      <c r="AJ737" t="s">
        <v>101</v>
      </c>
      <c r="AK737">
        <v>0</v>
      </c>
      <c r="AL737">
        <v>490</v>
      </c>
      <c r="AM737">
        <v>880</v>
      </c>
      <c r="AN737" t="s">
        <v>205</v>
      </c>
      <c r="AO737" t="s">
        <v>146</v>
      </c>
      <c r="AP737" t="s">
        <v>176</v>
      </c>
      <c r="AQ737" t="s">
        <v>105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97</v>
      </c>
      <c r="BC737">
        <v>6</v>
      </c>
      <c r="BD737" t="s">
        <v>106</v>
      </c>
      <c r="BE737">
        <v>2</v>
      </c>
      <c r="BF737" t="s">
        <v>97</v>
      </c>
      <c r="BG737" t="s">
        <v>126</v>
      </c>
      <c r="BH737">
        <v>1914</v>
      </c>
      <c r="BI737" t="s">
        <v>101</v>
      </c>
      <c r="BJ737">
        <v>2</v>
      </c>
      <c r="BK737">
        <v>320</v>
      </c>
      <c r="BL737" t="s">
        <v>97</v>
      </c>
      <c r="BM737" t="s">
        <v>97</v>
      </c>
      <c r="BN737" t="s">
        <v>176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X737">
        <v>0</v>
      </c>
      <c r="BY737">
        <v>10</v>
      </c>
      <c r="BZ737">
        <v>2006</v>
      </c>
      <c r="CA737" t="s">
        <v>109</v>
      </c>
      <c r="CB737" t="s">
        <v>110</v>
      </c>
      <c r="CC737">
        <v>163000</v>
      </c>
    </row>
    <row r="738" spans="1:81" x14ac:dyDescent="0.3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H738" t="s">
        <v>83</v>
      </c>
      <c r="I738" t="s">
        <v>84</v>
      </c>
      <c r="J738" t="s">
        <v>85</v>
      </c>
      <c r="K738" t="s">
        <v>86</v>
      </c>
      <c r="L738" t="s">
        <v>87</v>
      </c>
      <c r="M738" t="s">
        <v>270</v>
      </c>
      <c r="N738" t="s">
        <v>89</v>
      </c>
      <c r="O738" t="s">
        <v>89</v>
      </c>
      <c r="P738" t="s">
        <v>166</v>
      </c>
      <c r="Q738" t="s">
        <v>114</v>
      </c>
      <c r="R738">
        <v>3</v>
      </c>
      <c r="S738">
        <v>4</v>
      </c>
      <c r="T738">
        <v>1950</v>
      </c>
      <c r="U738">
        <v>1950</v>
      </c>
      <c r="V738" t="s">
        <v>92</v>
      </c>
      <c r="W738" t="s">
        <v>93</v>
      </c>
      <c r="X738" t="s">
        <v>202</v>
      </c>
      <c r="Y738" t="s">
        <v>136</v>
      </c>
      <c r="Z738" t="s">
        <v>116</v>
      </c>
      <c r="AA738">
        <v>0</v>
      </c>
      <c r="AB738" t="s">
        <v>97</v>
      </c>
      <c r="AC738" t="s">
        <v>97</v>
      </c>
      <c r="AD738" t="s">
        <v>117</v>
      </c>
      <c r="AI738">
        <v>0</v>
      </c>
      <c r="AK738">
        <v>0</v>
      </c>
      <c r="AL738">
        <v>0</v>
      </c>
      <c r="AM738">
        <v>0</v>
      </c>
      <c r="AN738" t="s">
        <v>102</v>
      </c>
      <c r="AO738" t="s">
        <v>96</v>
      </c>
      <c r="AP738" t="s">
        <v>176</v>
      </c>
      <c r="AQ738" t="s">
        <v>144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97</v>
      </c>
      <c r="BC738">
        <v>6</v>
      </c>
      <c r="BD738" t="s">
        <v>106</v>
      </c>
      <c r="BE738">
        <v>0</v>
      </c>
      <c r="BG738" t="s">
        <v>126</v>
      </c>
      <c r="BH738">
        <v>1949</v>
      </c>
      <c r="BI738" t="s">
        <v>101</v>
      </c>
      <c r="BJ738">
        <v>2</v>
      </c>
      <c r="BK738">
        <v>400</v>
      </c>
      <c r="BL738" t="s">
        <v>97</v>
      </c>
      <c r="BM738" t="s">
        <v>97</v>
      </c>
      <c r="BN738" t="s">
        <v>104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X738">
        <v>0</v>
      </c>
      <c r="BY738">
        <v>7</v>
      </c>
      <c r="BZ738">
        <v>2006</v>
      </c>
      <c r="CA738" t="s">
        <v>109</v>
      </c>
      <c r="CB738" t="s">
        <v>110</v>
      </c>
      <c r="CC738">
        <v>93500</v>
      </c>
    </row>
    <row r="739" spans="1:81" x14ac:dyDescent="0.3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H739" t="s">
        <v>119</v>
      </c>
      <c r="I739" t="s">
        <v>198</v>
      </c>
      <c r="J739" t="s">
        <v>85</v>
      </c>
      <c r="K739" t="s">
        <v>165</v>
      </c>
      <c r="L739" t="s">
        <v>87</v>
      </c>
      <c r="M739" t="s">
        <v>192</v>
      </c>
      <c r="N739" t="s">
        <v>89</v>
      </c>
      <c r="O739" t="s">
        <v>89</v>
      </c>
      <c r="P739" t="s">
        <v>90</v>
      </c>
      <c r="Q739" t="s">
        <v>91</v>
      </c>
      <c r="R739">
        <v>8</v>
      </c>
      <c r="S739">
        <v>5</v>
      </c>
      <c r="T739">
        <v>2005</v>
      </c>
      <c r="U739">
        <v>2005</v>
      </c>
      <c r="V739" t="s">
        <v>92</v>
      </c>
      <c r="W739" t="s">
        <v>93</v>
      </c>
      <c r="X739" t="s">
        <v>94</v>
      </c>
      <c r="Y739" t="s">
        <v>94</v>
      </c>
      <c r="Z739" t="s">
        <v>116</v>
      </c>
      <c r="AA739">
        <v>0</v>
      </c>
      <c r="AB739" t="s">
        <v>96</v>
      </c>
      <c r="AC739" t="s">
        <v>97</v>
      </c>
      <c r="AD739" t="s">
        <v>98</v>
      </c>
      <c r="AE739" t="s">
        <v>96</v>
      </c>
      <c r="AF739" t="s">
        <v>97</v>
      </c>
      <c r="AG739" t="s">
        <v>99</v>
      </c>
      <c r="AH739" t="s">
        <v>101</v>
      </c>
      <c r="AI739">
        <v>0</v>
      </c>
      <c r="AJ739" t="s">
        <v>101</v>
      </c>
      <c r="AK739">
        <v>0</v>
      </c>
      <c r="AL739">
        <v>893</v>
      </c>
      <c r="AM739">
        <v>893</v>
      </c>
      <c r="AN739" t="s">
        <v>102</v>
      </c>
      <c r="AO739" t="s">
        <v>103</v>
      </c>
      <c r="AP739" t="s">
        <v>104</v>
      </c>
      <c r="AQ739" t="s">
        <v>105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96</v>
      </c>
      <c r="BC739">
        <v>8</v>
      </c>
      <c r="BD739" t="s">
        <v>106</v>
      </c>
      <c r="BE739">
        <v>1</v>
      </c>
      <c r="BF739" t="s">
        <v>96</v>
      </c>
      <c r="BG739" t="s">
        <v>107</v>
      </c>
      <c r="BH739">
        <v>2005</v>
      </c>
      <c r="BI739" t="s">
        <v>156</v>
      </c>
      <c r="BJ739">
        <v>3</v>
      </c>
      <c r="BK739">
        <v>800</v>
      </c>
      <c r="BL739" t="s">
        <v>97</v>
      </c>
      <c r="BM739" t="s">
        <v>97</v>
      </c>
      <c r="BN739" t="s">
        <v>104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X739">
        <v>0</v>
      </c>
      <c r="BY739">
        <v>6</v>
      </c>
      <c r="BZ739">
        <v>2006</v>
      </c>
      <c r="CA739" t="s">
        <v>109</v>
      </c>
      <c r="CB739" t="s">
        <v>110</v>
      </c>
      <c r="CC739">
        <v>239900</v>
      </c>
    </row>
    <row r="740" spans="1:81" x14ac:dyDescent="0.3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H740" t="s">
        <v>83</v>
      </c>
      <c r="I740" t="s">
        <v>84</v>
      </c>
      <c r="J740" t="s">
        <v>85</v>
      </c>
      <c r="K740" t="s">
        <v>86</v>
      </c>
      <c r="L740" t="s">
        <v>87</v>
      </c>
      <c r="M740" t="s">
        <v>184</v>
      </c>
      <c r="N740" t="s">
        <v>89</v>
      </c>
      <c r="O740" t="s">
        <v>89</v>
      </c>
      <c r="P740" t="s">
        <v>166</v>
      </c>
      <c r="Q740" t="s">
        <v>114</v>
      </c>
      <c r="R740">
        <v>5</v>
      </c>
      <c r="S740">
        <v>5</v>
      </c>
      <c r="T740">
        <v>1987</v>
      </c>
      <c r="U740">
        <v>1988</v>
      </c>
      <c r="V740" t="s">
        <v>92</v>
      </c>
      <c r="W740" t="s">
        <v>93</v>
      </c>
      <c r="X740" t="s">
        <v>160</v>
      </c>
      <c r="Y740" t="s">
        <v>160</v>
      </c>
      <c r="Z740" t="s">
        <v>116</v>
      </c>
      <c r="AA740">
        <v>0</v>
      </c>
      <c r="AB740" t="s">
        <v>97</v>
      </c>
      <c r="AC740" t="s">
        <v>97</v>
      </c>
      <c r="AD740" t="s">
        <v>117</v>
      </c>
      <c r="AE740" t="s">
        <v>96</v>
      </c>
      <c r="AF740" t="s">
        <v>96</v>
      </c>
      <c r="AG740" t="s">
        <v>96</v>
      </c>
      <c r="AH740" t="s">
        <v>100</v>
      </c>
      <c r="AI740">
        <v>1200</v>
      </c>
      <c r="AJ740" t="s">
        <v>101</v>
      </c>
      <c r="AK740">
        <v>0</v>
      </c>
      <c r="AL740">
        <v>0</v>
      </c>
      <c r="AM740">
        <v>1200</v>
      </c>
      <c r="AN740" t="s">
        <v>102</v>
      </c>
      <c r="AO740" t="s">
        <v>97</v>
      </c>
      <c r="AP740" t="s">
        <v>104</v>
      </c>
      <c r="AQ740" t="s">
        <v>105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97</v>
      </c>
      <c r="BC740">
        <v>5</v>
      </c>
      <c r="BD740" t="s">
        <v>106</v>
      </c>
      <c r="BE740">
        <v>0</v>
      </c>
      <c r="BJ740">
        <v>0</v>
      </c>
      <c r="BK740">
        <v>0</v>
      </c>
      <c r="BN740" t="s">
        <v>104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X740">
        <v>0</v>
      </c>
      <c r="BY740">
        <v>3</v>
      </c>
      <c r="BZ740">
        <v>2009</v>
      </c>
      <c r="CA740" t="s">
        <v>109</v>
      </c>
      <c r="CB740" t="s">
        <v>209</v>
      </c>
      <c r="CC740">
        <v>179000</v>
      </c>
    </row>
    <row r="741" spans="1:81" x14ac:dyDescent="0.3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H741" t="s">
        <v>119</v>
      </c>
      <c r="I741" t="s">
        <v>84</v>
      </c>
      <c r="J741" t="s">
        <v>85</v>
      </c>
      <c r="K741" t="s">
        <v>86</v>
      </c>
      <c r="L741" t="s">
        <v>87</v>
      </c>
      <c r="M741" t="s">
        <v>88</v>
      </c>
      <c r="N741" t="s">
        <v>89</v>
      </c>
      <c r="O741" t="s">
        <v>89</v>
      </c>
      <c r="P741" t="s">
        <v>90</v>
      </c>
      <c r="Q741" t="s">
        <v>91</v>
      </c>
      <c r="R741">
        <v>7</v>
      </c>
      <c r="S741">
        <v>5</v>
      </c>
      <c r="T741">
        <v>2004</v>
      </c>
      <c r="U741">
        <v>2004</v>
      </c>
      <c r="V741" t="s">
        <v>92</v>
      </c>
      <c r="W741" t="s">
        <v>93</v>
      </c>
      <c r="X741" t="s">
        <v>94</v>
      </c>
      <c r="Y741" t="s">
        <v>94</v>
      </c>
      <c r="Z741" t="s">
        <v>116</v>
      </c>
      <c r="AA741">
        <v>0</v>
      </c>
      <c r="AB741" t="s">
        <v>96</v>
      </c>
      <c r="AC741" t="s">
        <v>97</v>
      </c>
      <c r="AD741" t="s">
        <v>98</v>
      </c>
      <c r="AE741" t="s">
        <v>96</v>
      </c>
      <c r="AF741" t="s">
        <v>97</v>
      </c>
      <c r="AG741" t="s">
        <v>99</v>
      </c>
      <c r="AH741" t="s">
        <v>101</v>
      </c>
      <c r="AI741">
        <v>0</v>
      </c>
      <c r="AJ741" t="s">
        <v>101</v>
      </c>
      <c r="AK741">
        <v>0</v>
      </c>
      <c r="AL741">
        <v>864</v>
      </c>
      <c r="AM741">
        <v>864</v>
      </c>
      <c r="AN741" t="s">
        <v>102</v>
      </c>
      <c r="AO741" t="s">
        <v>103</v>
      </c>
      <c r="AP741" t="s">
        <v>104</v>
      </c>
      <c r="AQ741" t="s">
        <v>105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96</v>
      </c>
      <c r="BC741">
        <v>7</v>
      </c>
      <c r="BD741" t="s">
        <v>106</v>
      </c>
      <c r="BE741">
        <v>0</v>
      </c>
      <c r="BG741" t="s">
        <v>107</v>
      </c>
      <c r="BH741">
        <v>2004</v>
      </c>
      <c r="BI741" t="s">
        <v>108</v>
      </c>
      <c r="BJ741">
        <v>2</v>
      </c>
      <c r="BK741">
        <v>572</v>
      </c>
      <c r="BL741" t="s">
        <v>97</v>
      </c>
      <c r="BM741" t="s">
        <v>97</v>
      </c>
      <c r="BN741" t="s">
        <v>104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X741">
        <v>0</v>
      </c>
      <c r="BY741">
        <v>4</v>
      </c>
      <c r="BZ741">
        <v>2009</v>
      </c>
      <c r="CA741" t="s">
        <v>109</v>
      </c>
      <c r="CB741" t="s">
        <v>110</v>
      </c>
      <c r="CC741">
        <v>190000</v>
      </c>
    </row>
    <row r="742" spans="1:81" x14ac:dyDescent="0.3">
      <c r="A742">
        <v>741</v>
      </c>
      <c r="B742">
        <v>70</v>
      </c>
      <c r="C742" t="s">
        <v>141</v>
      </c>
      <c r="D742">
        <v>60</v>
      </c>
      <c r="E742">
        <v>9600</v>
      </c>
      <c r="F742" t="s">
        <v>82</v>
      </c>
      <c r="G742" t="s">
        <v>173</v>
      </c>
      <c r="H742" t="s">
        <v>83</v>
      </c>
      <c r="I742" t="s">
        <v>84</v>
      </c>
      <c r="J742" t="s">
        <v>85</v>
      </c>
      <c r="K742" t="s">
        <v>86</v>
      </c>
      <c r="L742" t="s">
        <v>87</v>
      </c>
      <c r="M742" t="s">
        <v>142</v>
      </c>
      <c r="N742" t="s">
        <v>89</v>
      </c>
      <c r="O742" t="s">
        <v>89</v>
      </c>
      <c r="P742" t="s">
        <v>90</v>
      </c>
      <c r="Q742" t="s">
        <v>91</v>
      </c>
      <c r="R742">
        <v>5</v>
      </c>
      <c r="S742">
        <v>7</v>
      </c>
      <c r="T742">
        <v>1910</v>
      </c>
      <c r="U742">
        <v>2002</v>
      </c>
      <c r="V742" t="s">
        <v>92</v>
      </c>
      <c r="W742" t="s">
        <v>93</v>
      </c>
      <c r="X742" t="s">
        <v>123</v>
      </c>
      <c r="Y742" t="s">
        <v>124</v>
      </c>
      <c r="Z742" t="s">
        <v>116</v>
      </c>
      <c r="AA742">
        <v>0</v>
      </c>
      <c r="AB742" t="s">
        <v>97</v>
      </c>
      <c r="AC742" t="s">
        <v>96</v>
      </c>
      <c r="AD742" t="s">
        <v>125</v>
      </c>
      <c r="AE742" t="s">
        <v>146</v>
      </c>
      <c r="AF742" t="s">
        <v>146</v>
      </c>
      <c r="AG742" t="s">
        <v>99</v>
      </c>
      <c r="AH742" t="s">
        <v>101</v>
      </c>
      <c r="AI742">
        <v>0</v>
      </c>
      <c r="AJ742" t="s">
        <v>101</v>
      </c>
      <c r="AK742">
        <v>0</v>
      </c>
      <c r="AL742">
        <v>264</v>
      </c>
      <c r="AM742">
        <v>264</v>
      </c>
      <c r="AN742" t="s">
        <v>102</v>
      </c>
      <c r="AO742" t="s">
        <v>103</v>
      </c>
      <c r="AP742" t="s">
        <v>104</v>
      </c>
      <c r="AQ742" t="s">
        <v>105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97</v>
      </c>
      <c r="BC742">
        <v>7</v>
      </c>
      <c r="BD742" t="s">
        <v>106</v>
      </c>
      <c r="BE742">
        <v>0</v>
      </c>
      <c r="BG742" t="s">
        <v>126</v>
      </c>
      <c r="BH742">
        <v>1910</v>
      </c>
      <c r="BI742" t="s">
        <v>101</v>
      </c>
      <c r="BJ742">
        <v>2</v>
      </c>
      <c r="BK742">
        <v>360</v>
      </c>
      <c r="BL742" t="s">
        <v>97</v>
      </c>
      <c r="BM742" t="s">
        <v>96</v>
      </c>
      <c r="BN742" t="s">
        <v>104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V742" t="s">
        <v>164</v>
      </c>
      <c r="BX742">
        <v>0</v>
      </c>
      <c r="BY742">
        <v>5</v>
      </c>
      <c r="BZ742">
        <v>2007</v>
      </c>
      <c r="CA742" t="s">
        <v>109</v>
      </c>
      <c r="CB742" t="s">
        <v>127</v>
      </c>
      <c r="CC742">
        <v>132000</v>
      </c>
    </row>
    <row r="743" spans="1:81" x14ac:dyDescent="0.3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H743" t="s">
        <v>119</v>
      </c>
      <c r="I743" t="s">
        <v>84</v>
      </c>
      <c r="J743" t="s">
        <v>85</v>
      </c>
      <c r="K743" t="s">
        <v>86</v>
      </c>
      <c r="L743" t="s">
        <v>87</v>
      </c>
      <c r="M743" t="s">
        <v>150</v>
      </c>
      <c r="N743" t="s">
        <v>113</v>
      </c>
      <c r="O743" t="s">
        <v>89</v>
      </c>
      <c r="P743" t="s">
        <v>90</v>
      </c>
      <c r="Q743" t="s">
        <v>114</v>
      </c>
      <c r="R743">
        <v>6</v>
      </c>
      <c r="S743">
        <v>8</v>
      </c>
      <c r="T743">
        <v>1961</v>
      </c>
      <c r="U743">
        <v>1996</v>
      </c>
      <c r="V743" t="s">
        <v>151</v>
      </c>
      <c r="W743" t="s">
        <v>93</v>
      </c>
      <c r="X743" t="s">
        <v>139</v>
      </c>
      <c r="Y743" t="s">
        <v>139</v>
      </c>
      <c r="Z743" t="s">
        <v>116</v>
      </c>
      <c r="AA743">
        <v>0</v>
      </c>
      <c r="AB743" t="s">
        <v>97</v>
      </c>
      <c r="AC743" t="s">
        <v>96</v>
      </c>
      <c r="AD743" t="s">
        <v>117</v>
      </c>
      <c r="AE743" t="s">
        <v>97</v>
      </c>
      <c r="AF743" t="s">
        <v>97</v>
      </c>
      <c r="AG743" t="s">
        <v>120</v>
      </c>
      <c r="AH743" t="s">
        <v>100</v>
      </c>
      <c r="AI743">
        <v>832</v>
      </c>
      <c r="AJ743" t="s">
        <v>101</v>
      </c>
      <c r="AK743">
        <v>0</v>
      </c>
      <c r="AL743">
        <v>80</v>
      </c>
      <c r="AM743">
        <v>912</v>
      </c>
      <c r="AN743" t="s">
        <v>102</v>
      </c>
      <c r="AO743" t="s">
        <v>96</v>
      </c>
      <c r="AP743" t="s">
        <v>104</v>
      </c>
      <c r="AQ743" t="s">
        <v>105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96</v>
      </c>
      <c r="BC743">
        <v>5</v>
      </c>
      <c r="BD743" t="s">
        <v>106</v>
      </c>
      <c r="BE743">
        <v>0</v>
      </c>
      <c r="BG743" t="s">
        <v>126</v>
      </c>
      <c r="BH743">
        <v>1962</v>
      </c>
      <c r="BI743" t="s">
        <v>101</v>
      </c>
      <c r="BJ743">
        <v>1</v>
      </c>
      <c r="BK743">
        <v>288</v>
      </c>
      <c r="BL743" t="s">
        <v>97</v>
      </c>
      <c r="BM743" t="s">
        <v>97</v>
      </c>
      <c r="BN743" t="s">
        <v>104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V743" t="s">
        <v>164</v>
      </c>
      <c r="BX743">
        <v>0</v>
      </c>
      <c r="BY743">
        <v>5</v>
      </c>
      <c r="BZ743">
        <v>2008</v>
      </c>
      <c r="CA743" t="s">
        <v>109</v>
      </c>
      <c r="CB743" t="s">
        <v>110</v>
      </c>
      <c r="CC743">
        <v>142000</v>
      </c>
    </row>
    <row r="744" spans="1:81" x14ac:dyDescent="0.3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H744" t="s">
        <v>83</v>
      </c>
      <c r="I744" t="s">
        <v>84</v>
      </c>
      <c r="J744" t="s">
        <v>85</v>
      </c>
      <c r="K744" t="s">
        <v>86</v>
      </c>
      <c r="L744" t="s">
        <v>87</v>
      </c>
      <c r="M744" t="s">
        <v>169</v>
      </c>
      <c r="N744" t="s">
        <v>89</v>
      </c>
      <c r="O744" t="s">
        <v>89</v>
      </c>
      <c r="P744" t="s">
        <v>90</v>
      </c>
      <c r="Q744" t="s">
        <v>114</v>
      </c>
      <c r="R744">
        <v>7</v>
      </c>
      <c r="S744">
        <v>5</v>
      </c>
      <c r="T744">
        <v>2000</v>
      </c>
      <c r="U744">
        <v>2001</v>
      </c>
      <c r="V744" t="s">
        <v>92</v>
      </c>
      <c r="W744" t="s">
        <v>93</v>
      </c>
      <c r="X744" t="s">
        <v>94</v>
      </c>
      <c r="Y744" t="s">
        <v>94</v>
      </c>
      <c r="Z744" t="s">
        <v>95</v>
      </c>
      <c r="AA744">
        <v>108</v>
      </c>
      <c r="AB744" t="s">
        <v>97</v>
      </c>
      <c r="AC744" t="s">
        <v>97</v>
      </c>
      <c r="AD744" t="s">
        <v>98</v>
      </c>
      <c r="AE744" t="s">
        <v>96</v>
      </c>
      <c r="AF744" t="s">
        <v>97</v>
      </c>
      <c r="AG744" t="s">
        <v>99</v>
      </c>
      <c r="AH744" t="s">
        <v>101</v>
      </c>
      <c r="AI744">
        <v>0</v>
      </c>
      <c r="AJ744" t="s">
        <v>101</v>
      </c>
      <c r="AK744">
        <v>0</v>
      </c>
      <c r="AL744">
        <v>1349</v>
      </c>
      <c r="AM744">
        <v>1349</v>
      </c>
      <c r="AN744" t="s">
        <v>102</v>
      </c>
      <c r="AO744" t="s">
        <v>103</v>
      </c>
      <c r="AP744" t="s">
        <v>104</v>
      </c>
      <c r="AQ744" t="s">
        <v>105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97</v>
      </c>
      <c r="BC744">
        <v>6</v>
      </c>
      <c r="BD744" t="s">
        <v>106</v>
      </c>
      <c r="BE744">
        <v>0</v>
      </c>
      <c r="BG744" t="s">
        <v>107</v>
      </c>
      <c r="BH744">
        <v>2000</v>
      </c>
      <c r="BI744" t="s">
        <v>101</v>
      </c>
      <c r="BJ744">
        <v>2</v>
      </c>
      <c r="BK744">
        <v>539</v>
      </c>
      <c r="BL744" t="s">
        <v>97</v>
      </c>
      <c r="BM744" t="s">
        <v>97</v>
      </c>
      <c r="BN744" t="s">
        <v>104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V744" t="s">
        <v>164</v>
      </c>
      <c r="BX744">
        <v>0</v>
      </c>
      <c r="BY744">
        <v>12</v>
      </c>
      <c r="BZ744">
        <v>2007</v>
      </c>
      <c r="CA744" t="s">
        <v>109</v>
      </c>
      <c r="CB744" t="s">
        <v>110</v>
      </c>
      <c r="CC744">
        <v>179000</v>
      </c>
    </row>
    <row r="745" spans="1:81" x14ac:dyDescent="0.3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H745" t="s">
        <v>119</v>
      </c>
      <c r="I745" t="s">
        <v>84</v>
      </c>
      <c r="J745" t="s">
        <v>85</v>
      </c>
      <c r="K745" t="s">
        <v>86</v>
      </c>
      <c r="L745" t="s">
        <v>87</v>
      </c>
      <c r="M745" t="s">
        <v>150</v>
      </c>
      <c r="N745" t="s">
        <v>89</v>
      </c>
      <c r="O745" t="s">
        <v>89</v>
      </c>
      <c r="P745" t="s">
        <v>90</v>
      </c>
      <c r="Q745" t="s">
        <v>196</v>
      </c>
      <c r="R745">
        <v>5</v>
      </c>
      <c r="S745">
        <v>6</v>
      </c>
      <c r="T745">
        <v>1963</v>
      </c>
      <c r="U745">
        <v>1999</v>
      </c>
      <c r="V745" t="s">
        <v>92</v>
      </c>
      <c r="W745" t="s">
        <v>93</v>
      </c>
      <c r="X745" t="s">
        <v>139</v>
      </c>
      <c r="Y745" t="s">
        <v>139</v>
      </c>
      <c r="Z745" t="s">
        <v>116</v>
      </c>
      <c r="AA745">
        <v>0</v>
      </c>
      <c r="AB745" t="s">
        <v>97</v>
      </c>
      <c r="AC745" t="s">
        <v>97</v>
      </c>
      <c r="AD745" t="s">
        <v>117</v>
      </c>
      <c r="AE745" t="s">
        <v>96</v>
      </c>
      <c r="AF745" t="s">
        <v>97</v>
      </c>
      <c r="AG745" t="s">
        <v>129</v>
      </c>
      <c r="AH745" t="s">
        <v>118</v>
      </c>
      <c r="AI745">
        <v>444</v>
      </c>
      <c r="AJ745" t="s">
        <v>101</v>
      </c>
      <c r="AK745">
        <v>0</v>
      </c>
      <c r="AL745">
        <v>76</v>
      </c>
      <c r="AM745">
        <v>520</v>
      </c>
      <c r="AN745" t="s">
        <v>102</v>
      </c>
      <c r="AO745" t="s">
        <v>103</v>
      </c>
      <c r="AP745" t="s">
        <v>104</v>
      </c>
      <c r="AQ745" t="s">
        <v>105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97</v>
      </c>
      <c r="BC745">
        <v>6</v>
      </c>
      <c r="BD745" t="s">
        <v>223</v>
      </c>
      <c r="BE745">
        <v>1</v>
      </c>
      <c r="BF745" t="s">
        <v>97</v>
      </c>
      <c r="BG745" t="s">
        <v>107</v>
      </c>
      <c r="BH745">
        <v>1997</v>
      </c>
      <c r="BI745" t="s">
        <v>108</v>
      </c>
      <c r="BJ745">
        <v>2</v>
      </c>
      <c r="BK745">
        <v>480</v>
      </c>
      <c r="BL745" t="s">
        <v>97</v>
      </c>
      <c r="BM745" t="s">
        <v>97</v>
      </c>
      <c r="BN745" t="s">
        <v>104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X745">
        <v>0</v>
      </c>
      <c r="BY745">
        <v>10</v>
      </c>
      <c r="BZ745">
        <v>2009</v>
      </c>
      <c r="CA745" t="s">
        <v>109</v>
      </c>
      <c r="CB745" t="s">
        <v>110</v>
      </c>
      <c r="CC745">
        <v>175000</v>
      </c>
    </row>
    <row r="746" spans="1:81" x14ac:dyDescent="0.3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H746" t="s">
        <v>119</v>
      </c>
      <c r="I746" t="s">
        <v>198</v>
      </c>
      <c r="J746" t="s">
        <v>85</v>
      </c>
      <c r="K746" t="s">
        <v>86</v>
      </c>
      <c r="L746" t="s">
        <v>87</v>
      </c>
      <c r="M746" t="s">
        <v>199</v>
      </c>
      <c r="N746" t="s">
        <v>89</v>
      </c>
      <c r="O746" t="s">
        <v>89</v>
      </c>
      <c r="P746" t="s">
        <v>178</v>
      </c>
      <c r="Q746" t="s">
        <v>114</v>
      </c>
      <c r="R746">
        <v>8</v>
      </c>
      <c r="S746">
        <v>5</v>
      </c>
      <c r="T746">
        <v>1993</v>
      </c>
      <c r="U746">
        <v>1993</v>
      </c>
      <c r="V746" t="s">
        <v>92</v>
      </c>
      <c r="W746" t="s">
        <v>93</v>
      </c>
      <c r="X746" t="s">
        <v>139</v>
      </c>
      <c r="Y746" t="s">
        <v>139</v>
      </c>
      <c r="Z746" t="s">
        <v>116</v>
      </c>
      <c r="AA746">
        <v>0</v>
      </c>
      <c r="AB746" t="s">
        <v>96</v>
      </c>
      <c r="AC746" t="s">
        <v>97</v>
      </c>
      <c r="AD746" t="s">
        <v>98</v>
      </c>
      <c r="AE746" t="s">
        <v>96</v>
      </c>
      <c r="AF746" t="s">
        <v>97</v>
      </c>
      <c r="AG746" t="s">
        <v>99</v>
      </c>
      <c r="AH746" t="s">
        <v>100</v>
      </c>
      <c r="AI746">
        <v>733</v>
      </c>
      <c r="AJ746" t="s">
        <v>101</v>
      </c>
      <c r="AK746">
        <v>0</v>
      </c>
      <c r="AL746">
        <v>604</v>
      </c>
      <c r="AM746">
        <v>1337</v>
      </c>
      <c r="AN746" t="s">
        <v>102</v>
      </c>
      <c r="AO746" t="s">
        <v>96</v>
      </c>
      <c r="AP746" t="s">
        <v>104</v>
      </c>
      <c r="AQ746" t="s">
        <v>105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96</v>
      </c>
      <c r="BC746">
        <v>5</v>
      </c>
      <c r="BD746" t="s">
        <v>106</v>
      </c>
      <c r="BE746">
        <v>1</v>
      </c>
      <c r="BF746" t="s">
        <v>97</v>
      </c>
      <c r="BG746" t="s">
        <v>107</v>
      </c>
      <c r="BH746">
        <v>1993</v>
      </c>
      <c r="BI746" t="s">
        <v>108</v>
      </c>
      <c r="BJ746">
        <v>2</v>
      </c>
      <c r="BK746">
        <v>462</v>
      </c>
      <c r="BL746" t="s">
        <v>97</v>
      </c>
      <c r="BM746" t="s">
        <v>97</v>
      </c>
      <c r="BN746" t="s">
        <v>104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X746">
        <v>0</v>
      </c>
      <c r="BY746">
        <v>10</v>
      </c>
      <c r="BZ746">
        <v>2008</v>
      </c>
      <c r="CA746" t="s">
        <v>109</v>
      </c>
      <c r="CB746" t="s">
        <v>110</v>
      </c>
      <c r="CC746">
        <v>180000</v>
      </c>
    </row>
    <row r="747" spans="1:81" x14ac:dyDescent="0.3">
      <c r="A747">
        <v>746</v>
      </c>
      <c r="B747">
        <v>60</v>
      </c>
      <c r="C747" t="s">
        <v>81</v>
      </c>
      <c r="E747">
        <v>8963</v>
      </c>
      <c r="F747" t="s">
        <v>82</v>
      </c>
      <c r="H747" t="s">
        <v>119</v>
      </c>
      <c r="I747" t="s">
        <v>84</v>
      </c>
      <c r="J747" t="s">
        <v>85</v>
      </c>
      <c r="K747" t="s">
        <v>86</v>
      </c>
      <c r="L747" t="s">
        <v>87</v>
      </c>
      <c r="M747" t="s">
        <v>137</v>
      </c>
      <c r="N747" t="s">
        <v>89</v>
      </c>
      <c r="O747" t="s">
        <v>89</v>
      </c>
      <c r="P747" t="s">
        <v>90</v>
      </c>
      <c r="Q747" t="s">
        <v>91</v>
      </c>
      <c r="R747">
        <v>8</v>
      </c>
      <c r="S747">
        <v>9</v>
      </c>
      <c r="T747">
        <v>1976</v>
      </c>
      <c r="U747">
        <v>1996</v>
      </c>
      <c r="V747" t="s">
        <v>151</v>
      </c>
      <c r="W747" t="s">
        <v>93</v>
      </c>
      <c r="X747" t="s">
        <v>94</v>
      </c>
      <c r="Y747" t="s">
        <v>94</v>
      </c>
      <c r="Z747" t="s">
        <v>95</v>
      </c>
      <c r="AA747">
        <v>289</v>
      </c>
      <c r="AB747" t="s">
        <v>103</v>
      </c>
      <c r="AC747" t="s">
        <v>96</v>
      </c>
      <c r="AD747" t="s">
        <v>117</v>
      </c>
      <c r="AE747" t="s">
        <v>97</v>
      </c>
      <c r="AF747" t="s">
        <v>96</v>
      </c>
      <c r="AG747" t="s">
        <v>99</v>
      </c>
      <c r="AH747" t="s">
        <v>100</v>
      </c>
      <c r="AI747">
        <v>575</v>
      </c>
      <c r="AJ747" t="s">
        <v>118</v>
      </c>
      <c r="AK747">
        <v>80</v>
      </c>
      <c r="AL747">
        <v>487</v>
      </c>
      <c r="AM747">
        <v>1142</v>
      </c>
      <c r="AN747" t="s">
        <v>102</v>
      </c>
      <c r="AO747" t="s">
        <v>103</v>
      </c>
      <c r="AP747" t="s">
        <v>104</v>
      </c>
      <c r="AQ747" t="s">
        <v>105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96</v>
      </c>
      <c r="BC747">
        <v>11</v>
      </c>
      <c r="BD747" t="s">
        <v>106</v>
      </c>
      <c r="BE747">
        <v>2</v>
      </c>
      <c r="BF747" t="s">
        <v>97</v>
      </c>
      <c r="BG747" t="s">
        <v>155</v>
      </c>
      <c r="BH747">
        <v>1994</v>
      </c>
      <c r="BI747" t="s">
        <v>156</v>
      </c>
      <c r="BJ747">
        <v>2</v>
      </c>
      <c r="BK747">
        <v>831</v>
      </c>
      <c r="BL747" t="s">
        <v>97</v>
      </c>
      <c r="BM747" t="s">
        <v>97</v>
      </c>
      <c r="BN747" t="s">
        <v>104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X747">
        <v>0</v>
      </c>
      <c r="BY747">
        <v>7</v>
      </c>
      <c r="BZ747">
        <v>2008</v>
      </c>
      <c r="CA747" t="s">
        <v>109</v>
      </c>
      <c r="CB747" t="s">
        <v>110</v>
      </c>
      <c r="CC747">
        <v>299800</v>
      </c>
    </row>
    <row r="748" spans="1:81" x14ac:dyDescent="0.3">
      <c r="A748">
        <v>747</v>
      </c>
      <c r="B748">
        <v>60</v>
      </c>
      <c r="C748" t="s">
        <v>81</v>
      </c>
      <c r="E748">
        <v>8795</v>
      </c>
      <c r="F748" t="s">
        <v>82</v>
      </c>
      <c r="H748" t="s">
        <v>119</v>
      </c>
      <c r="I748" t="s">
        <v>84</v>
      </c>
      <c r="J748" t="s">
        <v>85</v>
      </c>
      <c r="K748" t="s">
        <v>86</v>
      </c>
      <c r="L748" t="s">
        <v>87</v>
      </c>
      <c r="M748" t="s">
        <v>192</v>
      </c>
      <c r="N748" t="s">
        <v>89</v>
      </c>
      <c r="O748" t="s">
        <v>89</v>
      </c>
      <c r="P748" t="s">
        <v>90</v>
      </c>
      <c r="Q748" t="s">
        <v>91</v>
      </c>
      <c r="R748">
        <v>7</v>
      </c>
      <c r="S748">
        <v>5</v>
      </c>
      <c r="T748">
        <v>2000</v>
      </c>
      <c r="U748">
        <v>2000</v>
      </c>
      <c r="V748" t="s">
        <v>92</v>
      </c>
      <c r="W748" t="s">
        <v>93</v>
      </c>
      <c r="X748" t="s">
        <v>94</v>
      </c>
      <c r="Y748" t="s">
        <v>94</v>
      </c>
      <c r="Z748" t="s">
        <v>116</v>
      </c>
      <c r="AA748">
        <v>0</v>
      </c>
      <c r="AB748" t="s">
        <v>96</v>
      </c>
      <c r="AC748" t="s">
        <v>97</v>
      </c>
      <c r="AD748" t="s">
        <v>98</v>
      </c>
      <c r="AE748" t="s">
        <v>96</v>
      </c>
      <c r="AF748" t="s">
        <v>97</v>
      </c>
      <c r="AG748" t="s">
        <v>99</v>
      </c>
      <c r="AH748" t="s">
        <v>100</v>
      </c>
      <c r="AI748">
        <v>300</v>
      </c>
      <c r="AJ748" t="s">
        <v>101</v>
      </c>
      <c r="AK748">
        <v>0</v>
      </c>
      <c r="AL748">
        <v>652</v>
      </c>
      <c r="AM748">
        <v>952</v>
      </c>
      <c r="AN748" t="s">
        <v>102</v>
      </c>
      <c r="AO748" t="s">
        <v>103</v>
      </c>
      <c r="AP748" t="s">
        <v>104</v>
      </c>
      <c r="AQ748" t="s">
        <v>105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96</v>
      </c>
      <c r="BC748">
        <v>8</v>
      </c>
      <c r="BD748" t="s">
        <v>106</v>
      </c>
      <c r="BE748">
        <v>1</v>
      </c>
      <c r="BF748" t="s">
        <v>97</v>
      </c>
      <c r="BG748" t="s">
        <v>155</v>
      </c>
      <c r="BH748">
        <v>2000</v>
      </c>
      <c r="BI748" t="s">
        <v>156</v>
      </c>
      <c r="BJ748">
        <v>2</v>
      </c>
      <c r="BK748">
        <v>554</v>
      </c>
      <c r="BL748" t="s">
        <v>97</v>
      </c>
      <c r="BM748" t="s">
        <v>97</v>
      </c>
      <c r="BN748" t="s">
        <v>104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X748">
        <v>0</v>
      </c>
      <c r="BY748">
        <v>4</v>
      </c>
      <c r="BZ748">
        <v>2009</v>
      </c>
      <c r="CA748" t="s">
        <v>109</v>
      </c>
      <c r="CB748" t="s">
        <v>110</v>
      </c>
      <c r="CC748">
        <v>236000</v>
      </c>
    </row>
    <row r="749" spans="1:81" x14ac:dyDescent="0.3">
      <c r="A749">
        <v>748</v>
      </c>
      <c r="B749">
        <v>70</v>
      </c>
      <c r="C749" t="s">
        <v>141</v>
      </c>
      <c r="D749">
        <v>65</v>
      </c>
      <c r="E749">
        <v>11700</v>
      </c>
      <c r="F749" t="s">
        <v>82</v>
      </c>
      <c r="G749" t="s">
        <v>82</v>
      </c>
      <c r="H749" t="s">
        <v>119</v>
      </c>
      <c r="I749" t="s">
        <v>84</v>
      </c>
      <c r="J749" t="s">
        <v>85</v>
      </c>
      <c r="K749" t="s">
        <v>121</v>
      </c>
      <c r="L749" t="s">
        <v>87</v>
      </c>
      <c r="M749" t="s">
        <v>142</v>
      </c>
      <c r="N749" t="s">
        <v>89</v>
      </c>
      <c r="O749" t="s">
        <v>89</v>
      </c>
      <c r="P749" t="s">
        <v>90</v>
      </c>
      <c r="Q749" t="s">
        <v>91</v>
      </c>
      <c r="R749">
        <v>7</v>
      </c>
      <c r="S749">
        <v>7</v>
      </c>
      <c r="T749">
        <v>1880</v>
      </c>
      <c r="U749">
        <v>2003</v>
      </c>
      <c r="V749" t="s">
        <v>210</v>
      </c>
      <c r="W749" t="s">
        <v>93</v>
      </c>
      <c r="X749" t="s">
        <v>202</v>
      </c>
      <c r="Y749" t="s">
        <v>202</v>
      </c>
      <c r="Z749" t="s">
        <v>116</v>
      </c>
      <c r="AA749">
        <v>0</v>
      </c>
      <c r="AB749" t="s">
        <v>96</v>
      </c>
      <c r="AC749" t="s">
        <v>97</v>
      </c>
      <c r="AD749" t="s">
        <v>136</v>
      </c>
      <c r="AE749" t="s">
        <v>97</v>
      </c>
      <c r="AF749" t="s">
        <v>146</v>
      </c>
      <c r="AG749" t="s">
        <v>99</v>
      </c>
      <c r="AH749" t="s">
        <v>101</v>
      </c>
      <c r="AI749">
        <v>0</v>
      </c>
      <c r="AJ749" t="s">
        <v>101</v>
      </c>
      <c r="AK749">
        <v>0</v>
      </c>
      <c r="AL749">
        <v>1240</v>
      </c>
      <c r="AM749">
        <v>1240</v>
      </c>
      <c r="AN749" t="s">
        <v>205</v>
      </c>
      <c r="AO749" t="s">
        <v>97</v>
      </c>
      <c r="AP749" t="s">
        <v>176</v>
      </c>
      <c r="AQ749" t="s">
        <v>105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96</v>
      </c>
      <c r="BC749">
        <v>8</v>
      </c>
      <c r="BD749" t="s">
        <v>106</v>
      </c>
      <c r="BE749">
        <v>1</v>
      </c>
      <c r="BF749" t="s">
        <v>96</v>
      </c>
      <c r="BG749" t="s">
        <v>126</v>
      </c>
      <c r="BH749">
        <v>1950</v>
      </c>
      <c r="BI749" t="s">
        <v>101</v>
      </c>
      <c r="BJ749">
        <v>4</v>
      </c>
      <c r="BK749">
        <v>864</v>
      </c>
      <c r="BL749" t="s">
        <v>97</v>
      </c>
      <c r="BM749" t="s">
        <v>97</v>
      </c>
      <c r="BN749" t="s">
        <v>176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X749">
        <v>0</v>
      </c>
      <c r="BY749">
        <v>5</v>
      </c>
      <c r="BZ749">
        <v>2009</v>
      </c>
      <c r="CA749" t="s">
        <v>109</v>
      </c>
      <c r="CB749" t="s">
        <v>110</v>
      </c>
      <c r="CC749">
        <v>265979</v>
      </c>
    </row>
    <row r="750" spans="1:81" x14ac:dyDescent="0.3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H750" t="s">
        <v>119</v>
      </c>
      <c r="I750" t="s">
        <v>84</v>
      </c>
      <c r="J750" t="s">
        <v>85</v>
      </c>
      <c r="K750" t="s">
        <v>86</v>
      </c>
      <c r="L750" t="s">
        <v>87</v>
      </c>
      <c r="M750" t="s">
        <v>128</v>
      </c>
      <c r="N750" t="s">
        <v>89</v>
      </c>
      <c r="O750" t="s">
        <v>89</v>
      </c>
      <c r="P750" t="s">
        <v>90</v>
      </c>
      <c r="Q750" t="s">
        <v>114</v>
      </c>
      <c r="R750">
        <v>7</v>
      </c>
      <c r="S750">
        <v>5</v>
      </c>
      <c r="T750">
        <v>1996</v>
      </c>
      <c r="U750">
        <v>1996</v>
      </c>
      <c r="V750" t="s">
        <v>151</v>
      </c>
      <c r="W750" t="s">
        <v>93</v>
      </c>
      <c r="X750" t="s">
        <v>94</v>
      </c>
      <c r="Y750" t="s">
        <v>94</v>
      </c>
      <c r="Z750" t="s">
        <v>95</v>
      </c>
      <c r="AA750">
        <v>338</v>
      </c>
      <c r="AB750" t="s">
        <v>96</v>
      </c>
      <c r="AC750" t="s">
        <v>97</v>
      </c>
      <c r="AD750" t="s">
        <v>98</v>
      </c>
      <c r="AE750" t="s">
        <v>96</v>
      </c>
      <c r="AF750" t="s">
        <v>97</v>
      </c>
      <c r="AG750" t="s">
        <v>99</v>
      </c>
      <c r="AH750" t="s">
        <v>100</v>
      </c>
      <c r="AI750">
        <v>919</v>
      </c>
      <c r="AJ750" t="s">
        <v>101</v>
      </c>
      <c r="AK750">
        <v>0</v>
      </c>
      <c r="AL750">
        <v>801</v>
      </c>
      <c r="AM750">
        <v>1720</v>
      </c>
      <c r="AN750" t="s">
        <v>102</v>
      </c>
      <c r="AO750" t="s">
        <v>103</v>
      </c>
      <c r="AP750" t="s">
        <v>104</v>
      </c>
      <c r="AQ750" t="s">
        <v>105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96</v>
      </c>
      <c r="BC750">
        <v>7</v>
      </c>
      <c r="BD750" t="s">
        <v>106</v>
      </c>
      <c r="BE750">
        <v>1</v>
      </c>
      <c r="BF750" t="s">
        <v>97</v>
      </c>
      <c r="BG750" t="s">
        <v>107</v>
      </c>
      <c r="BH750">
        <v>1996</v>
      </c>
      <c r="BI750" t="s">
        <v>156</v>
      </c>
      <c r="BJ750">
        <v>2</v>
      </c>
      <c r="BK750">
        <v>527</v>
      </c>
      <c r="BL750" t="s">
        <v>97</v>
      </c>
      <c r="BM750" t="s">
        <v>97</v>
      </c>
      <c r="BN750" t="s">
        <v>104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X750">
        <v>0</v>
      </c>
      <c r="BY750">
        <v>3</v>
      </c>
      <c r="BZ750">
        <v>2010</v>
      </c>
      <c r="CA750" t="s">
        <v>109</v>
      </c>
      <c r="CB750" t="s">
        <v>110</v>
      </c>
      <c r="CC750">
        <v>260400</v>
      </c>
    </row>
    <row r="751" spans="1:81" x14ac:dyDescent="0.3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H751" t="s">
        <v>83</v>
      </c>
      <c r="I751" t="s">
        <v>84</v>
      </c>
      <c r="J751" t="s">
        <v>85</v>
      </c>
      <c r="K751" t="s">
        <v>86</v>
      </c>
      <c r="L751" t="s">
        <v>87</v>
      </c>
      <c r="M751" t="s">
        <v>184</v>
      </c>
      <c r="N751" t="s">
        <v>89</v>
      </c>
      <c r="O751" t="s">
        <v>89</v>
      </c>
      <c r="P751" t="s">
        <v>90</v>
      </c>
      <c r="Q751" t="s">
        <v>131</v>
      </c>
      <c r="R751">
        <v>4</v>
      </c>
      <c r="S751">
        <v>3</v>
      </c>
      <c r="T751">
        <v>1945</v>
      </c>
      <c r="U751">
        <v>1950</v>
      </c>
      <c r="V751" t="s">
        <v>92</v>
      </c>
      <c r="W751" t="s">
        <v>93</v>
      </c>
      <c r="X751" t="s">
        <v>154</v>
      </c>
      <c r="Y751" t="s">
        <v>124</v>
      </c>
      <c r="Z751" t="s">
        <v>116</v>
      </c>
      <c r="AA751">
        <v>0</v>
      </c>
      <c r="AB751" t="s">
        <v>97</v>
      </c>
      <c r="AC751" t="s">
        <v>97</v>
      </c>
      <c r="AD751" t="s">
        <v>167</v>
      </c>
      <c r="AI751">
        <v>0</v>
      </c>
      <c r="AK751">
        <v>0</v>
      </c>
      <c r="AL751">
        <v>0</v>
      </c>
      <c r="AM751">
        <v>0</v>
      </c>
      <c r="AN751" t="s">
        <v>239</v>
      </c>
      <c r="AO751" t="s">
        <v>97</v>
      </c>
      <c r="AP751" t="s">
        <v>176</v>
      </c>
      <c r="AQ751" t="s">
        <v>144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97</v>
      </c>
      <c r="BC751">
        <v>9</v>
      </c>
      <c r="BD751" t="s">
        <v>193</v>
      </c>
      <c r="BE751">
        <v>0</v>
      </c>
      <c r="BG751" t="s">
        <v>126</v>
      </c>
      <c r="BH751">
        <v>1945</v>
      </c>
      <c r="BI751" t="s">
        <v>101</v>
      </c>
      <c r="BJ751">
        <v>1</v>
      </c>
      <c r="BK751">
        <v>240</v>
      </c>
      <c r="BL751" t="s">
        <v>97</v>
      </c>
      <c r="BM751" t="s">
        <v>97</v>
      </c>
      <c r="BN751" t="s">
        <v>176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X751">
        <v>0</v>
      </c>
      <c r="BY751">
        <v>4</v>
      </c>
      <c r="BZ751">
        <v>2009</v>
      </c>
      <c r="CA751" t="s">
        <v>109</v>
      </c>
      <c r="CB751" t="s">
        <v>110</v>
      </c>
      <c r="CC751">
        <v>98000</v>
      </c>
    </row>
    <row r="752" spans="1:81" x14ac:dyDescent="0.3">
      <c r="A752">
        <v>751</v>
      </c>
      <c r="B752">
        <v>50</v>
      </c>
      <c r="C752" t="s">
        <v>141</v>
      </c>
      <c r="D752">
        <v>55</v>
      </c>
      <c r="E752">
        <v>8800</v>
      </c>
      <c r="F752" t="s">
        <v>82</v>
      </c>
      <c r="G752" t="s">
        <v>173</v>
      </c>
      <c r="H752" t="s">
        <v>83</v>
      </c>
      <c r="I752" t="s">
        <v>84</v>
      </c>
      <c r="J752" t="s">
        <v>85</v>
      </c>
      <c r="K752" t="s">
        <v>121</v>
      </c>
      <c r="L752" t="s">
        <v>87</v>
      </c>
      <c r="M752" t="s">
        <v>142</v>
      </c>
      <c r="N752" t="s">
        <v>89</v>
      </c>
      <c r="O752" t="s">
        <v>89</v>
      </c>
      <c r="P752" t="s">
        <v>90</v>
      </c>
      <c r="Q752" t="s">
        <v>131</v>
      </c>
      <c r="R752">
        <v>4</v>
      </c>
      <c r="S752">
        <v>7</v>
      </c>
      <c r="T752">
        <v>1910</v>
      </c>
      <c r="U752">
        <v>2004</v>
      </c>
      <c r="V752" t="s">
        <v>92</v>
      </c>
      <c r="W752" t="s">
        <v>93</v>
      </c>
      <c r="X752" t="s">
        <v>123</v>
      </c>
      <c r="Y752" t="s">
        <v>123</v>
      </c>
      <c r="Z752" t="s">
        <v>116</v>
      </c>
      <c r="AA752">
        <v>0</v>
      </c>
      <c r="AB752" t="s">
        <v>97</v>
      </c>
      <c r="AC752" t="s">
        <v>97</v>
      </c>
      <c r="AD752" t="s">
        <v>125</v>
      </c>
      <c r="AE752" t="s">
        <v>97</v>
      </c>
      <c r="AF752" t="s">
        <v>146</v>
      </c>
      <c r="AG752" t="s">
        <v>99</v>
      </c>
      <c r="AH752" t="s">
        <v>101</v>
      </c>
      <c r="AI752">
        <v>0</v>
      </c>
      <c r="AJ752" t="s">
        <v>101</v>
      </c>
      <c r="AK752">
        <v>0</v>
      </c>
      <c r="AL752">
        <v>576</v>
      </c>
      <c r="AM752">
        <v>576</v>
      </c>
      <c r="AN752" t="s">
        <v>102</v>
      </c>
      <c r="AO752" t="s">
        <v>96</v>
      </c>
      <c r="AP752" t="s">
        <v>104</v>
      </c>
      <c r="AQ752" t="s">
        <v>105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97</v>
      </c>
      <c r="BC752">
        <v>7</v>
      </c>
      <c r="BD752" t="s">
        <v>223</v>
      </c>
      <c r="BE752">
        <v>0</v>
      </c>
      <c r="BJ752">
        <v>0</v>
      </c>
      <c r="BK752">
        <v>0</v>
      </c>
      <c r="BN752" t="s">
        <v>176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X752">
        <v>0</v>
      </c>
      <c r="BY752">
        <v>6</v>
      </c>
      <c r="BZ752">
        <v>2010</v>
      </c>
      <c r="CA752" t="s">
        <v>109</v>
      </c>
      <c r="CB752" t="s">
        <v>110</v>
      </c>
      <c r="CC752">
        <v>96500</v>
      </c>
    </row>
    <row r="753" spans="1:81" x14ac:dyDescent="0.3">
      <c r="A753">
        <v>752</v>
      </c>
      <c r="B753">
        <v>60</v>
      </c>
      <c r="C753" t="s">
        <v>81</v>
      </c>
      <c r="E753">
        <v>7750</v>
      </c>
      <c r="F753" t="s">
        <v>82</v>
      </c>
      <c r="H753" t="s">
        <v>83</v>
      </c>
      <c r="I753" t="s">
        <v>84</v>
      </c>
      <c r="J753" t="s">
        <v>85</v>
      </c>
      <c r="K753" t="s">
        <v>86</v>
      </c>
      <c r="L753" t="s">
        <v>87</v>
      </c>
      <c r="M753" t="s">
        <v>192</v>
      </c>
      <c r="N753" t="s">
        <v>201</v>
      </c>
      <c r="O753" t="s">
        <v>89</v>
      </c>
      <c r="P753" t="s">
        <v>90</v>
      </c>
      <c r="Q753" t="s">
        <v>91</v>
      </c>
      <c r="R753">
        <v>7</v>
      </c>
      <c r="S753">
        <v>5</v>
      </c>
      <c r="T753">
        <v>2003</v>
      </c>
      <c r="U753">
        <v>2003</v>
      </c>
      <c r="V753" t="s">
        <v>92</v>
      </c>
      <c r="W753" t="s">
        <v>93</v>
      </c>
      <c r="X753" t="s">
        <v>94</v>
      </c>
      <c r="Y753" t="s">
        <v>94</v>
      </c>
      <c r="Z753" t="s">
        <v>116</v>
      </c>
      <c r="AA753">
        <v>0</v>
      </c>
      <c r="AB753" t="s">
        <v>96</v>
      </c>
      <c r="AC753" t="s">
        <v>97</v>
      </c>
      <c r="AD753" t="s">
        <v>98</v>
      </c>
      <c r="AE753" t="s">
        <v>96</v>
      </c>
      <c r="AF753" t="s">
        <v>97</v>
      </c>
      <c r="AG753" t="s">
        <v>99</v>
      </c>
      <c r="AH753" t="s">
        <v>101</v>
      </c>
      <c r="AI753">
        <v>0</v>
      </c>
      <c r="AJ753" t="s">
        <v>101</v>
      </c>
      <c r="AK753">
        <v>0</v>
      </c>
      <c r="AL753">
        <v>660</v>
      </c>
      <c r="AM753">
        <v>660</v>
      </c>
      <c r="AN753" t="s">
        <v>102</v>
      </c>
      <c r="AO753" t="s">
        <v>103</v>
      </c>
      <c r="AP753" t="s">
        <v>104</v>
      </c>
      <c r="AQ753" t="s">
        <v>105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96</v>
      </c>
      <c r="BC753">
        <v>6</v>
      </c>
      <c r="BD753" t="s">
        <v>106</v>
      </c>
      <c r="BE753">
        <v>0</v>
      </c>
      <c r="BG753" t="s">
        <v>107</v>
      </c>
      <c r="BH753">
        <v>2003</v>
      </c>
      <c r="BI753" t="s">
        <v>156</v>
      </c>
      <c r="BJ753">
        <v>2</v>
      </c>
      <c r="BK753">
        <v>400</v>
      </c>
      <c r="BL753" t="s">
        <v>97</v>
      </c>
      <c r="BM753" t="s">
        <v>97</v>
      </c>
      <c r="BN753" t="s">
        <v>104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X753">
        <v>0</v>
      </c>
      <c r="BY753">
        <v>8</v>
      </c>
      <c r="BZ753">
        <v>2007</v>
      </c>
      <c r="CA753" t="s">
        <v>109</v>
      </c>
      <c r="CB753" t="s">
        <v>110</v>
      </c>
      <c r="CC753">
        <v>162000</v>
      </c>
    </row>
    <row r="754" spans="1:81" x14ac:dyDescent="0.3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H754" t="s">
        <v>119</v>
      </c>
      <c r="I754" t="s">
        <v>84</v>
      </c>
      <c r="J754" t="s">
        <v>85</v>
      </c>
      <c r="K754" t="s">
        <v>86</v>
      </c>
      <c r="L754" t="s">
        <v>87</v>
      </c>
      <c r="M754" t="s">
        <v>88</v>
      </c>
      <c r="N754" t="s">
        <v>89</v>
      </c>
      <c r="O754" t="s">
        <v>89</v>
      </c>
      <c r="P754" t="s">
        <v>90</v>
      </c>
      <c r="Q754" t="s">
        <v>114</v>
      </c>
      <c r="R754">
        <v>6</v>
      </c>
      <c r="S754">
        <v>5</v>
      </c>
      <c r="T754">
        <v>1997</v>
      </c>
      <c r="U754">
        <v>1997</v>
      </c>
      <c r="V754" t="s">
        <v>92</v>
      </c>
      <c r="W754" t="s">
        <v>93</v>
      </c>
      <c r="X754" t="s">
        <v>94</v>
      </c>
      <c r="Y754" t="s">
        <v>94</v>
      </c>
      <c r="Z754" t="s">
        <v>116</v>
      </c>
      <c r="AA754">
        <v>0</v>
      </c>
      <c r="AB754" t="s">
        <v>97</v>
      </c>
      <c r="AC754" t="s">
        <v>96</v>
      </c>
      <c r="AD754" t="s">
        <v>98</v>
      </c>
      <c r="AE754" t="s">
        <v>96</v>
      </c>
      <c r="AF754" t="s">
        <v>97</v>
      </c>
      <c r="AG754" t="s">
        <v>96</v>
      </c>
      <c r="AH754" t="s">
        <v>100</v>
      </c>
      <c r="AI754">
        <v>1200</v>
      </c>
      <c r="AJ754" t="s">
        <v>101</v>
      </c>
      <c r="AK754">
        <v>0</v>
      </c>
      <c r="AL754">
        <v>279</v>
      </c>
      <c r="AM754">
        <v>1479</v>
      </c>
      <c r="AN754" t="s">
        <v>102</v>
      </c>
      <c r="AO754" t="s">
        <v>103</v>
      </c>
      <c r="AP754" t="s">
        <v>104</v>
      </c>
      <c r="AQ754" t="s">
        <v>105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96</v>
      </c>
      <c r="BC754">
        <v>6</v>
      </c>
      <c r="BD754" t="s">
        <v>106</v>
      </c>
      <c r="BE754">
        <v>0</v>
      </c>
      <c r="BG754" t="s">
        <v>107</v>
      </c>
      <c r="BH754">
        <v>1997</v>
      </c>
      <c r="BI754" t="s">
        <v>108</v>
      </c>
      <c r="BJ754">
        <v>2</v>
      </c>
      <c r="BK754">
        <v>576</v>
      </c>
      <c r="BL754" t="s">
        <v>97</v>
      </c>
      <c r="BM754" t="s">
        <v>97</v>
      </c>
      <c r="BN754" t="s">
        <v>104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X754">
        <v>0</v>
      </c>
      <c r="BY754">
        <v>7</v>
      </c>
      <c r="BZ754">
        <v>2006</v>
      </c>
      <c r="CA754" t="s">
        <v>109</v>
      </c>
      <c r="CB754" t="s">
        <v>110</v>
      </c>
      <c r="CC754">
        <v>217000</v>
      </c>
    </row>
    <row r="755" spans="1:81" x14ac:dyDescent="0.3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H755" t="s">
        <v>83</v>
      </c>
      <c r="I755" t="s">
        <v>84</v>
      </c>
      <c r="J755" t="s">
        <v>85</v>
      </c>
      <c r="K755" t="s">
        <v>86</v>
      </c>
      <c r="L755" t="s">
        <v>87</v>
      </c>
      <c r="M755" t="s">
        <v>153</v>
      </c>
      <c r="N755" t="s">
        <v>89</v>
      </c>
      <c r="O755" t="s">
        <v>89</v>
      </c>
      <c r="P755" t="s">
        <v>90</v>
      </c>
      <c r="Q755" t="s">
        <v>91</v>
      </c>
      <c r="R755">
        <v>8</v>
      </c>
      <c r="S755">
        <v>5</v>
      </c>
      <c r="T755">
        <v>2005</v>
      </c>
      <c r="U755">
        <v>2005</v>
      </c>
      <c r="V755" t="s">
        <v>92</v>
      </c>
      <c r="W755" t="s">
        <v>93</v>
      </c>
      <c r="X755" t="s">
        <v>94</v>
      </c>
      <c r="Y755" t="s">
        <v>94</v>
      </c>
      <c r="Z755" t="s">
        <v>95</v>
      </c>
      <c r="AA755">
        <v>178</v>
      </c>
      <c r="AB755" t="s">
        <v>96</v>
      </c>
      <c r="AC755" t="s">
        <v>97</v>
      </c>
      <c r="AD755" t="s">
        <v>98</v>
      </c>
      <c r="AE755" t="s">
        <v>96</v>
      </c>
      <c r="AF755" t="s">
        <v>97</v>
      </c>
      <c r="AG755" t="s">
        <v>120</v>
      </c>
      <c r="AH755" t="s">
        <v>101</v>
      </c>
      <c r="AI755">
        <v>0</v>
      </c>
      <c r="AJ755" t="s">
        <v>101</v>
      </c>
      <c r="AK755">
        <v>0</v>
      </c>
      <c r="AL755">
        <v>1030</v>
      </c>
      <c r="AM755">
        <v>1030</v>
      </c>
      <c r="AN755" t="s">
        <v>102</v>
      </c>
      <c r="AO755" t="s">
        <v>96</v>
      </c>
      <c r="AP755" t="s">
        <v>104</v>
      </c>
      <c r="AQ755" t="s">
        <v>105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103</v>
      </c>
      <c r="BC755">
        <v>8</v>
      </c>
      <c r="BD755" t="s">
        <v>106</v>
      </c>
      <c r="BE755">
        <v>1</v>
      </c>
      <c r="BF755" t="s">
        <v>96</v>
      </c>
      <c r="BG755" t="s">
        <v>107</v>
      </c>
      <c r="BH755">
        <v>2005</v>
      </c>
      <c r="BI755" t="s">
        <v>108</v>
      </c>
      <c r="BJ755">
        <v>3</v>
      </c>
      <c r="BK755">
        <v>878</v>
      </c>
      <c r="BL755" t="s">
        <v>97</v>
      </c>
      <c r="BM755" t="s">
        <v>97</v>
      </c>
      <c r="BN755" t="s">
        <v>104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X755">
        <v>0</v>
      </c>
      <c r="BY755">
        <v>3</v>
      </c>
      <c r="BZ755">
        <v>2006</v>
      </c>
      <c r="CA755" t="s">
        <v>109</v>
      </c>
      <c r="CB755" t="s">
        <v>110</v>
      </c>
      <c r="CC755">
        <v>275500</v>
      </c>
    </row>
    <row r="756" spans="1:81" x14ac:dyDescent="0.3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H756" t="s">
        <v>83</v>
      </c>
      <c r="I756" t="s">
        <v>84</v>
      </c>
      <c r="J756" t="s">
        <v>85</v>
      </c>
      <c r="K756" t="s">
        <v>86</v>
      </c>
      <c r="L756" t="s">
        <v>87</v>
      </c>
      <c r="M756" t="s">
        <v>270</v>
      </c>
      <c r="N756" t="s">
        <v>89</v>
      </c>
      <c r="O756" t="s">
        <v>89</v>
      </c>
      <c r="P756" t="s">
        <v>90</v>
      </c>
      <c r="Q756" t="s">
        <v>114</v>
      </c>
      <c r="R756">
        <v>6</v>
      </c>
      <c r="S756">
        <v>8</v>
      </c>
      <c r="T756">
        <v>1969</v>
      </c>
      <c r="U756">
        <v>2005</v>
      </c>
      <c r="V756" t="s">
        <v>92</v>
      </c>
      <c r="W756" t="s">
        <v>93</v>
      </c>
      <c r="X756" t="s">
        <v>160</v>
      </c>
      <c r="Y756" t="s">
        <v>160</v>
      </c>
      <c r="Z756" t="s">
        <v>116</v>
      </c>
      <c r="AA756">
        <v>0</v>
      </c>
      <c r="AB756" t="s">
        <v>97</v>
      </c>
      <c r="AC756" t="s">
        <v>97</v>
      </c>
      <c r="AD756" t="s">
        <v>117</v>
      </c>
      <c r="AE756" t="s">
        <v>97</v>
      </c>
      <c r="AF756" t="s">
        <v>97</v>
      </c>
      <c r="AG756" t="s">
        <v>99</v>
      </c>
      <c r="AH756" t="s">
        <v>100</v>
      </c>
      <c r="AI756">
        <v>439</v>
      </c>
      <c r="AJ756" t="s">
        <v>171</v>
      </c>
      <c r="AK756">
        <v>472</v>
      </c>
      <c r="AL756">
        <v>115</v>
      </c>
      <c r="AM756">
        <v>1026</v>
      </c>
      <c r="AN756" t="s">
        <v>102</v>
      </c>
      <c r="AO756" t="s">
        <v>96</v>
      </c>
      <c r="AP756" t="s">
        <v>104</v>
      </c>
      <c r="AQ756" t="s">
        <v>105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96</v>
      </c>
      <c r="BC756">
        <v>5</v>
      </c>
      <c r="BD756" t="s">
        <v>106</v>
      </c>
      <c r="BE756">
        <v>0</v>
      </c>
      <c r="BG756" t="s">
        <v>126</v>
      </c>
      <c r="BH756">
        <v>1969</v>
      </c>
      <c r="BI756" t="s">
        <v>108</v>
      </c>
      <c r="BJ756">
        <v>2</v>
      </c>
      <c r="BK756">
        <v>440</v>
      </c>
      <c r="BL756" t="s">
        <v>97</v>
      </c>
      <c r="BM756" t="s">
        <v>97</v>
      </c>
      <c r="BN756" t="s">
        <v>104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X756">
        <v>0</v>
      </c>
      <c r="BY756">
        <v>7</v>
      </c>
      <c r="BZ756">
        <v>2009</v>
      </c>
      <c r="CA756" t="s">
        <v>109</v>
      </c>
      <c r="CB756" t="s">
        <v>110</v>
      </c>
      <c r="CC756">
        <v>156000</v>
      </c>
    </row>
    <row r="757" spans="1:81" x14ac:dyDescent="0.3">
      <c r="A757">
        <v>756</v>
      </c>
      <c r="B757">
        <v>160</v>
      </c>
      <c r="C757" t="s">
        <v>191</v>
      </c>
      <c r="D757">
        <v>34</v>
      </c>
      <c r="E757">
        <v>3230</v>
      </c>
      <c r="F757" t="s">
        <v>82</v>
      </c>
      <c r="G757" t="s">
        <v>82</v>
      </c>
      <c r="H757" t="s">
        <v>83</v>
      </c>
      <c r="I757" t="s">
        <v>84</v>
      </c>
      <c r="J757" t="s">
        <v>85</v>
      </c>
      <c r="K757" t="s">
        <v>86</v>
      </c>
      <c r="L757" t="s">
        <v>87</v>
      </c>
      <c r="M757" t="s">
        <v>135</v>
      </c>
      <c r="N757" t="s">
        <v>89</v>
      </c>
      <c r="O757" t="s">
        <v>89</v>
      </c>
      <c r="P757" t="s">
        <v>178</v>
      </c>
      <c r="Q757" t="s">
        <v>91</v>
      </c>
      <c r="R757">
        <v>6</v>
      </c>
      <c r="S757">
        <v>5</v>
      </c>
      <c r="T757">
        <v>1999</v>
      </c>
      <c r="U757">
        <v>1999</v>
      </c>
      <c r="V757" t="s">
        <v>92</v>
      </c>
      <c r="W757" t="s">
        <v>93</v>
      </c>
      <c r="X757" t="s">
        <v>115</v>
      </c>
      <c r="Y757" t="s">
        <v>115</v>
      </c>
      <c r="Z757" t="s">
        <v>95</v>
      </c>
      <c r="AA757">
        <v>894</v>
      </c>
      <c r="AB757" t="s">
        <v>97</v>
      </c>
      <c r="AC757" t="s">
        <v>97</v>
      </c>
      <c r="AD757" t="s">
        <v>98</v>
      </c>
      <c r="AE757" t="s">
        <v>96</v>
      </c>
      <c r="AF757" t="s">
        <v>97</v>
      </c>
      <c r="AG757" t="s">
        <v>99</v>
      </c>
      <c r="AH757" t="s">
        <v>100</v>
      </c>
      <c r="AI757">
        <v>381</v>
      </c>
      <c r="AJ757" t="s">
        <v>101</v>
      </c>
      <c r="AK757">
        <v>0</v>
      </c>
      <c r="AL757">
        <v>348</v>
      </c>
      <c r="AM757">
        <v>729</v>
      </c>
      <c r="AN757" t="s">
        <v>102</v>
      </c>
      <c r="AO757" t="s">
        <v>96</v>
      </c>
      <c r="AP757" t="s">
        <v>104</v>
      </c>
      <c r="AQ757" t="s">
        <v>105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97</v>
      </c>
      <c r="BC757">
        <v>6</v>
      </c>
      <c r="BD757" t="s">
        <v>106</v>
      </c>
      <c r="BE757">
        <v>0</v>
      </c>
      <c r="BG757" t="s">
        <v>126</v>
      </c>
      <c r="BH757">
        <v>1999</v>
      </c>
      <c r="BI757" t="s">
        <v>101</v>
      </c>
      <c r="BJ757">
        <v>2</v>
      </c>
      <c r="BK757">
        <v>440</v>
      </c>
      <c r="BL757" t="s">
        <v>97</v>
      </c>
      <c r="BM757" t="s">
        <v>97</v>
      </c>
      <c r="BN757" t="s">
        <v>104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X757">
        <v>0</v>
      </c>
      <c r="BY757">
        <v>3</v>
      </c>
      <c r="BZ757">
        <v>2009</v>
      </c>
      <c r="CA757" t="s">
        <v>109</v>
      </c>
      <c r="CB757" t="s">
        <v>110</v>
      </c>
      <c r="CC757">
        <v>172500</v>
      </c>
    </row>
    <row r="758" spans="1:81" x14ac:dyDescent="0.3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H758" t="s">
        <v>119</v>
      </c>
      <c r="I758" t="s">
        <v>84</v>
      </c>
      <c r="J758" t="s">
        <v>85</v>
      </c>
      <c r="K758" t="s">
        <v>86</v>
      </c>
      <c r="L758" t="s">
        <v>87</v>
      </c>
      <c r="M758" t="s">
        <v>88</v>
      </c>
      <c r="N758" t="s">
        <v>89</v>
      </c>
      <c r="O758" t="s">
        <v>89</v>
      </c>
      <c r="P758" t="s">
        <v>90</v>
      </c>
      <c r="Q758" t="s">
        <v>91</v>
      </c>
      <c r="R758">
        <v>8</v>
      </c>
      <c r="S758">
        <v>5</v>
      </c>
      <c r="T758">
        <v>2007</v>
      </c>
      <c r="U758">
        <v>2007</v>
      </c>
      <c r="V758" t="s">
        <v>92</v>
      </c>
      <c r="W758" t="s">
        <v>93</v>
      </c>
      <c r="X758" t="s">
        <v>94</v>
      </c>
      <c r="Y758" t="s">
        <v>94</v>
      </c>
      <c r="Z758" t="s">
        <v>116</v>
      </c>
      <c r="AA758">
        <v>0</v>
      </c>
      <c r="AB758" t="s">
        <v>96</v>
      </c>
      <c r="AC758" t="s">
        <v>97</v>
      </c>
      <c r="AD758" t="s">
        <v>98</v>
      </c>
      <c r="AE758" t="s">
        <v>96</v>
      </c>
      <c r="AF758" t="s">
        <v>97</v>
      </c>
      <c r="AG758" t="s">
        <v>129</v>
      </c>
      <c r="AH758" t="s">
        <v>100</v>
      </c>
      <c r="AI758">
        <v>20</v>
      </c>
      <c r="AJ758" t="s">
        <v>101</v>
      </c>
      <c r="AK758">
        <v>0</v>
      </c>
      <c r="AL758">
        <v>846</v>
      </c>
      <c r="AM758">
        <v>866</v>
      </c>
      <c r="AN758" t="s">
        <v>102</v>
      </c>
      <c r="AO758" t="s">
        <v>103</v>
      </c>
      <c r="AP758" t="s">
        <v>104</v>
      </c>
      <c r="AQ758" t="s">
        <v>105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96</v>
      </c>
      <c r="BC758">
        <v>7</v>
      </c>
      <c r="BD758" t="s">
        <v>106</v>
      </c>
      <c r="BE758">
        <v>0</v>
      </c>
      <c r="BG758" t="s">
        <v>107</v>
      </c>
      <c r="BH758">
        <v>2007</v>
      </c>
      <c r="BI758" t="s">
        <v>108</v>
      </c>
      <c r="BJ758">
        <v>2</v>
      </c>
      <c r="BK758">
        <v>578</v>
      </c>
      <c r="BL758" t="s">
        <v>97</v>
      </c>
      <c r="BM758" t="s">
        <v>97</v>
      </c>
      <c r="BN758" t="s">
        <v>104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X758">
        <v>0</v>
      </c>
      <c r="BY758">
        <v>4</v>
      </c>
      <c r="BZ758">
        <v>2009</v>
      </c>
      <c r="CA758" t="s">
        <v>109</v>
      </c>
      <c r="CB758" t="s">
        <v>110</v>
      </c>
      <c r="CC758">
        <v>212000</v>
      </c>
    </row>
    <row r="759" spans="1:81" x14ac:dyDescent="0.3">
      <c r="A759">
        <v>758</v>
      </c>
      <c r="B759">
        <v>60</v>
      </c>
      <c r="C759" t="s">
        <v>81</v>
      </c>
      <c r="E759">
        <v>11616</v>
      </c>
      <c r="F759" t="s">
        <v>82</v>
      </c>
      <c r="H759" t="s">
        <v>119</v>
      </c>
      <c r="I759" t="s">
        <v>84</v>
      </c>
      <c r="J759" t="s">
        <v>85</v>
      </c>
      <c r="K759" t="s">
        <v>165</v>
      </c>
      <c r="L759" t="s">
        <v>87</v>
      </c>
      <c r="M759" t="s">
        <v>150</v>
      </c>
      <c r="N759" t="s">
        <v>89</v>
      </c>
      <c r="O759" t="s">
        <v>89</v>
      </c>
      <c r="P759" t="s">
        <v>90</v>
      </c>
      <c r="Q759" t="s">
        <v>91</v>
      </c>
      <c r="R759">
        <v>6</v>
      </c>
      <c r="S759">
        <v>5</v>
      </c>
      <c r="T759">
        <v>1978</v>
      </c>
      <c r="U759">
        <v>1978</v>
      </c>
      <c r="V759" t="s">
        <v>151</v>
      </c>
      <c r="W759" t="s">
        <v>93</v>
      </c>
      <c r="X759" t="s">
        <v>139</v>
      </c>
      <c r="Y759" t="s">
        <v>139</v>
      </c>
      <c r="Z759" t="s">
        <v>206</v>
      </c>
      <c r="AA759">
        <v>328</v>
      </c>
      <c r="AB759" t="s">
        <v>97</v>
      </c>
      <c r="AC759" t="s">
        <v>97</v>
      </c>
      <c r="AD759" t="s">
        <v>117</v>
      </c>
      <c r="AE759" t="s">
        <v>97</v>
      </c>
      <c r="AF759" t="s">
        <v>97</v>
      </c>
      <c r="AG759" t="s">
        <v>120</v>
      </c>
      <c r="AH759" t="s">
        <v>152</v>
      </c>
      <c r="AI759">
        <v>438</v>
      </c>
      <c r="AJ759" t="s">
        <v>101</v>
      </c>
      <c r="AK759">
        <v>0</v>
      </c>
      <c r="AL759">
        <v>234</v>
      </c>
      <c r="AM759">
        <v>672</v>
      </c>
      <c r="AN759" t="s">
        <v>102</v>
      </c>
      <c r="AO759" t="s">
        <v>97</v>
      </c>
      <c r="AP759" t="s">
        <v>104</v>
      </c>
      <c r="AQ759" t="s">
        <v>105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97</v>
      </c>
      <c r="BC759">
        <v>6</v>
      </c>
      <c r="BD759" t="s">
        <v>106</v>
      </c>
      <c r="BE759">
        <v>1</v>
      </c>
      <c r="BF759" t="s">
        <v>97</v>
      </c>
      <c r="BG759" t="s">
        <v>107</v>
      </c>
      <c r="BH759">
        <v>1978</v>
      </c>
      <c r="BI759" t="s">
        <v>156</v>
      </c>
      <c r="BJ759">
        <v>2</v>
      </c>
      <c r="BK759">
        <v>440</v>
      </c>
      <c r="BL759" t="s">
        <v>97</v>
      </c>
      <c r="BM759" t="s">
        <v>97</v>
      </c>
      <c r="BN759" t="s">
        <v>104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V759" t="s">
        <v>164</v>
      </c>
      <c r="BX759">
        <v>0</v>
      </c>
      <c r="BY759">
        <v>4</v>
      </c>
      <c r="BZ759">
        <v>2010</v>
      </c>
      <c r="CA759" t="s">
        <v>109</v>
      </c>
      <c r="CB759" t="s">
        <v>127</v>
      </c>
      <c r="CC759">
        <v>158900</v>
      </c>
    </row>
    <row r="760" spans="1:81" x14ac:dyDescent="0.3">
      <c r="A760">
        <v>759</v>
      </c>
      <c r="B760">
        <v>160</v>
      </c>
      <c r="C760" t="s">
        <v>191</v>
      </c>
      <c r="D760">
        <v>24</v>
      </c>
      <c r="E760">
        <v>2280</v>
      </c>
      <c r="F760" t="s">
        <v>82</v>
      </c>
      <c r="G760" t="s">
        <v>82</v>
      </c>
      <c r="H760" t="s">
        <v>83</v>
      </c>
      <c r="I760" t="s">
        <v>84</v>
      </c>
      <c r="J760" t="s">
        <v>85</v>
      </c>
      <c r="K760" t="s">
        <v>86</v>
      </c>
      <c r="L760" t="s">
        <v>87</v>
      </c>
      <c r="M760" t="s">
        <v>135</v>
      </c>
      <c r="N760" t="s">
        <v>89</v>
      </c>
      <c r="O760" t="s">
        <v>89</v>
      </c>
      <c r="P760" t="s">
        <v>197</v>
      </c>
      <c r="Q760" t="s">
        <v>91</v>
      </c>
      <c r="R760">
        <v>7</v>
      </c>
      <c r="S760">
        <v>5</v>
      </c>
      <c r="T760">
        <v>1999</v>
      </c>
      <c r="U760">
        <v>1999</v>
      </c>
      <c r="V760" t="s">
        <v>92</v>
      </c>
      <c r="W760" t="s">
        <v>93</v>
      </c>
      <c r="X760" t="s">
        <v>115</v>
      </c>
      <c r="Y760" t="s">
        <v>115</v>
      </c>
      <c r="Z760" t="s">
        <v>95</v>
      </c>
      <c r="AA760">
        <v>360</v>
      </c>
      <c r="AB760" t="s">
        <v>97</v>
      </c>
      <c r="AC760" t="s">
        <v>97</v>
      </c>
      <c r="AD760" t="s">
        <v>98</v>
      </c>
      <c r="AE760" t="s">
        <v>96</v>
      </c>
      <c r="AF760" t="s">
        <v>97</v>
      </c>
      <c r="AG760" t="s">
        <v>99</v>
      </c>
      <c r="AH760" t="s">
        <v>118</v>
      </c>
      <c r="AI760">
        <v>549</v>
      </c>
      <c r="AJ760" t="s">
        <v>101</v>
      </c>
      <c r="AK760">
        <v>0</v>
      </c>
      <c r="AL760">
        <v>195</v>
      </c>
      <c r="AM760">
        <v>744</v>
      </c>
      <c r="AN760" t="s">
        <v>102</v>
      </c>
      <c r="AO760" t="s">
        <v>96</v>
      </c>
      <c r="AP760" t="s">
        <v>104</v>
      </c>
      <c r="AQ760" t="s">
        <v>105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97</v>
      </c>
      <c r="BC760">
        <v>6</v>
      </c>
      <c r="BD760" t="s">
        <v>106</v>
      </c>
      <c r="BE760">
        <v>0</v>
      </c>
      <c r="BG760" t="s">
        <v>126</v>
      </c>
      <c r="BH760">
        <v>1999</v>
      </c>
      <c r="BI760" t="s">
        <v>101</v>
      </c>
      <c r="BJ760">
        <v>2</v>
      </c>
      <c r="BK760">
        <v>440</v>
      </c>
      <c r="BL760" t="s">
        <v>97</v>
      </c>
      <c r="BM760" t="s">
        <v>97</v>
      </c>
      <c r="BN760" t="s">
        <v>104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X760">
        <v>0</v>
      </c>
      <c r="BY760">
        <v>8</v>
      </c>
      <c r="BZ760">
        <v>2008</v>
      </c>
      <c r="CA760" t="s">
        <v>109</v>
      </c>
      <c r="CB760" t="s">
        <v>110</v>
      </c>
      <c r="CC760">
        <v>179400</v>
      </c>
    </row>
    <row r="761" spans="1:81" x14ac:dyDescent="0.3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H761" t="s">
        <v>119</v>
      </c>
      <c r="I761" t="s">
        <v>84</v>
      </c>
      <c r="J761" t="s">
        <v>85</v>
      </c>
      <c r="K761" t="s">
        <v>86</v>
      </c>
      <c r="L761" t="s">
        <v>87</v>
      </c>
      <c r="M761" t="s">
        <v>128</v>
      </c>
      <c r="N761" t="s">
        <v>89</v>
      </c>
      <c r="O761" t="s">
        <v>89</v>
      </c>
      <c r="P761" t="s">
        <v>90</v>
      </c>
      <c r="Q761" t="s">
        <v>91</v>
      </c>
      <c r="R761">
        <v>8</v>
      </c>
      <c r="S761">
        <v>5</v>
      </c>
      <c r="T761">
        <v>1995</v>
      </c>
      <c r="U761">
        <v>1995</v>
      </c>
      <c r="V761" t="s">
        <v>92</v>
      </c>
      <c r="W761" t="s">
        <v>93</v>
      </c>
      <c r="X761" t="s">
        <v>94</v>
      </c>
      <c r="Y761" t="s">
        <v>94</v>
      </c>
      <c r="Z761" t="s">
        <v>95</v>
      </c>
      <c r="AA761">
        <v>513</v>
      </c>
      <c r="AB761" t="s">
        <v>96</v>
      </c>
      <c r="AC761" t="s">
        <v>97</v>
      </c>
      <c r="AD761" t="s">
        <v>98</v>
      </c>
      <c r="AE761" t="s">
        <v>96</v>
      </c>
      <c r="AF761" t="s">
        <v>97</v>
      </c>
      <c r="AG761" t="s">
        <v>129</v>
      </c>
      <c r="AH761" t="s">
        <v>171</v>
      </c>
      <c r="AI761">
        <v>56</v>
      </c>
      <c r="AJ761" t="s">
        <v>118</v>
      </c>
      <c r="AK761">
        <v>64</v>
      </c>
      <c r="AL761">
        <v>1198</v>
      </c>
      <c r="AM761">
        <v>1318</v>
      </c>
      <c r="AN761" t="s">
        <v>102</v>
      </c>
      <c r="AO761" t="s">
        <v>103</v>
      </c>
      <c r="AP761" t="s">
        <v>104</v>
      </c>
      <c r="AQ761" t="s">
        <v>105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96</v>
      </c>
      <c r="BC761">
        <v>9</v>
      </c>
      <c r="BD761" t="s">
        <v>106</v>
      </c>
      <c r="BE761">
        <v>1</v>
      </c>
      <c r="BF761" t="s">
        <v>97</v>
      </c>
      <c r="BG761" t="s">
        <v>107</v>
      </c>
      <c r="BH761">
        <v>1995</v>
      </c>
      <c r="BI761" t="s">
        <v>108</v>
      </c>
      <c r="BJ761">
        <v>3</v>
      </c>
      <c r="BK761">
        <v>752</v>
      </c>
      <c r="BL761" t="s">
        <v>97</v>
      </c>
      <c r="BM761" t="s">
        <v>97</v>
      </c>
      <c r="BN761" t="s">
        <v>104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X761">
        <v>0</v>
      </c>
      <c r="BY761">
        <v>11</v>
      </c>
      <c r="BZ761">
        <v>2007</v>
      </c>
      <c r="CA761" t="s">
        <v>109</v>
      </c>
      <c r="CB761" t="s">
        <v>110</v>
      </c>
      <c r="CC761">
        <v>290000</v>
      </c>
    </row>
    <row r="762" spans="1:81" x14ac:dyDescent="0.3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H762" t="s">
        <v>83</v>
      </c>
      <c r="I762" t="s">
        <v>84</v>
      </c>
      <c r="J762" t="s">
        <v>85</v>
      </c>
      <c r="K762" t="s">
        <v>86</v>
      </c>
      <c r="L762" t="s">
        <v>87</v>
      </c>
      <c r="M762" t="s">
        <v>270</v>
      </c>
      <c r="N762" t="s">
        <v>89</v>
      </c>
      <c r="O762" t="s">
        <v>89</v>
      </c>
      <c r="P762" t="s">
        <v>90</v>
      </c>
      <c r="Q762" t="s">
        <v>114</v>
      </c>
      <c r="R762">
        <v>6</v>
      </c>
      <c r="S762">
        <v>6</v>
      </c>
      <c r="T762">
        <v>1959</v>
      </c>
      <c r="U762">
        <v>1959</v>
      </c>
      <c r="V762" t="s">
        <v>151</v>
      </c>
      <c r="W762" t="s">
        <v>93</v>
      </c>
      <c r="X762" t="s">
        <v>123</v>
      </c>
      <c r="Y762" t="s">
        <v>123</v>
      </c>
      <c r="Z762" t="s">
        <v>116</v>
      </c>
      <c r="AA762">
        <v>0</v>
      </c>
      <c r="AB762" t="s">
        <v>97</v>
      </c>
      <c r="AC762" t="s">
        <v>97</v>
      </c>
      <c r="AD762" t="s">
        <v>117</v>
      </c>
      <c r="AE762" t="s">
        <v>97</v>
      </c>
      <c r="AF762" t="s">
        <v>97</v>
      </c>
      <c r="AG762" t="s">
        <v>99</v>
      </c>
      <c r="AH762" t="s">
        <v>152</v>
      </c>
      <c r="AI762">
        <v>612</v>
      </c>
      <c r="AJ762" t="s">
        <v>101</v>
      </c>
      <c r="AK762">
        <v>0</v>
      </c>
      <c r="AL762">
        <v>252</v>
      </c>
      <c r="AM762">
        <v>864</v>
      </c>
      <c r="AN762" t="s">
        <v>102</v>
      </c>
      <c r="AO762" t="s">
        <v>103</v>
      </c>
      <c r="AP762" t="s">
        <v>104</v>
      </c>
      <c r="AQ762" t="s">
        <v>105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97</v>
      </c>
      <c r="BC762">
        <v>5</v>
      </c>
      <c r="BD762" t="s">
        <v>106</v>
      </c>
      <c r="BE762">
        <v>0</v>
      </c>
      <c r="BG762" t="s">
        <v>126</v>
      </c>
      <c r="BH762">
        <v>2008</v>
      </c>
      <c r="BI762" t="s">
        <v>101</v>
      </c>
      <c r="BJ762">
        <v>1</v>
      </c>
      <c r="BK762">
        <v>300</v>
      </c>
      <c r="BL762" t="s">
        <v>103</v>
      </c>
      <c r="BM762" t="s">
        <v>103</v>
      </c>
      <c r="BN762" t="s">
        <v>104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W762" t="s">
        <v>134</v>
      </c>
      <c r="BX762">
        <v>450</v>
      </c>
      <c r="BY762">
        <v>10</v>
      </c>
      <c r="BZ762">
        <v>2009</v>
      </c>
      <c r="CA762" t="s">
        <v>109</v>
      </c>
      <c r="CB762" t="s">
        <v>110</v>
      </c>
      <c r="CC762">
        <v>127500</v>
      </c>
    </row>
    <row r="763" spans="1:81" x14ac:dyDescent="0.3">
      <c r="A763">
        <v>762</v>
      </c>
      <c r="B763">
        <v>30</v>
      </c>
      <c r="C763" t="s">
        <v>141</v>
      </c>
      <c r="D763">
        <v>60</v>
      </c>
      <c r="E763">
        <v>6911</v>
      </c>
      <c r="F763" t="s">
        <v>82</v>
      </c>
      <c r="H763" t="s">
        <v>83</v>
      </c>
      <c r="I763" t="s">
        <v>84</v>
      </c>
      <c r="J763" t="s">
        <v>85</v>
      </c>
      <c r="K763" t="s">
        <v>111</v>
      </c>
      <c r="L763" t="s">
        <v>87</v>
      </c>
      <c r="M763" t="s">
        <v>147</v>
      </c>
      <c r="N763" t="s">
        <v>113</v>
      </c>
      <c r="O763" t="s">
        <v>89</v>
      </c>
      <c r="P763" t="s">
        <v>90</v>
      </c>
      <c r="Q763" t="s">
        <v>114</v>
      </c>
      <c r="R763">
        <v>5</v>
      </c>
      <c r="S763">
        <v>5</v>
      </c>
      <c r="T763">
        <v>1924</v>
      </c>
      <c r="U763">
        <v>1950</v>
      </c>
      <c r="V763" t="s">
        <v>92</v>
      </c>
      <c r="W763" t="s">
        <v>93</v>
      </c>
      <c r="X763" t="s">
        <v>123</v>
      </c>
      <c r="Y763" t="s">
        <v>123</v>
      </c>
      <c r="Z763" t="s">
        <v>116</v>
      </c>
      <c r="AA763">
        <v>0</v>
      </c>
      <c r="AB763" t="s">
        <v>97</v>
      </c>
      <c r="AC763" t="s">
        <v>97</v>
      </c>
      <c r="AD763" t="s">
        <v>98</v>
      </c>
      <c r="AE763" t="s">
        <v>97</v>
      </c>
      <c r="AF763" t="s">
        <v>97</v>
      </c>
      <c r="AG763" t="s">
        <v>120</v>
      </c>
      <c r="AH763" t="s">
        <v>171</v>
      </c>
      <c r="AI763">
        <v>405</v>
      </c>
      <c r="AJ763" t="s">
        <v>101</v>
      </c>
      <c r="AK763">
        <v>0</v>
      </c>
      <c r="AL763">
        <v>740</v>
      </c>
      <c r="AM763">
        <v>1145</v>
      </c>
      <c r="AN763" t="s">
        <v>102</v>
      </c>
      <c r="AO763" t="s">
        <v>97</v>
      </c>
      <c r="AP763" t="s">
        <v>104</v>
      </c>
      <c r="AQ763" t="s">
        <v>105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146</v>
      </c>
      <c r="BC763">
        <v>5</v>
      </c>
      <c r="BD763" t="s">
        <v>145</v>
      </c>
      <c r="BE763">
        <v>0</v>
      </c>
      <c r="BG763" t="s">
        <v>126</v>
      </c>
      <c r="BH763">
        <v>1965</v>
      </c>
      <c r="BI763" t="s">
        <v>101</v>
      </c>
      <c r="BJ763">
        <v>2</v>
      </c>
      <c r="BK763">
        <v>440</v>
      </c>
      <c r="BL763" t="s">
        <v>97</v>
      </c>
      <c r="BM763" t="s">
        <v>97</v>
      </c>
      <c r="BN763" t="s">
        <v>104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X763">
        <v>0</v>
      </c>
      <c r="BY763">
        <v>10</v>
      </c>
      <c r="BZ763">
        <v>2009</v>
      </c>
      <c r="CA763" t="s">
        <v>109</v>
      </c>
      <c r="CB763" t="s">
        <v>110</v>
      </c>
      <c r="CC763">
        <v>100000</v>
      </c>
    </row>
    <row r="764" spans="1:81" x14ac:dyDescent="0.3">
      <c r="A764">
        <v>763</v>
      </c>
      <c r="B764">
        <v>60</v>
      </c>
      <c r="C764" t="s">
        <v>191</v>
      </c>
      <c r="D764">
        <v>72</v>
      </c>
      <c r="E764">
        <v>8640</v>
      </c>
      <c r="F764" t="s">
        <v>82</v>
      </c>
      <c r="H764" t="s">
        <v>83</v>
      </c>
      <c r="I764" t="s">
        <v>84</v>
      </c>
      <c r="J764" t="s">
        <v>85</v>
      </c>
      <c r="K764" t="s">
        <v>86</v>
      </c>
      <c r="L764" t="s">
        <v>87</v>
      </c>
      <c r="M764" t="s">
        <v>135</v>
      </c>
      <c r="N764" t="s">
        <v>89</v>
      </c>
      <c r="O764" t="s">
        <v>89</v>
      </c>
      <c r="P764" t="s">
        <v>90</v>
      </c>
      <c r="Q764" t="s">
        <v>91</v>
      </c>
      <c r="R764">
        <v>7</v>
      </c>
      <c r="S764">
        <v>5</v>
      </c>
      <c r="T764">
        <v>2009</v>
      </c>
      <c r="U764">
        <v>2009</v>
      </c>
      <c r="V764" t="s">
        <v>92</v>
      </c>
      <c r="W764" t="s">
        <v>93</v>
      </c>
      <c r="X764" t="s">
        <v>94</v>
      </c>
      <c r="Y764" t="s">
        <v>94</v>
      </c>
      <c r="Z764" t="s">
        <v>116</v>
      </c>
      <c r="AA764">
        <v>0</v>
      </c>
      <c r="AB764" t="s">
        <v>97</v>
      </c>
      <c r="AC764" t="s">
        <v>97</v>
      </c>
      <c r="AD764" t="s">
        <v>98</v>
      </c>
      <c r="AE764" t="s">
        <v>96</v>
      </c>
      <c r="AF764" t="s">
        <v>97</v>
      </c>
      <c r="AG764" t="s">
        <v>120</v>
      </c>
      <c r="AH764" t="s">
        <v>100</v>
      </c>
      <c r="AI764">
        <v>24</v>
      </c>
      <c r="AJ764" t="s">
        <v>101</v>
      </c>
      <c r="AK764">
        <v>0</v>
      </c>
      <c r="AL764">
        <v>732</v>
      </c>
      <c r="AM764">
        <v>756</v>
      </c>
      <c r="AN764" t="s">
        <v>102</v>
      </c>
      <c r="AO764" t="s">
        <v>103</v>
      </c>
      <c r="AP764" t="s">
        <v>104</v>
      </c>
      <c r="AQ764" t="s">
        <v>105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96</v>
      </c>
      <c r="BC764">
        <v>7</v>
      </c>
      <c r="BD764" t="s">
        <v>106</v>
      </c>
      <c r="BE764">
        <v>0</v>
      </c>
      <c r="BG764" t="s">
        <v>107</v>
      </c>
      <c r="BH764">
        <v>2009</v>
      </c>
      <c r="BI764" t="s">
        <v>101</v>
      </c>
      <c r="BJ764">
        <v>2</v>
      </c>
      <c r="BK764">
        <v>614</v>
      </c>
      <c r="BL764" t="s">
        <v>97</v>
      </c>
      <c r="BM764" t="s">
        <v>97</v>
      </c>
      <c r="BN764" t="s">
        <v>104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X764">
        <v>0</v>
      </c>
      <c r="BY764">
        <v>6</v>
      </c>
      <c r="BZ764">
        <v>2010</v>
      </c>
      <c r="CA764" t="s">
        <v>236</v>
      </c>
      <c r="CB764" t="s">
        <v>110</v>
      </c>
      <c r="CC764">
        <v>215200</v>
      </c>
    </row>
    <row r="765" spans="1:81" x14ac:dyDescent="0.3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H765" t="s">
        <v>83</v>
      </c>
      <c r="I765" t="s">
        <v>84</v>
      </c>
      <c r="J765" t="s">
        <v>85</v>
      </c>
      <c r="K765" t="s">
        <v>86</v>
      </c>
      <c r="L765" t="s">
        <v>87</v>
      </c>
      <c r="M765" t="s">
        <v>128</v>
      </c>
      <c r="N765" t="s">
        <v>89</v>
      </c>
      <c r="O765" t="s">
        <v>89</v>
      </c>
      <c r="P765" t="s">
        <v>90</v>
      </c>
      <c r="Q765" t="s">
        <v>91</v>
      </c>
      <c r="R765">
        <v>8</v>
      </c>
      <c r="S765">
        <v>5</v>
      </c>
      <c r="T765">
        <v>1999</v>
      </c>
      <c r="U765">
        <v>1999</v>
      </c>
      <c r="V765" t="s">
        <v>92</v>
      </c>
      <c r="W765" t="s">
        <v>93</v>
      </c>
      <c r="X765" t="s">
        <v>94</v>
      </c>
      <c r="Y765" t="s">
        <v>94</v>
      </c>
      <c r="Z765" t="s">
        <v>95</v>
      </c>
      <c r="AA765">
        <v>673</v>
      </c>
      <c r="AB765" t="s">
        <v>96</v>
      </c>
      <c r="AC765" t="s">
        <v>97</v>
      </c>
      <c r="AD765" t="s">
        <v>98</v>
      </c>
      <c r="AE765" t="s">
        <v>96</v>
      </c>
      <c r="AF765" t="s">
        <v>97</v>
      </c>
      <c r="AG765" t="s">
        <v>120</v>
      </c>
      <c r="AH765" t="s">
        <v>100</v>
      </c>
      <c r="AI765">
        <v>1163</v>
      </c>
      <c r="AJ765" t="s">
        <v>101</v>
      </c>
      <c r="AK765">
        <v>0</v>
      </c>
      <c r="AL765">
        <v>89</v>
      </c>
      <c r="AM765">
        <v>1252</v>
      </c>
      <c r="AN765" t="s">
        <v>102</v>
      </c>
      <c r="AO765" t="s">
        <v>103</v>
      </c>
      <c r="AP765" t="s">
        <v>104</v>
      </c>
      <c r="AQ765" t="s">
        <v>105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96</v>
      </c>
      <c r="BC765">
        <v>8</v>
      </c>
      <c r="BD765" t="s">
        <v>106</v>
      </c>
      <c r="BE765">
        <v>1</v>
      </c>
      <c r="BF765" t="s">
        <v>96</v>
      </c>
      <c r="BG765" t="s">
        <v>107</v>
      </c>
      <c r="BH765">
        <v>1999</v>
      </c>
      <c r="BI765" t="s">
        <v>108</v>
      </c>
      <c r="BJ765">
        <v>3</v>
      </c>
      <c r="BK765">
        <v>856</v>
      </c>
      <c r="BL765" t="s">
        <v>97</v>
      </c>
      <c r="BM765" t="s">
        <v>97</v>
      </c>
      <c r="BN765" t="s">
        <v>104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X765">
        <v>0</v>
      </c>
      <c r="BY765">
        <v>7</v>
      </c>
      <c r="BZ765">
        <v>2009</v>
      </c>
      <c r="CA765" t="s">
        <v>109</v>
      </c>
      <c r="CB765" t="s">
        <v>110</v>
      </c>
      <c r="CC765">
        <v>337000</v>
      </c>
    </row>
    <row r="766" spans="1:81" x14ac:dyDescent="0.3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H766" t="s">
        <v>119</v>
      </c>
      <c r="I766" t="s">
        <v>84</v>
      </c>
      <c r="J766" t="s">
        <v>85</v>
      </c>
      <c r="K766" t="s">
        <v>165</v>
      </c>
      <c r="L766" t="s">
        <v>87</v>
      </c>
      <c r="M766" t="s">
        <v>112</v>
      </c>
      <c r="N766" t="s">
        <v>89</v>
      </c>
      <c r="O766" t="s">
        <v>89</v>
      </c>
      <c r="P766" t="s">
        <v>178</v>
      </c>
      <c r="Q766" t="s">
        <v>114</v>
      </c>
      <c r="R766">
        <v>8</v>
      </c>
      <c r="S766">
        <v>5</v>
      </c>
      <c r="T766">
        <v>1995</v>
      </c>
      <c r="U766">
        <v>1996</v>
      </c>
      <c r="V766" t="s">
        <v>151</v>
      </c>
      <c r="W766" t="s">
        <v>93</v>
      </c>
      <c r="X766" t="s">
        <v>95</v>
      </c>
      <c r="Y766" t="s">
        <v>95</v>
      </c>
      <c r="Z766" t="s">
        <v>116</v>
      </c>
      <c r="AA766">
        <v>0</v>
      </c>
      <c r="AB766" t="s">
        <v>96</v>
      </c>
      <c r="AC766" t="s">
        <v>96</v>
      </c>
      <c r="AD766" t="s">
        <v>98</v>
      </c>
      <c r="AE766" t="s">
        <v>96</v>
      </c>
      <c r="AF766" t="s">
        <v>96</v>
      </c>
      <c r="AG766" t="s">
        <v>129</v>
      </c>
      <c r="AH766" t="s">
        <v>171</v>
      </c>
      <c r="AI766">
        <v>437</v>
      </c>
      <c r="AJ766" t="s">
        <v>100</v>
      </c>
      <c r="AK766">
        <v>1057</v>
      </c>
      <c r="AL766">
        <v>0</v>
      </c>
      <c r="AM766">
        <v>1494</v>
      </c>
      <c r="AN766" t="s">
        <v>102</v>
      </c>
      <c r="AO766" t="s">
        <v>103</v>
      </c>
      <c r="AP766" t="s">
        <v>104</v>
      </c>
      <c r="AQ766" t="s">
        <v>105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103</v>
      </c>
      <c r="BC766">
        <v>6</v>
      </c>
      <c r="BD766" t="s">
        <v>106</v>
      </c>
      <c r="BE766">
        <v>1</v>
      </c>
      <c r="BF766" t="s">
        <v>96</v>
      </c>
      <c r="BG766" t="s">
        <v>107</v>
      </c>
      <c r="BH766">
        <v>1995</v>
      </c>
      <c r="BI766" t="s">
        <v>156</v>
      </c>
      <c r="BJ766">
        <v>2</v>
      </c>
      <c r="BK766">
        <v>481</v>
      </c>
      <c r="BL766" t="s">
        <v>97</v>
      </c>
      <c r="BM766" t="s">
        <v>97</v>
      </c>
      <c r="BN766" t="s">
        <v>104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X766">
        <v>0</v>
      </c>
      <c r="BY766">
        <v>4</v>
      </c>
      <c r="BZ766">
        <v>2006</v>
      </c>
      <c r="CA766" t="s">
        <v>109</v>
      </c>
      <c r="CB766" t="s">
        <v>110</v>
      </c>
      <c r="CC766">
        <v>270000</v>
      </c>
    </row>
    <row r="767" spans="1:81" x14ac:dyDescent="0.3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H767" t="s">
        <v>119</v>
      </c>
      <c r="I767" t="s">
        <v>84</v>
      </c>
      <c r="J767" t="s">
        <v>85</v>
      </c>
      <c r="K767" t="s">
        <v>86</v>
      </c>
      <c r="L767" t="s">
        <v>87</v>
      </c>
      <c r="M767" t="s">
        <v>135</v>
      </c>
      <c r="N767" t="s">
        <v>89</v>
      </c>
      <c r="O767" t="s">
        <v>89</v>
      </c>
      <c r="P767" t="s">
        <v>90</v>
      </c>
      <c r="Q767" t="s">
        <v>114</v>
      </c>
      <c r="R767">
        <v>9</v>
      </c>
      <c r="S767">
        <v>5</v>
      </c>
      <c r="T767">
        <v>2008</v>
      </c>
      <c r="U767">
        <v>2008</v>
      </c>
      <c r="V767" t="s">
        <v>92</v>
      </c>
      <c r="W767" t="s">
        <v>93</v>
      </c>
      <c r="X767" t="s">
        <v>94</v>
      </c>
      <c r="Y767" t="s">
        <v>94</v>
      </c>
      <c r="Z767" t="s">
        <v>136</v>
      </c>
      <c r="AA767">
        <v>284</v>
      </c>
      <c r="AB767" t="s">
        <v>96</v>
      </c>
      <c r="AC767" t="s">
        <v>97</v>
      </c>
      <c r="AD767" t="s">
        <v>98</v>
      </c>
      <c r="AE767" t="s">
        <v>96</v>
      </c>
      <c r="AF767" t="s">
        <v>97</v>
      </c>
      <c r="AG767" t="s">
        <v>99</v>
      </c>
      <c r="AH767" t="s">
        <v>101</v>
      </c>
      <c r="AI767">
        <v>0</v>
      </c>
      <c r="AJ767" t="s">
        <v>101</v>
      </c>
      <c r="AK767">
        <v>0</v>
      </c>
      <c r="AL767">
        <v>1498</v>
      </c>
      <c r="AM767">
        <v>1498</v>
      </c>
      <c r="AN767" t="s">
        <v>102</v>
      </c>
      <c r="AO767" t="s">
        <v>103</v>
      </c>
      <c r="AP767" t="s">
        <v>104</v>
      </c>
      <c r="AQ767" t="s">
        <v>105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103</v>
      </c>
      <c r="BC767">
        <v>6</v>
      </c>
      <c r="BD767" t="s">
        <v>106</v>
      </c>
      <c r="BE767">
        <v>1</v>
      </c>
      <c r="BF767" t="s">
        <v>96</v>
      </c>
      <c r="BG767" t="s">
        <v>107</v>
      </c>
      <c r="BH767">
        <v>2008</v>
      </c>
      <c r="BI767" t="s">
        <v>156</v>
      </c>
      <c r="BJ767">
        <v>2</v>
      </c>
      <c r="BK767">
        <v>592</v>
      </c>
      <c r="BL767" t="s">
        <v>97</v>
      </c>
      <c r="BM767" t="s">
        <v>97</v>
      </c>
      <c r="BN767" t="s">
        <v>104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X767">
        <v>0</v>
      </c>
      <c r="BY767">
        <v>8</v>
      </c>
      <c r="BZ767">
        <v>2008</v>
      </c>
      <c r="CA767" t="s">
        <v>157</v>
      </c>
      <c r="CB767" t="s">
        <v>158</v>
      </c>
      <c r="CC767">
        <v>264132</v>
      </c>
    </row>
    <row r="768" spans="1:81" x14ac:dyDescent="0.3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H768" t="s">
        <v>83</v>
      </c>
      <c r="I768" t="s">
        <v>84</v>
      </c>
      <c r="J768" t="s">
        <v>85</v>
      </c>
      <c r="K768" t="s">
        <v>86</v>
      </c>
      <c r="L768" t="s">
        <v>87</v>
      </c>
      <c r="M768" t="s">
        <v>137</v>
      </c>
      <c r="N768" t="s">
        <v>89</v>
      </c>
      <c r="O768" t="s">
        <v>89</v>
      </c>
      <c r="P768" t="s">
        <v>90</v>
      </c>
      <c r="Q768" t="s">
        <v>91</v>
      </c>
      <c r="R768">
        <v>7</v>
      </c>
      <c r="S768">
        <v>5</v>
      </c>
      <c r="T768">
        <v>1988</v>
      </c>
      <c r="U768">
        <v>1988</v>
      </c>
      <c r="V768" t="s">
        <v>92</v>
      </c>
      <c r="W768" t="s">
        <v>93</v>
      </c>
      <c r="X768" t="s">
        <v>139</v>
      </c>
      <c r="Y768" t="s">
        <v>139</v>
      </c>
      <c r="Z768" t="s">
        <v>95</v>
      </c>
      <c r="AA768">
        <v>42</v>
      </c>
      <c r="AB768" t="s">
        <v>97</v>
      </c>
      <c r="AC768" t="s">
        <v>97</v>
      </c>
      <c r="AD768" t="s">
        <v>117</v>
      </c>
      <c r="AE768" t="s">
        <v>96</v>
      </c>
      <c r="AF768" t="s">
        <v>97</v>
      </c>
      <c r="AG768" t="s">
        <v>99</v>
      </c>
      <c r="AH768" t="s">
        <v>100</v>
      </c>
      <c r="AI768">
        <v>394</v>
      </c>
      <c r="AJ768" t="s">
        <v>101</v>
      </c>
      <c r="AK768">
        <v>0</v>
      </c>
      <c r="AL768">
        <v>586</v>
      </c>
      <c r="AM768">
        <v>980</v>
      </c>
      <c r="AN768" t="s">
        <v>102</v>
      </c>
      <c r="AO768" t="s">
        <v>97</v>
      </c>
      <c r="AP768" t="s">
        <v>104</v>
      </c>
      <c r="AQ768" t="s">
        <v>105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97</v>
      </c>
      <c r="BC768">
        <v>7</v>
      </c>
      <c r="BD768" t="s">
        <v>106</v>
      </c>
      <c r="BE768">
        <v>1</v>
      </c>
      <c r="BF768" t="s">
        <v>97</v>
      </c>
      <c r="BG768" t="s">
        <v>107</v>
      </c>
      <c r="BH768">
        <v>1988</v>
      </c>
      <c r="BI768" t="s">
        <v>101</v>
      </c>
      <c r="BJ768">
        <v>2</v>
      </c>
      <c r="BK768">
        <v>496</v>
      </c>
      <c r="BL768" t="s">
        <v>97</v>
      </c>
      <c r="BM768" t="s">
        <v>97</v>
      </c>
      <c r="BN768" t="s">
        <v>104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V768" t="s">
        <v>133</v>
      </c>
      <c r="BW768" t="s">
        <v>134</v>
      </c>
      <c r="BX768">
        <v>500</v>
      </c>
      <c r="BY768">
        <v>3</v>
      </c>
      <c r="BZ768">
        <v>2010</v>
      </c>
      <c r="CA768" t="s">
        <v>109</v>
      </c>
      <c r="CB768" t="s">
        <v>110</v>
      </c>
      <c r="CC768">
        <v>196500</v>
      </c>
    </row>
    <row r="769" spans="1:81" x14ac:dyDescent="0.3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H769" t="s">
        <v>119</v>
      </c>
      <c r="I769" t="s">
        <v>84</v>
      </c>
      <c r="J769" t="s">
        <v>85</v>
      </c>
      <c r="K769" t="s">
        <v>86</v>
      </c>
      <c r="L769" t="s">
        <v>87</v>
      </c>
      <c r="M769" t="s">
        <v>130</v>
      </c>
      <c r="N769" t="s">
        <v>89</v>
      </c>
      <c r="O769" t="s">
        <v>89</v>
      </c>
      <c r="P769" t="s">
        <v>90</v>
      </c>
      <c r="Q769" t="s">
        <v>131</v>
      </c>
      <c r="R769">
        <v>6</v>
      </c>
      <c r="S769">
        <v>7</v>
      </c>
      <c r="T769">
        <v>1940</v>
      </c>
      <c r="U769">
        <v>1985</v>
      </c>
      <c r="V769" t="s">
        <v>92</v>
      </c>
      <c r="W769" t="s">
        <v>93</v>
      </c>
      <c r="X769" t="s">
        <v>94</v>
      </c>
      <c r="Y769" t="s">
        <v>94</v>
      </c>
      <c r="Z769" t="s">
        <v>116</v>
      </c>
      <c r="AA769">
        <v>0</v>
      </c>
      <c r="AB769" t="s">
        <v>97</v>
      </c>
      <c r="AC769" t="s">
        <v>97</v>
      </c>
      <c r="AD769" t="s">
        <v>117</v>
      </c>
      <c r="AE769" t="s">
        <v>96</v>
      </c>
      <c r="AF769" t="s">
        <v>97</v>
      </c>
      <c r="AG769" t="s">
        <v>120</v>
      </c>
      <c r="AH769" t="s">
        <v>118</v>
      </c>
      <c r="AI769">
        <v>660</v>
      </c>
      <c r="AJ769" t="s">
        <v>101</v>
      </c>
      <c r="AK769">
        <v>0</v>
      </c>
      <c r="AL769">
        <v>323</v>
      </c>
      <c r="AM769">
        <v>983</v>
      </c>
      <c r="AN769" t="s">
        <v>102</v>
      </c>
      <c r="AO769" t="s">
        <v>103</v>
      </c>
      <c r="AP769" t="s">
        <v>104</v>
      </c>
      <c r="AQ769" t="s">
        <v>105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97</v>
      </c>
      <c r="BC769">
        <v>7</v>
      </c>
      <c r="BD769" t="s">
        <v>193</v>
      </c>
      <c r="BE769">
        <v>0</v>
      </c>
      <c r="BG769" t="s">
        <v>107</v>
      </c>
      <c r="BH769">
        <v>1989</v>
      </c>
      <c r="BI769" t="s">
        <v>101</v>
      </c>
      <c r="BJ769">
        <v>1</v>
      </c>
      <c r="BK769">
        <v>423</v>
      </c>
      <c r="BL769" t="s">
        <v>97</v>
      </c>
      <c r="BM769" t="s">
        <v>97</v>
      </c>
      <c r="BN769" t="s">
        <v>104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W769" t="s">
        <v>134</v>
      </c>
      <c r="BX769">
        <v>1300</v>
      </c>
      <c r="BY769">
        <v>7</v>
      </c>
      <c r="BZ769">
        <v>2008</v>
      </c>
      <c r="CA769" t="s">
        <v>109</v>
      </c>
      <c r="CB769" t="s">
        <v>110</v>
      </c>
      <c r="CC769">
        <v>160000</v>
      </c>
    </row>
    <row r="770" spans="1:81" x14ac:dyDescent="0.3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H770" t="s">
        <v>83</v>
      </c>
      <c r="I770" t="s">
        <v>84</v>
      </c>
      <c r="J770" t="s">
        <v>85</v>
      </c>
      <c r="K770" t="s">
        <v>86</v>
      </c>
      <c r="L770" t="s">
        <v>87</v>
      </c>
      <c r="M770" t="s">
        <v>88</v>
      </c>
      <c r="N770" t="s">
        <v>89</v>
      </c>
      <c r="O770" t="s">
        <v>89</v>
      </c>
      <c r="P770" t="s">
        <v>90</v>
      </c>
      <c r="Q770" t="s">
        <v>114</v>
      </c>
      <c r="R770">
        <v>7</v>
      </c>
      <c r="S770">
        <v>5</v>
      </c>
      <c r="T770">
        <v>2004</v>
      </c>
      <c r="U770">
        <v>2005</v>
      </c>
      <c r="V770" t="s">
        <v>151</v>
      </c>
      <c r="W770" t="s">
        <v>93</v>
      </c>
      <c r="X770" t="s">
        <v>94</v>
      </c>
      <c r="Y770" t="s">
        <v>94</v>
      </c>
      <c r="Z770" t="s">
        <v>116</v>
      </c>
      <c r="AA770">
        <v>0</v>
      </c>
      <c r="AB770" t="s">
        <v>96</v>
      </c>
      <c r="AC770" t="s">
        <v>97</v>
      </c>
      <c r="AD770" t="s">
        <v>98</v>
      </c>
      <c r="AE770" t="s">
        <v>96</v>
      </c>
      <c r="AF770" t="s">
        <v>97</v>
      </c>
      <c r="AG770" t="s">
        <v>99</v>
      </c>
      <c r="AH770" t="s">
        <v>100</v>
      </c>
      <c r="AI770">
        <v>24</v>
      </c>
      <c r="AJ770" t="s">
        <v>101</v>
      </c>
      <c r="AK770">
        <v>0</v>
      </c>
      <c r="AL770">
        <v>1836</v>
      </c>
      <c r="AM770">
        <v>1860</v>
      </c>
      <c r="AN770" t="s">
        <v>102</v>
      </c>
      <c r="AO770" t="s">
        <v>103</v>
      </c>
      <c r="AP770" t="s">
        <v>104</v>
      </c>
      <c r="AQ770" t="s">
        <v>105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96</v>
      </c>
      <c r="BC770">
        <v>8</v>
      </c>
      <c r="BD770" t="s">
        <v>106</v>
      </c>
      <c r="BE770">
        <v>1</v>
      </c>
      <c r="BF770" t="s">
        <v>96</v>
      </c>
      <c r="BG770" t="s">
        <v>107</v>
      </c>
      <c r="BH770">
        <v>2004</v>
      </c>
      <c r="BI770" t="s">
        <v>156</v>
      </c>
      <c r="BJ770">
        <v>2</v>
      </c>
      <c r="BK770">
        <v>484</v>
      </c>
      <c r="BL770" t="s">
        <v>97</v>
      </c>
      <c r="BM770" t="s">
        <v>97</v>
      </c>
      <c r="BN770" t="s">
        <v>104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X770">
        <v>0</v>
      </c>
      <c r="BY770">
        <v>10</v>
      </c>
      <c r="BZ770">
        <v>2006</v>
      </c>
      <c r="CA770" t="s">
        <v>109</v>
      </c>
      <c r="CB770" t="s">
        <v>110</v>
      </c>
      <c r="CC770">
        <v>216837</v>
      </c>
    </row>
    <row r="771" spans="1:81" x14ac:dyDescent="0.3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H771" t="s">
        <v>159</v>
      </c>
      <c r="I771" t="s">
        <v>198</v>
      </c>
      <c r="J771" t="s">
        <v>85</v>
      </c>
      <c r="K771" t="s">
        <v>165</v>
      </c>
      <c r="L771" t="s">
        <v>193</v>
      </c>
      <c r="M771" t="s">
        <v>199</v>
      </c>
      <c r="N771" t="s">
        <v>89</v>
      </c>
      <c r="O771" t="s">
        <v>89</v>
      </c>
      <c r="P771" t="s">
        <v>90</v>
      </c>
      <c r="Q771" t="s">
        <v>91</v>
      </c>
      <c r="R771">
        <v>8</v>
      </c>
      <c r="S771">
        <v>5</v>
      </c>
      <c r="T771">
        <v>2003</v>
      </c>
      <c r="U771">
        <v>2003</v>
      </c>
      <c r="V771" t="s">
        <v>151</v>
      </c>
      <c r="W771" t="s">
        <v>93</v>
      </c>
      <c r="X771" t="s">
        <v>179</v>
      </c>
      <c r="Y771" t="s">
        <v>124</v>
      </c>
      <c r="Z771" t="s">
        <v>95</v>
      </c>
      <c r="AA771">
        <v>603</v>
      </c>
      <c r="AB771" t="s">
        <v>103</v>
      </c>
      <c r="AC771" t="s">
        <v>97</v>
      </c>
      <c r="AD771" t="s">
        <v>98</v>
      </c>
      <c r="AE771" t="s">
        <v>96</v>
      </c>
      <c r="AF771" t="s">
        <v>97</v>
      </c>
      <c r="AG771" t="s">
        <v>96</v>
      </c>
      <c r="AH771" t="s">
        <v>118</v>
      </c>
      <c r="AI771">
        <v>1416</v>
      </c>
      <c r="AJ771" t="s">
        <v>101</v>
      </c>
      <c r="AK771">
        <v>0</v>
      </c>
      <c r="AL771">
        <v>234</v>
      </c>
      <c r="AM771">
        <v>1650</v>
      </c>
      <c r="AN771" t="s">
        <v>102</v>
      </c>
      <c r="AO771" t="s">
        <v>103</v>
      </c>
      <c r="AP771" t="s">
        <v>104</v>
      </c>
      <c r="AQ771" t="s">
        <v>105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103</v>
      </c>
      <c r="BC771">
        <v>12</v>
      </c>
      <c r="BD771" t="s">
        <v>193</v>
      </c>
      <c r="BE771">
        <v>1</v>
      </c>
      <c r="BF771" t="s">
        <v>96</v>
      </c>
      <c r="BG771" t="s">
        <v>155</v>
      </c>
      <c r="BH771">
        <v>2003</v>
      </c>
      <c r="BI771" t="s">
        <v>156</v>
      </c>
      <c r="BJ771">
        <v>3</v>
      </c>
      <c r="BK771">
        <v>841</v>
      </c>
      <c r="BL771" t="s">
        <v>97</v>
      </c>
      <c r="BM771" t="s">
        <v>97</v>
      </c>
      <c r="BN771" t="s">
        <v>104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X771">
        <v>0</v>
      </c>
      <c r="BY771">
        <v>6</v>
      </c>
      <c r="BZ771">
        <v>2010</v>
      </c>
      <c r="CA771" t="s">
        <v>109</v>
      </c>
      <c r="CB771" t="s">
        <v>110</v>
      </c>
      <c r="CC771">
        <v>538000</v>
      </c>
    </row>
    <row r="772" spans="1:81" x14ac:dyDescent="0.3">
      <c r="A772">
        <v>771</v>
      </c>
      <c r="B772">
        <v>85</v>
      </c>
      <c r="C772" t="s">
        <v>81</v>
      </c>
      <c r="E772">
        <v>7252</v>
      </c>
      <c r="F772" t="s">
        <v>82</v>
      </c>
      <c r="H772" t="s">
        <v>119</v>
      </c>
      <c r="I772" t="s">
        <v>84</v>
      </c>
      <c r="J772" t="s">
        <v>85</v>
      </c>
      <c r="K772" t="s">
        <v>165</v>
      </c>
      <c r="L772" t="s">
        <v>87</v>
      </c>
      <c r="M772" t="s">
        <v>150</v>
      </c>
      <c r="N772" t="s">
        <v>89</v>
      </c>
      <c r="O772" t="s">
        <v>89</v>
      </c>
      <c r="P772" t="s">
        <v>90</v>
      </c>
      <c r="Q772" t="s">
        <v>190</v>
      </c>
      <c r="R772">
        <v>5</v>
      </c>
      <c r="S772">
        <v>5</v>
      </c>
      <c r="T772">
        <v>1982</v>
      </c>
      <c r="U772">
        <v>1982</v>
      </c>
      <c r="V772" t="s">
        <v>151</v>
      </c>
      <c r="W772" t="s">
        <v>93</v>
      </c>
      <c r="X772" t="s">
        <v>123</v>
      </c>
      <c r="Y772" t="s">
        <v>123</v>
      </c>
      <c r="Z772" t="s">
        <v>116</v>
      </c>
      <c r="AA772">
        <v>0</v>
      </c>
      <c r="AB772" t="s">
        <v>97</v>
      </c>
      <c r="AC772" t="s">
        <v>97</v>
      </c>
      <c r="AD772" t="s">
        <v>117</v>
      </c>
      <c r="AE772" t="s">
        <v>96</v>
      </c>
      <c r="AF772" t="s">
        <v>97</v>
      </c>
      <c r="AG772" t="s">
        <v>129</v>
      </c>
      <c r="AH772" t="s">
        <v>100</v>
      </c>
      <c r="AI772">
        <v>685</v>
      </c>
      <c r="AJ772" t="s">
        <v>101</v>
      </c>
      <c r="AK772">
        <v>0</v>
      </c>
      <c r="AL772">
        <v>173</v>
      </c>
      <c r="AM772">
        <v>858</v>
      </c>
      <c r="AN772" t="s">
        <v>102</v>
      </c>
      <c r="AO772" t="s">
        <v>97</v>
      </c>
      <c r="AP772" t="s">
        <v>104</v>
      </c>
      <c r="AQ772" t="s">
        <v>105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97</v>
      </c>
      <c r="BC772">
        <v>5</v>
      </c>
      <c r="BD772" t="s">
        <v>106</v>
      </c>
      <c r="BE772">
        <v>0</v>
      </c>
      <c r="BG772" t="s">
        <v>126</v>
      </c>
      <c r="BH772">
        <v>1983</v>
      </c>
      <c r="BI772" t="s">
        <v>101</v>
      </c>
      <c r="BJ772">
        <v>2</v>
      </c>
      <c r="BK772">
        <v>576</v>
      </c>
      <c r="BL772" t="s">
        <v>97</v>
      </c>
      <c r="BM772" t="s">
        <v>97</v>
      </c>
      <c r="BN772" t="s">
        <v>104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X772">
        <v>0</v>
      </c>
      <c r="BY772">
        <v>4</v>
      </c>
      <c r="BZ772">
        <v>2009</v>
      </c>
      <c r="CA772" t="s">
        <v>109</v>
      </c>
      <c r="CB772" t="s">
        <v>110</v>
      </c>
      <c r="CC772">
        <v>134900</v>
      </c>
    </row>
    <row r="773" spans="1:81" x14ac:dyDescent="0.3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H773" t="s">
        <v>83</v>
      </c>
      <c r="I773" t="s">
        <v>84</v>
      </c>
      <c r="J773" t="s">
        <v>85</v>
      </c>
      <c r="K773" t="s">
        <v>86</v>
      </c>
      <c r="L773" t="s">
        <v>87</v>
      </c>
      <c r="M773" t="s">
        <v>184</v>
      </c>
      <c r="N773" t="s">
        <v>89</v>
      </c>
      <c r="O773" t="s">
        <v>89</v>
      </c>
      <c r="P773" t="s">
        <v>90</v>
      </c>
      <c r="Q773" t="s">
        <v>114</v>
      </c>
      <c r="R773">
        <v>4</v>
      </c>
      <c r="S773">
        <v>5</v>
      </c>
      <c r="T773">
        <v>1951</v>
      </c>
      <c r="U773">
        <v>1951</v>
      </c>
      <c r="V773" t="s">
        <v>92</v>
      </c>
      <c r="W773" t="s">
        <v>93</v>
      </c>
      <c r="X773" t="s">
        <v>123</v>
      </c>
      <c r="Y773" t="s">
        <v>123</v>
      </c>
      <c r="Z773" t="s">
        <v>116</v>
      </c>
      <c r="AA773">
        <v>0</v>
      </c>
      <c r="AB773" t="s">
        <v>97</v>
      </c>
      <c r="AC773" t="s">
        <v>97</v>
      </c>
      <c r="AD773" t="s">
        <v>117</v>
      </c>
      <c r="AE773" t="s">
        <v>146</v>
      </c>
      <c r="AF773" t="s">
        <v>146</v>
      </c>
      <c r="AG773" t="s">
        <v>99</v>
      </c>
      <c r="AH773" t="s">
        <v>171</v>
      </c>
      <c r="AI773">
        <v>836</v>
      </c>
      <c r="AJ773" t="s">
        <v>101</v>
      </c>
      <c r="AK773">
        <v>0</v>
      </c>
      <c r="AL773">
        <v>0</v>
      </c>
      <c r="AM773">
        <v>836</v>
      </c>
      <c r="AN773" t="s">
        <v>102</v>
      </c>
      <c r="AO773" t="s">
        <v>97</v>
      </c>
      <c r="AP773" t="s">
        <v>104</v>
      </c>
      <c r="AQ773" t="s">
        <v>144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97</v>
      </c>
      <c r="BC773">
        <v>6</v>
      </c>
      <c r="BD773" t="s">
        <v>106</v>
      </c>
      <c r="BE773">
        <v>0</v>
      </c>
      <c r="BG773" t="s">
        <v>126</v>
      </c>
      <c r="BH773">
        <v>1951</v>
      </c>
      <c r="BI773" t="s">
        <v>101</v>
      </c>
      <c r="BJ773">
        <v>2</v>
      </c>
      <c r="BK773">
        <v>396</v>
      </c>
      <c r="BL773" t="s">
        <v>97</v>
      </c>
      <c r="BM773" t="s">
        <v>97</v>
      </c>
      <c r="BN773" t="s">
        <v>104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X773">
        <v>0</v>
      </c>
      <c r="BY773">
        <v>4</v>
      </c>
      <c r="BZ773">
        <v>2006</v>
      </c>
      <c r="CA773" t="s">
        <v>172</v>
      </c>
      <c r="CB773" t="s">
        <v>110</v>
      </c>
      <c r="CC773">
        <v>102000</v>
      </c>
    </row>
    <row r="774" spans="1:81" x14ac:dyDescent="0.3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H774" t="s">
        <v>83</v>
      </c>
      <c r="I774" t="s">
        <v>84</v>
      </c>
      <c r="J774" t="s">
        <v>85</v>
      </c>
      <c r="K774" t="s">
        <v>86</v>
      </c>
      <c r="L774" t="s">
        <v>87</v>
      </c>
      <c r="M774" t="s">
        <v>184</v>
      </c>
      <c r="N774" t="s">
        <v>89</v>
      </c>
      <c r="O774" t="s">
        <v>89</v>
      </c>
      <c r="P774" t="s">
        <v>90</v>
      </c>
      <c r="Q774" t="s">
        <v>196</v>
      </c>
      <c r="R774">
        <v>6</v>
      </c>
      <c r="S774">
        <v>5</v>
      </c>
      <c r="T774">
        <v>1976</v>
      </c>
      <c r="U774">
        <v>1976</v>
      </c>
      <c r="V774" t="s">
        <v>92</v>
      </c>
      <c r="W774" t="s">
        <v>93</v>
      </c>
      <c r="X774" t="s">
        <v>160</v>
      </c>
      <c r="Y774" t="s">
        <v>160</v>
      </c>
      <c r="Z774" t="s">
        <v>116</v>
      </c>
      <c r="AA774">
        <v>0</v>
      </c>
      <c r="AB774" t="s">
        <v>97</v>
      </c>
      <c r="AC774" t="s">
        <v>97</v>
      </c>
      <c r="AD774" t="s">
        <v>117</v>
      </c>
      <c r="AE774" t="s">
        <v>97</v>
      </c>
      <c r="AF774" t="s">
        <v>97</v>
      </c>
      <c r="AG774" t="s">
        <v>129</v>
      </c>
      <c r="AH774" t="s">
        <v>118</v>
      </c>
      <c r="AI774">
        <v>422</v>
      </c>
      <c r="AJ774" t="s">
        <v>140</v>
      </c>
      <c r="AK774">
        <v>127</v>
      </c>
      <c r="AL774">
        <v>480</v>
      </c>
      <c r="AM774">
        <v>1029</v>
      </c>
      <c r="AN774" t="s">
        <v>102</v>
      </c>
      <c r="AO774" t="s">
        <v>97</v>
      </c>
      <c r="AP774" t="s">
        <v>104</v>
      </c>
      <c r="AQ774" t="s">
        <v>105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97</v>
      </c>
      <c r="BC774">
        <v>6</v>
      </c>
      <c r="BD774" t="s">
        <v>106</v>
      </c>
      <c r="BE774">
        <v>1</v>
      </c>
      <c r="BF774" t="s">
        <v>97</v>
      </c>
      <c r="BG774" t="s">
        <v>126</v>
      </c>
      <c r="BH774">
        <v>1976</v>
      </c>
      <c r="BI774" t="s">
        <v>101</v>
      </c>
      <c r="BJ774">
        <v>2</v>
      </c>
      <c r="BK774">
        <v>672</v>
      </c>
      <c r="BL774" t="s">
        <v>97</v>
      </c>
      <c r="BM774" t="s">
        <v>97</v>
      </c>
      <c r="BN774" t="s">
        <v>104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V774" t="s">
        <v>133</v>
      </c>
      <c r="BX774">
        <v>0</v>
      </c>
      <c r="BY774">
        <v>3</v>
      </c>
      <c r="BZ774">
        <v>2010</v>
      </c>
      <c r="CA774" t="s">
        <v>109</v>
      </c>
      <c r="CB774" t="s">
        <v>127</v>
      </c>
      <c r="CC774">
        <v>107000</v>
      </c>
    </row>
    <row r="775" spans="1:81" x14ac:dyDescent="0.3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H775" t="s">
        <v>83</v>
      </c>
      <c r="I775" t="s">
        <v>84</v>
      </c>
      <c r="J775" t="s">
        <v>85</v>
      </c>
      <c r="K775" t="s">
        <v>86</v>
      </c>
      <c r="L775" t="s">
        <v>87</v>
      </c>
      <c r="M775" t="s">
        <v>270</v>
      </c>
      <c r="N775" t="s">
        <v>113</v>
      </c>
      <c r="O775" t="s">
        <v>89</v>
      </c>
      <c r="P775" t="s">
        <v>90</v>
      </c>
      <c r="Q775" t="s">
        <v>114</v>
      </c>
      <c r="R775">
        <v>5</v>
      </c>
      <c r="S775">
        <v>5</v>
      </c>
      <c r="T775">
        <v>1958</v>
      </c>
      <c r="U775">
        <v>1958</v>
      </c>
      <c r="V775" t="s">
        <v>92</v>
      </c>
      <c r="W775" t="s">
        <v>93</v>
      </c>
      <c r="X775" t="s">
        <v>123</v>
      </c>
      <c r="Y775" t="s">
        <v>123</v>
      </c>
      <c r="Z775" t="s">
        <v>116</v>
      </c>
      <c r="AA775">
        <v>1</v>
      </c>
      <c r="AB775" t="s">
        <v>97</v>
      </c>
      <c r="AC775" t="s">
        <v>97</v>
      </c>
      <c r="AD775" t="s">
        <v>117</v>
      </c>
      <c r="AE775" t="s">
        <v>97</v>
      </c>
      <c r="AF775" t="s">
        <v>97</v>
      </c>
      <c r="AG775" t="s">
        <v>99</v>
      </c>
      <c r="AH775" t="s">
        <v>152</v>
      </c>
      <c r="AI775">
        <v>456</v>
      </c>
      <c r="AJ775" t="s">
        <v>101</v>
      </c>
      <c r="AK775">
        <v>0</v>
      </c>
      <c r="AL775">
        <v>456</v>
      </c>
      <c r="AM775">
        <v>912</v>
      </c>
      <c r="AN775" t="s">
        <v>102</v>
      </c>
      <c r="AO775" t="s">
        <v>103</v>
      </c>
      <c r="AP775" t="s">
        <v>104</v>
      </c>
      <c r="AQ775" t="s">
        <v>163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97</v>
      </c>
      <c r="BC775">
        <v>5</v>
      </c>
      <c r="BD775" t="s">
        <v>106</v>
      </c>
      <c r="BE775">
        <v>0</v>
      </c>
      <c r="BG775" t="s">
        <v>107</v>
      </c>
      <c r="BH775">
        <v>1958</v>
      </c>
      <c r="BI775" t="s">
        <v>108</v>
      </c>
      <c r="BJ775">
        <v>1</v>
      </c>
      <c r="BK775">
        <v>275</v>
      </c>
      <c r="BL775" t="s">
        <v>97</v>
      </c>
      <c r="BM775" t="s">
        <v>97</v>
      </c>
      <c r="BN775" t="s">
        <v>104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X775">
        <v>0</v>
      </c>
      <c r="BY775">
        <v>7</v>
      </c>
      <c r="BZ775">
        <v>2007</v>
      </c>
      <c r="CA775" t="s">
        <v>172</v>
      </c>
      <c r="CB775" t="s">
        <v>110</v>
      </c>
      <c r="CC775">
        <v>114500</v>
      </c>
    </row>
    <row r="776" spans="1:81" x14ac:dyDescent="0.3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H776" t="s">
        <v>83</v>
      </c>
      <c r="I776" t="s">
        <v>84</v>
      </c>
      <c r="J776" t="s">
        <v>85</v>
      </c>
      <c r="K776" t="s">
        <v>121</v>
      </c>
      <c r="L776" t="s">
        <v>87</v>
      </c>
      <c r="M776" t="s">
        <v>153</v>
      </c>
      <c r="N776" t="s">
        <v>89</v>
      </c>
      <c r="O776" t="s">
        <v>89</v>
      </c>
      <c r="P776" t="s">
        <v>90</v>
      </c>
      <c r="Q776" t="s">
        <v>114</v>
      </c>
      <c r="R776">
        <v>8</v>
      </c>
      <c r="S776">
        <v>5</v>
      </c>
      <c r="T776">
        <v>2006</v>
      </c>
      <c r="U776">
        <v>2006</v>
      </c>
      <c r="V776" t="s">
        <v>151</v>
      </c>
      <c r="W776" t="s">
        <v>93</v>
      </c>
      <c r="X776" t="s">
        <v>94</v>
      </c>
      <c r="Y776" t="s">
        <v>94</v>
      </c>
      <c r="Z776" t="s">
        <v>95</v>
      </c>
      <c r="AA776">
        <v>375</v>
      </c>
      <c r="AB776" t="s">
        <v>96</v>
      </c>
      <c r="AC776" t="s">
        <v>97</v>
      </c>
      <c r="AD776" t="s">
        <v>98</v>
      </c>
      <c r="AE776" t="s">
        <v>96</v>
      </c>
      <c r="AF776" t="s">
        <v>97</v>
      </c>
      <c r="AG776" t="s">
        <v>129</v>
      </c>
      <c r="AH776" t="s">
        <v>101</v>
      </c>
      <c r="AI776">
        <v>0</v>
      </c>
      <c r="AJ776" t="s">
        <v>101</v>
      </c>
      <c r="AK776">
        <v>0</v>
      </c>
      <c r="AL776">
        <v>1935</v>
      </c>
      <c r="AM776">
        <v>1935</v>
      </c>
      <c r="AN776" t="s">
        <v>102</v>
      </c>
      <c r="AO776" t="s">
        <v>96</v>
      </c>
      <c r="AP776" t="s">
        <v>104</v>
      </c>
      <c r="AQ776" t="s">
        <v>105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96</v>
      </c>
      <c r="BC776">
        <v>9</v>
      </c>
      <c r="BD776" t="s">
        <v>106</v>
      </c>
      <c r="BE776">
        <v>1</v>
      </c>
      <c r="BF776" t="s">
        <v>96</v>
      </c>
      <c r="BG776" t="s">
        <v>107</v>
      </c>
      <c r="BH776">
        <v>2006</v>
      </c>
      <c r="BI776" t="s">
        <v>156</v>
      </c>
      <c r="BJ776">
        <v>3</v>
      </c>
      <c r="BK776">
        <v>895</v>
      </c>
      <c r="BL776" t="s">
        <v>97</v>
      </c>
      <c r="BM776" t="s">
        <v>97</v>
      </c>
      <c r="BN776" t="s">
        <v>104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X776">
        <v>0</v>
      </c>
      <c r="BY776">
        <v>7</v>
      </c>
      <c r="BZ776">
        <v>2007</v>
      </c>
      <c r="CA776" t="s">
        <v>157</v>
      </c>
      <c r="CB776" t="s">
        <v>158</v>
      </c>
      <c r="CC776">
        <v>395000</v>
      </c>
    </row>
    <row r="777" spans="1:81" x14ac:dyDescent="0.3">
      <c r="A777">
        <v>776</v>
      </c>
      <c r="B777">
        <v>120</v>
      </c>
      <c r="C777" t="s">
        <v>141</v>
      </c>
      <c r="D777">
        <v>32</v>
      </c>
      <c r="E777">
        <v>4500</v>
      </c>
      <c r="F777" t="s">
        <v>82</v>
      </c>
      <c r="H777" t="s">
        <v>83</v>
      </c>
      <c r="I777" t="s">
        <v>84</v>
      </c>
      <c r="J777" t="s">
        <v>85</v>
      </c>
      <c r="K777" t="s">
        <v>111</v>
      </c>
      <c r="L777" t="s">
        <v>87</v>
      </c>
      <c r="M777" t="s">
        <v>130</v>
      </c>
      <c r="N777" t="s">
        <v>89</v>
      </c>
      <c r="O777" t="s">
        <v>89</v>
      </c>
      <c r="P777" t="s">
        <v>178</v>
      </c>
      <c r="Q777" t="s">
        <v>114</v>
      </c>
      <c r="R777">
        <v>6</v>
      </c>
      <c r="S777">
        <v>5</v>
      </c>
      <c r="T777">
        <v>1998</v>
      </c>
      <c r="U777">
        <v>1998</v>
      </c>
      <c r="V777" t="s">
        <v>151</v>
      </c>
      <c r="W777" t="s">
        <v>93</v>
      </c>
      <c r="X777" t="s">
        <v>94</v>
      </c>
      <c r="Y777" t="s">
        <v>94</v>
      </c>
      <c r="Z777" t="s">
        <v>95</v>
      </c>
      <c r="AA777">
        <v>320</v>
      </c>
      <c r="AB777" t="s">
        <v>97</v>
      </c>
      <c r="AC777" t="s">
        <v>97</v>
      </c>
      <c r="AD777" t="s">
        <v>98</v>
      </c>
      <c r="AE777" t="s">
        <v>103</v>
      </c>
      <c r="AF777" t="s">
        <v>97</v>
      </c>
      <c r="AG777" t="s">
        <v>99</v>
      </c>
      <c r="AH777" t="s">
        <v>100</v>
      </c>
      <c r="AI777">
        <v>866</v>
      </c>
      <c r="AJ777" t="s">
        <v>101</v>
      </c>
      <c r="AK777">
        <v>0</v>
      </c>
      <c r="AL777">
        <v>338</v>
      </c>
      <c r="AM777">
        <v>1204</v>
      </c>
      <c r="AN777" t="s">
        <v>102</v>
      </c>
      <c r="AO777" t="s">
        <v>103</v>
      </c>
      <c r="AP777" t="s">
        <v>104</v>
      </c>
      <c r="AQ777" t="s">
        <v>105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97</v>
      </c>
      <c r="BC777">
        <v>5</v>
      </c>
      <c r="BD777" t="s">
        <v>106</v>
      </c>
      <c r="BE777">
        <v>0</v>
      </c>
      <c r="BG777" t="s">
        <v>107</v>
      </c>
      <c r="BH777">
        <v>1998</v>
      </c>
      <c r="BI777" t="s">
        <v>156</v>
      </c>
      <c r="BJ777">
        <v>2</v>
      </c>
      <c r="BK777">
        <v>412</v>
      </c>
      <c r="BL777" t="s">
        <v>97</v>
      </c>
      <c r="BM777" t="s">
        <v>97</v>
      </c>
      <c r="BN777" t="s">
        <v>104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X777">
        <v>0</v>
      </c>
      <c r="BY777">
        <v>6</v>
      </c>
      <c r="BZ777">
        <v>2009</v>
      </c>
      <c r="CA777" t="s">
        <v>109</v>
      </c>
      <c r="CB777" t="s">
        <v>110</v>
      </c>
      <c r="CC777">
        <v>162000</v>
      </c>
    </row>
    <row r="778" spans="1:81" x14ac:dyDescent="0.3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H778" t="s">
        <v>119</v>
      </c>
      <c r="I778" t="s">
        <v>84</v>
      </c>
      <c r="J778" t="s">
        <v>85</v>
      </c>
      <c r="K778" t="s">
        <v>86</v>
      </c>
      <c r="L778" t="s">
        <v>87</v>
      </c>
      <c r="M778" t="s">
        <v>88</v>
      </c>
      <c r="N778" t="s">
        <v>89</v>
      </c>
      <c r="O778" t="s">
        <v>89</v>
      </c>
      <c r="P778" t="s">
        <v>90</v>
      </c>
      <c r="Q778" t="s">
        <v>114</v>
      </c>
      <c r="R778">
        <v>7</v>
      </c>
      <c r="S778">
        <v>5</v>
      </c>
      <c r="T778">
        <v>2005</v>
      </c>
      <c r="U778">
        <v>2006</v>
      </c>
      <c r="V778" t="s">
        <v>92</v>
      </c>
      <c r="W778" t="s">
        <v>93</v>
      </c>
      <c r="X778" t="s">
        <v>94</v>
      </c>
      <c r="Y778" t="s">
        <v>94</v>
      </c>
      <c r="Z778" t="s">
        <v>95</v>
      </c>
      <c r="AA778">
        <v>240</v>
      </c>
      <c r="AB778" t="s">
        <v>96</v>
      </c>
      <c r="AC778" t="s">
        <v>97</v>
      </c>
      <c r="AD778" t="s">
        <v>98</v>
      </c>
      <c r="AE778" t="s">
        <v>96</v>
      </c>
      <c r="AF778" t="s">
        <v>97</v>
      </c>
      <c r="AG778" t="s">
        <v>129</v>
      </c>
      <c r="AH778" t="s">
        <v>100</v>
      </c>
      <c r="AI778">
        <v>20</v>
      </c>
      <c r="AJ778" t="s">
        <v>101</v>
      </c>
      <c r="AK778">
        <v>0</v>
      </c>
      <c r="AL778">
        <v>1594</v>
      </c>
      <c r="AM778">
        <v>1614</v>
      </c>
      <c r="AN778" t="s">
        <v>102</v>
      </c>
      <c r="AO778" t="s">
        <v>103</v>
      </c>
      <c r="AP778" t="s">
        <v>104</v>
      </c>
      <c r="AQ778" t="s">
        <v>105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96</v>
      </c>
      <c r="BC778">
        <v>7</v>
      </c>
      <c r="BD778" t="s">
        <v>106</v>
      </c>
      <c r="BE778">
        <v>0</v>
      </c>
      <c r="BG778" t="s">
        <v>107</v>
      </c>
      <c r="BH778">
        <v>2005</v>
      </c>
      <c r="BI778" t="s">
        <v>108</v>
      </c>
      <c r="BJ778">
        <v>3</v>
      </c>
      <c r="BK778">
        <v>865</v>
      </c>
      <c r="BL778" t="s">
        <v>97</v>
      </c>
      <c r="BM778" t="s">
        <v>97</v>
      </c>
      <c r="BN778" t="s">
        <v>104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X778">
        <v>0</v>
      </c>
      <c r="BY778">
        <v>7</v>
      </c>
      <c r="BZ778">
        <v>2006</v>
      </c>
      <c r="CA778" t="s">
        <v>157</v>
      </c>
      <c r="CB778" t="s">
        <v>158</v>
      </c>
      <c r="CC778">
        <v>221500</v>
      </c>
    </row>
    <row r="779" spans="1:81" x14ac:dyDescent="0.3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H779" t="s">
        <v>119</v>
      </c>
      <c r="I779" t="s">
        <v>84</v>
      </c>
      <c r="J779" t="s">
        <v>85</v>
      </c>
      <c r="K779" t="s">
        <v>86</v>
      </c>
      <c r="L779" t="s">
        <v>87</v>
      </c>
      <c r="M779" t="s">
        <v>150</v>
      </c>
      <c r="N779" t="s">
        <v>89</v>
      </c>
      <c r="O779" t="s">
        <v>89</v>
      </c>
      <c r="P779" t="s">
        <v>90</v>
      </c>
      <c r="Q779" t="s">
        <v>114</v>
      </c>
      <c r="R779">
        <v>5</v>
      </c>
      <c r="S779">
        <v>5</v>
      </c>
      <c r="T779">
        <v>1974</v>
      </c>
      <c r="U779">
        <v>1974</v>
      </c>
      <c r="V779" t="s">
        <v>151</v>
      </c>
      <c r="W779" t="s">
        <v>93</v>
      </c>
      <c r="X779" t="s">
        <v>139</v>
      </c>
      <c r="Y779" t="s">
        <v>160</v>
      </c>
      <c r="Z779" t="s">
        <v>116</v>
      </c>
      <c r="AA779">
        <v>0</v>
      </c>
      <c r="AB779" t="s">
        <v>97</v>
      </c>
      <c r="AC779" t="s">
        <v>97</v>
      </c>
      <c r="AD779" t="s">
        <v>117</v>
      </c>
      <c r="AE779" t="s">
        <v>97</v>
      </c>
      <c r="AF779" t="s">
        <v>97</v>
      </c>
      <c r="AG779" t="s">
        <v>99</v>
      </c>
      <c r="AH779" t="s">
        <v>118</v>
      </c>
      <c r="AI779">
        <v>762</v>
      </c>
      <c r="AJ779" t="s">
        <v>101</v>
      </c>
      <c r="AK779">
        <v>0</v>
      </c>
      <c r="AL779">
        <v>102</v>
      </c>
      <c r="AM779">
        <v>864</v>
      </c>
      <c r="AN779" t="s">
        <v>102</v>
      </c>
      <c r="AO779" t="s">
        <v>97</v>
      </c>
      <c r="AP779" t="s">
        <v>104</v>
      </c>
      <c r="AQ779" t="s">
        <v>105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97</v>
      </c>
      <c r="BC779">
        <v>5</v>
      </c>
      <c r="BD779" t="s">
        <v>106</v>
      </c>
      <c r="BE779">
        <v>1</v>
      </c>
      <c r="BF779" t="s">
        <v>146</v>
      </c>
      <c r="BG779" t="s">
        <v>107</v>
      </c>
      <c r="BH779">
        <v>1974</v>
      </c>
      <c r="BI779" t="s">
        <v>101</v>
      </c>
      <c r="BJ779">
        <v>2</v>
      </c>
      <c r="BK779">
        <v>440</v>
      </c>
      <c r="BL779" t="s">
        <v>97</v>
      </c>
      <c r="BM779" t="s">
        <v>97</v>
      </c>
      <c r="BN779" t="s">
        <v>104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V779" t="s">
        <v>133</v>
      </c>
      <c r="BX779">
        <v>0</v>
      </c>
      <c r="BY779">
        <v>6</v>
      </c>
      <c r="BZ779">
        <v>2006</v>
      </c>
      <c r="CA779" t="s">
        <v>109</v>
      </c>
      <c r="CB779" t="s">
        <v>110</v>
      </c>
      <c r="CC779">
        <v>142500</v>
      </c>
    </row>
    <row r="780" spans="1:81" x14ac:dyDescent="0.3">
      <c r="A780">
        <v>779</v>
      </c>
      <c r="B780">
        <v>90</v>
      </c>
      <c r="C780" t="s">
        <v>238</v>
      </c>
      <c r="D780">
        <v>60</v>
      </c>
      <c r="E780">
        <v>8400</v>
      </c>
      <c r="F780" t="s">
        <v>82</v>
      </c>
      <c r="H780" t="s">
        <v>83</v>
      </c>
      <c r="I780" t="s">
        <v>84</v>
      </c>
      <c r="J780" t="s">
        <v>85</v>
      </c>
      <c r="K780" t="s">
        <v>86</v>
      </c>
      <c r="L780" t="s">
        <v>87</v>
      </c>
      <c r="M780" t="s">
        <v>169</v>
      </c>
      <c r="N780" t="s">
        <v>113</v>
      </c>
      <c r="O780" t="s">
        <v>89</v>
      </c>
      <c r="P780" t="s">
        <v>166</v>
      </c>
      <c r="Q780" t="s">
        <v>114</v>
      </c>
      <c r="R780">
        <v>5</v>
      </c>
      <c r="S780">
        <v>5</v>
      </c>
      <c r="T780">
        <v>1977</v>
      </c>
      <c r="U780">
        <v>1977</v>
      </c>
      <c r="V780" t="s">
        <v>92</v>
      </c>
      <c r="W780" t="s">
        <v>93</v>
      </c>
      <c r="X780" t="s">
        <v>160</v>
      </c>
      <c r="Y780" t="s">
        <v>160</v>
      </c>
      <c r="Z780" t="s">
        <v>95</v>
      </c>
      <c r="AA780">
        <v>320</v>
      </c>
      <c r="AB780" t="s">
        <v>97</v>
      </c>
      <c r="AC780" t="s">
        <v>97</v>
      </c>
      <c r="AD780" t="s">
        <v>167</v>
      </c>
      <c r="AI780">
        <v>0</v>
      </c>
      <c r="AK780">
        <v>0</v>
      </c>
      <c r="AL780">
        <v>0</v>
      </c>
      <c r="AM780">
        <v>0</v>
      </c>
      <c r="AN780" t="s">
        <v>102</v>
      </c>
      <c r="AO780" t="s">
        <v>97</v>
      </c>
      <c r="AP780" t="s">
        <v>104</v>
      </c>
      <c r="AQ780" t="s">
        <v>105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97</v>
      </c>
      <c r="BC780">
        <v>10</v>
      </c>
      <c r="BD780" t="s">
        <v>106</v>
      </c>
      <c r="BE780">
        <v>2</v>
      </c>
      <c r="BF780" t="s">
        <v>97</v>
      </c>
      <c r="BG780" t="s">
        <v>126</v>
      </c>
      <c r="BH780">
        <v>1977</v>
      </c>
      <c r="BI780" t="s">
        <v>101</v>
      </c>
      <c r="BJ780">
        <v>2</v>
      </c>
      <c r="BK780">
        <v>630</v>
      </c>
      <c r="BL780" t="s">
        <v>97</v>
      </c>
      <c r="BM780" t="s">
        <v>97</v>
      </c>
      <c r="BN780" t="s">
        <v>104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X780">
        <v>0</v>
      </c>
      <c r="BY780">
        <v>10</v>
      </c>
      <c r="BZ780">
        <v>2007</v>
      </c>
      <c r="CA780" t="s">
        <v>109</v>
      </c>
      <c r="CB780" t="s">
        <v>110</v>
      </c>
      <c r="CC780">
        <v>144000</v>
      </c>
    </row>
    <row r="781" spans="1:81" x14ac:dyDescent="0.3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H781" t="s">
        <v>83</v>
      </c>
      <c r="I781" t="s">
        <v>84</v>
      </c>
      <c r="J781" t="s">
        <v>85</v>
      </c>
      <c r="K781" t="s">
        <v>86</v>
      </c>
      <c r="L781" t="s">
        <v>87</v>
      </c>
      <c r="M781" t="s">
        <v>130</v>
      </c>
      <c r="N781" t="s">
        <v>89</v>
      </c>
      <c r="O781" t="s">
        <v>89</v>
      </c>
      <c r="P781" t="s">
        <v>166</v>
      </c>
      <c r="Q781" t="s">
        <v>190</v>
      </c>
      <c r="R781">
        <v>6</v>
      </c>
      <c r="S781">
        <v>5</v>
      </c>
      <c r="T781">
        <v>1977</v>
      </c>
      <c r="U781">
        <v>1977</v>
      </c>
      <c r="V781" t="s">
        <v>92</v>
      </c>
      <c r="W781" t="s">
        <v>93</v>
      </c>
      <c r="X781" t="s">
        <v>160</v>
      </c>
      <c r="Y781" t="s">
        <v>233</v>
      </c>
      <c r="Z781" t="s">
        <v>95</v>
      </c>
      <c r="AA781">
        <v>90</v>
      </c>
      <c r="AB781" t="s">
        <v>97</v>
      </c>
      <c r="AC781" t="s">
        <v>97</v>
      </c>
      <c r="AD781" t="s">
        <v>117</v>
      </c>
      <c r="AE781" t="s">
        <v>96</v>
      </c>
      <c r="AF781" t="s">
        <v>97</v>
      </c>
      <c r="AG781" t="s">
        <v>96</v>
      </c>
      <c r="AH781" t="s">
        <v>100</v>
      </c>
      <c r="AI781">
        <v>975</v>
      </c>
      <c r="AJ781" t="s">
        <v>101</v>
      </c>
      <c r="AK781">
        <v>0</v>
      </c>
      <c r="AL781">
        <v>0</v>
      </c>
      <c r="AM781">
        <v>975</v>
      </c>
      <c r="AN781" t="s">
        <v>102</v>
      </c>
      <c r="AO781" t="s">
        <v>97</v>
      </c>
      <c r="AP781" t="s">
        <v>104</v>
      </c>
      <c r="AQ781" t="s">
        <v>105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97</v>
      </c>
      <c r="BC781">
        <v>4</v>
      </c>
      <c r="BD781" t="s">
        <v>106</v>
      </c>
      <c r="BE781">
        <v>0</v>
      </c>
      <c r="BG781" t="s">
        <v>107</v>
      </c>
      <c r="BH781">
        <v>1977</v>
      </c>
      <c r="BI781" t="s">
        <v>101</v>
      </c>
      <c r="BJ781">
        <v>2</v>
      </c>
      <c r="BK781">
        <v>504</v>
      </c>
      <c r="BL781" t="s">
        <v>97</v>
      </c>
      <c r="BM781" t="s">
        <v>97</v>
      </c>
      <c r="BN781" t="s">
        <v>104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X781">
        <v>0</v>
      </c>
      <c r="BY781">
        <v>5</v>
      </c>
      <c r="BZ781">
        <v>2006</v>
      </c>
      <c r="CA781" t="s">
        <v>109</v>
      </c>
      <c r="CB781" t="s">
        <v>110</v>
      </c>
      <c r="CC781">
        <v>135000</v>
      </c>
    </row>
    <row r="782" spans="1:81" x14ac:dyDescent="0.3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H782" t="s">
        <v>83</v>
      </c>
      <c r="I782" t="s">
        <v>84</v>
      </c>
      <c r="J782" t="s">
        <v>85</v>
      </c>
      <c r="K782" t="s">
        <v>86</v>
      </c>
      <c r="L782" t="s">
        <v>87</v>
      </c>
      <c r="M782" t="s">
        <v>192</v>
      </c>
      <c r="N782" t="s">
        <v>89</v>
      </c>
      <c r="O782" t="s">
        <v>89</v>
      </c>
      <c r="P782" t="s">
        <v>90</v>
      </c>
      <c r="Q782" t="s">
        <v>114</v>
      </c>
      <c r="R782">
        <v>7</v>
      </c>
      <c r="S782">
        <v>5</v>
      </c>
      <c r="T782">
        <v>1995</v>
      </c>
      <c r="U782">
        <v>1996</v>
      </c>
      <c r="V782" t="s">
        <v>92</v>
      </c>
      <c r="W782" t="s">
        <v>93</v>
      </c>
      <c r="X782" t="s">
        <v>139</v>
      </c>
      <c r="Y782" t="s">
        <v>139</v>
      </c>
      <c r="Z782" t="s">
        <v>95</v>
      </c>
      <c r="AA782">
        <v>38</v>
      </c>
      <c r="AB782" t="s">
        <v>97</v>
      </c>
      <c r="AC782" t="s">
        <v>97</v>
      </c>
      <c r="AD782" t="s">
        <v>98</v>
      </c>
      <c r="AE782" t="s">
        <v>96</v>
      </c>
      <c r="AF782" t="s">
        <v>96</v>
      </c>
      <c r="AG782" t="s">
        <v>99</v>
      </c>
      <c r="AH782" t="s">
        <v>101</v>
      </c>
      <c r="AI782">
        <v>0</v>
      </c>
      <c r="AJ782" t="s">
        <v>101</v>
      </c>
      <c r="AK782">
        <v>0</v>
      </c>
      <c r="AL782">
        <v>1237</v>
      </c>
      <c r="AM782">
        <v>1237</v>
      </c>
      <c r="AN782" t="s">
        <v>102</v>
      </c>
      <c r="AO782" t="s">
        <v>96</v>
      </c>
      <c r="AP782" t="s">
        <v>104</v>
      </c>
      <c r="AQ782" t="s">
        <v>105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97</v>
      </c>
      <c r="BC782">
        <v>6</v>
      </c>
      <c r="BD782" t="s">
        <v>106</v>
      </c>
      <c r="BE782">
        <v>1</v>
      </c>
      <c r="BF782" t="s">
        <v>97</v>
      </c>
      <c r="BG782" t="s">
        <v>107</v>
      </c>
      <c r="BH782">
        <v>1995</v>
      </c>
      <c r="BI782" t="s">
        <v>156</v>
      </c>
      <c r="BJ782">
        <v>2</v>
      </c>
      <c r="BK782">
        <v>402</v>
      </c>
      <c r="BL782" t="s">
        <v>97</v>
      </c>
      <c r="BM782" t="s">
        <v>97</v>
      </c>
      <c r="BN782" t="s">
        <v>104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X782">
        <v>0</v>
      </c>
      <c r="BY782">
        <v>6</v>
      </c>
      <c r="BZ782">
        <v>2007</v>
      </c>
      <c r="CA782" t="s">
        <v>109</v>
      </c>
      <c r="CB782" t="s">
        <v>110</v>
      </c>
      <c r="CC782">
        <v>176000</v>
      </c>
    </row>
    <row r="783" spans="1:81" x14ac:dyDescent="0.3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H783" t="s">
        <v>83</v>
      </c>
      <c r="I783" t="s">
        <v>84</v>
      </c>
      <c r="J783" t="s">
        <v>85</v>
      </c>
      <c r="K783" t="s">
        <v>86</v>
      </c>
      <c r="L783" t="s">
        <v>87</v>
      </c>
      <c r="M783" t="s">
        <v>169</v>
      </c>
      <c r="N783" t="s">
        <v>89</v>
      </c>
      <c r="O783" t="s">
        <v>89</v>
      </c>
      <c r="P783" t="s">
        <v>90</v>
      </c>
      <c r="Q783" t="s">
        <v>91</v>
      </c>
      <c r="R783">
        <v>6</v>
      </c>
      <c r="S783">
        <v>5</v>
      </c>
      <c r="T783">
        <v>1992</v>
      </c>
      <c r="U783">
        <v>1992</v>
      </c>
      <c r="V783" t="s">
        <v>92</v>
      </c>
      <c r="W783" t="s">
        <v>93</v>
      </c>
      <c r="X783" t="s">
        <v>94</v>
      </c>
      <c r="Y783" t="s">
        <v>94</v>
      </c>
      <c r="Z783" t="s">
        <v>116</v>
      </c>
      <c r="AA783">
        <v>0</v>
      </c>
      <c r="AB783" t="s">
        <v>96</v>
      </c>
      <c r="AC783" t="s">
        <v>96</v>
      </c>
      <c r="AD783" t="s">
        <v>98</v>
      </c>
      <c r="AE783" t="s">
        <v>96</v>
      </c>
      <c r="AF783" t="s">
        <v>97</v>
      </c>
      <c r="AG783" t="s">
        <v>99</v>
      </c>
      <c r="AH783" t="s">
        <v>118</v>
      </c>
      <c r="AI783">
        <v>387</v>
      </c>
      <c r="AJ783" t="s">
        <v>101</v>
      </c>
      <c r="AK783">
        <v>0</v>
      </c>
      <c r="AL783">
        <v>374</v>
      </c>
      <c r="AM783">
        <v>761</v>
      </c>
      <c r="AN783" t="s">
        <v>102</v>
      </c>
      <c r="AO783" t="s">
        <v>103</v>
      </c>
      <c r="AP783" t="s">
        <v>104</v>
      </c>
      <c r="AQ783" t="s">
        <v>105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96</v>
      </c>
      <c r="BC783">
        <v>7</v>
      </c>
      <c r="BD783" t="s">
        <v>106</v>
      </c>
      <c r="BE783">
        <v>0</v>
      </c>
      <c r="BG783" t="s">
        <v>107</v>
      </c>
      <c r="BH783">
        <v>1992</v>
      </c>
      <c r="BI783" t="s">
        <v>108</v>
      </c>
      <c r="BJ783">
        <v>2</v>
      </c>
      <c r="BK783">
        <v>484</v>
      </c>
      <c r="BL783" t="s">
        <v>97</v>
      </c>
      <c r="BM783" t="s">
        <v>97</v>
      </c>
      <c r="BN783" t="s">
        <v>104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X783">
        <v>0</v>
      </c>
      <c r="BY783">
        <v>7</v>
      </c>
      <c r="BZ783">
        <v>2006</v>
      </c>
      <c r="CA783" t="s">
        <v>109</v>
      </c>
      <c r="CB783" t="s">
        <v>110</v>
      </c>
      <c r="CC783">
        <v>175900</v>
      </c>
    </row>
    <row r="784" spans="1:81" x14ac:dyDescent="0.3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H784" t="s">
        <v>159</v>
      </c>
      <c r="I784" t="s">
        <v>84</v>
      </c>
      <c r="J784" t="s">
        <v>85</v>
      </c>
      <c r="K784" t="s">
        <v>86</v>
      </c>
      <c r="L784" t="s">
        <v>87</v>
      </c>
      <c r="M784" t="s">
        <v>88</v>
      </c>
      <c r="N784" t="s">
        <v>89</v>
      </c>
      <c r="O784" t="s">
        <v>89</v>
      </c>
      <c r="P784" t="s">
        <v>90</v>
      </c>
      <c r="Q784" t="s">
        <v>114</v>
      </c>
      <c r="R784">
        <v>7</v>
      </c>
      <c r="S784">
        <v>5</v>
      </c>
      <c r="T784">
        <v>2001</v>
      </c>
      <c r="U784">
        <v>2002</v>
      </c>
      <c r="V784" t="s">
        <v>92</v>
      </c>
      <c r="W784" t="s">
        <v>93</v>
      </c>
      <c r="X784" t="s">
        <v>94</v>
      </c>
      <c r="Y784" t="s">
        <v>94</v>
      </c>
      <c r="Z784" t="s">
        <v>116</v>
      </c>
      <c r="AA784">
        <v>0</v>
      </c>
      <c r="AB784" t="s">
        <v>96</v>
      </c>
      <c r="AC784" t="s">
        <v>97</v>
      </c>
      <c r="AD784" t="s">
        <v>98</v>
      </c>
      <c r="AE784" t="s">
        <v>96</v>
      </c>
      <c r="AF784" t="s">
        <v>97</v>
      </c>
      <c r="AG784" t="s">
        <v>99</v>
      </c>
      <c r="AH784" t="s">
        <v>101</v>
      </c>
      <c r="AI784">
        <v>0</v>
      </c>
      <c r="AJ784" t="s">
        <v>101</v>
      </c>
      <c r="AK784">
        <v>0</v>
      </c>
      <c r="AL784">
        <v>1413</v>
      </c>
      <c r="AM784">
        <v>1413</v>
      </c>
      <c r="AN784" t="s">
        <v>102</v>
      </c>
      <c r="AO784" t="s">
        <v>103</v>
      </c>
      <c r="AP784" t="s">
        <v>104</v>
      </c>
      <c r="AQ784" t="s">
        <v>105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96</v>
      </c>
      <c r="BC784">
        <v>6</v>
      </c>
      <c r="BD784" t="s">
        <v>106</v>
      </c>
      <c r="BE784">
        <v>0</v>
      </c>
      <c r="BG784" t="s">
        <v>107</v>
      </c>
      <c r="BH784">
        <v>2001</v>
      </c>
      <c r="BI784" t="s">
        <v>108</v>
      </c>
      <c r="BJ784">
        <v>2</v>
      </c>
      <c r="BK784">
        <v>605</v>
      </c>
      <c r="BL784" t="s">
        <v>97</v>
      </c>
      <c r="BM784" t="s">
        <v>97</v>
      </c>
      <c r="BN784" t="s">
        <v>104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X784">
        <v>0</v>
      </c>
      <c r="BY784">
        <v>6</v>
      </c>
      <c r="BZ784">
        <v>2009</v>
      </c>
      <c r="CA784" t="s">
        <v>109</v>
      </c>
      <c r="CB784" t="s">
        <v>110</v>
      </c>
      <c r="CC784">
        <v>187100</v>
      </c>
    </row>
    <row r="785" spans="1:81" x14ac:dyDescent="0.3">
      <c r="A785">
        <v>784</v>
      </c>
      <c r="B785">
        <v>85</v>
      </c>
      <c r="C785" t="s">
        <v>81</v>
      </c>
      <c r="E785">
        <v>9101</v>
      </c>
      <c r="F785" t="s">
        <v>82</v>
      </c>
      <c r="H785" t="s">
        <v>119</v>
      </c>
      <c r="I785" t="s">
        <v>84</v>
      </c>
      <c r="J785" t="s">
        <v>85</v>
      </c>
      <c r="K785" t="s">
        <v>121</v>
      </c>
      <c r="L785" t="s">
        <v>87</v>
      </c>
      <c r="M785" t="s">
        <v>130</v>
      </c>
      <c r="N785" t="s">
        <v>89</v>
      </c>
      <c r="O785" t="s">
        <v>89</v>
      </c>
      <c r="P785" t="s">
        <v>90</v>
      </c>
      <c r="Q785" t="s">
        <v>190</v>
      </c>
      <c r="R785">
        <v>5</v>
      </c>
      <c r="S785">
        <v>6</v>
      </c>
      <c r="T785">
        <v>1978</v>
      </c>
      <c r="U785">
        <v>1978</v>
      </c>
      <c r="V785" t="s">
        <v>92</v>
      </c>
      <c r="W785" t="s">
        <v>93</v>
      </c>
      <c r="X785" t="s">
        <v>160</v>
      </c>
      <c r="Y785" t="s">
        <v>160</v>
      </c>
      <c r="Z785" t="s">
        <v>95</v>
      </c>
      <c r="AA785">
        <v>104</v>
      </c>
      <c r="AB785" t="s">
        <v>97</v>
      </c>
      <c r="AC785" t="s">
        <v>96</v>
      </c>
      <c r="AD785" t="s">
        <v>98</v>
      </c>
      <c r="AE785" t="s">
        <v>96</v>
      </c>
      <c r="AF785" t="s">
        <v>97</v>
      </c>
      <c r="AG785" t="s">
        <v>129</v>
      </c>
      <c r="AH785" t="s">
        <v>100</v>
      </c>
      <c r="AI785">
        <v>1097</v>
      </c>
      <c r="AJ785" t="s">
        <v>101</v>
      </c>
      <c r="AK785">
        <v>0</v>
      </c>
      <c r="AL785">
        <v>0</v>
      </c>
      <c r="AM785">
        <v>1097</v>
      </c>
      <c r="AN785" t="s">
        <v>102</v>
      </c>
      <c r="AO785" t="s">
        <v>103</v>
      </c>
      <c r="AP785" t="s">
        <v>104</v>
      </c>
      <c r="AQ785" t="s">
        <v>105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96</v>
      </c>
      <c r="BC785">
        <v>4</v>
      </c>
      <c r="BD785" t="s">
        <v>106</v>
      </c>
      <c r="BE785">
        <v>1</v>
      </c>
      <c r="BF785" t="s">
        <v>97</v>
      </c>
      <c r="BG785" t="s">
        <v>107</v>
      </c>
      <c r="BH785">
        <v>1978</v>
      </c>
      <c r="BI785" t="s">
        <v>156</v>
      </c>
      <c r="BJ785">
        <v>2</v>
      </c>
      <c r="BK785">
        <v>602</v>
      </c>
      <c r="BL785" t="s">
        <v>97</v>
      </c>
      <c r="BM785" t="s">
        <v>97</v>
      </c>
      <c r="BN785" t="s">
        <v>104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X785">
        <v>0</v>
      </c>
      <c r="BY785">
        <v>7</v>
      </c>
      <c r="BZ785">
        <v>2009</v>
      </c>
      <c r="CA785" t="s">
        <v>109</v>
      </c>
      <c r="CB785" t="s">
        <v>110</v>
      </c>
      <c r="CC785">
        <v>165500</v>
      </c>
    </row>
    <row r="786" spans="1:81" x14ac:dyDescent="0.3">
      <c r="A786">
        <v>785</v>
      </c>
      <c r="B786">
        <v>75</v>
      </c>
      <c r="C786" t="s">
        <v>141</v>
      </c>
      <c r="D786">
        <v>35</v>
      </c>
      <c r="E786">
        <v>6300</v>
      </c>
      <c r="F786" t="s">
        <v>82</v>
      </c>
      <c r="G786" t="s">
        <v>173</v>
      </c>
      <c r="H786" t="s">
        <v>83</v>
      </c>
      <c r="I786" t="s">
        <v>84</v>
      </c>
      <c r="J786" t="s">
        <v>85</v>
      </c>
      <c r="K786" t="s">
        <v>86</v>
      </c>
      <c r="L786" t="s">
        <v>87</v>
      </c>
      <c r="M786" t="s">
        <v>142</v>
      </c>
      <c r="N786" t="s">
        <v>89</v>
      </c>
      <c r="O786" t="s">
        <v>89</v>
      </c>
      <c r="P786" t="s">
        <v>90</v>
      </c>
      <c r="Q786" t="s">
        <v>200</v>
      </c>
      <c r="R786">
        <v>6</v>
      </c>
      <c r="S786">
        <v>6</v>
      </c>
      <c r="T786">
        <v>1914</v>
      </c>
      <c r="U786">
        <v>2001</v>
      </c>
      <c r="V786" t="s">
        <v>92</v>
      </c>
      <c r="W786" t="s">
        <v>93</v>
      </c>
      <c r="X786" t="s">
        <v>123</v>
      </c>
      <c r="Y786" t="s">
        <v>124</v>
      </c>
      <c r="Z786" t="s">
        <v>116</v>
      </c>
      <c r="AA786">
        <v>0</v>
      </c>
      <c r="AB786" t="s">
        <v>97</v>
      </c>
      <c r="AC786" t="s">
        <v>97</v>
      </c>
      <c r="AD786" t="s">
        <v>117</v>
      </c>
      <c r="AE786" t="s">
        <v>97</v>
      </c>
      <c r="AF786" t="s">
        <v>97</v>
      </c>
      <c r="AG786" t="s">
        <v>99</v>
      </c>
      <c r="AH786" t="s">
        <v>101</v>
      </c>
      <c r="AI786">
        <v>0</v>
      </c>
      <c r="AJ786" t="s">
        <v>101</v>
      </c>
      <c r="AK786">
        <v>0</v>
      </c>
      <c r="AL786">
        <v>742</v>
      </c>
      <c r="AM786">
        <v>742</v>
      </c>
      <c r="AN786" t="s">
        <v>102</v>
      </c>
      <c r="AO786" t="s">
        <v>103</v>
      </c>
      <c r="AP786" t="s">
        <v>104</v>
      </c>
      <c r="AQ786" t="s">
        <v>105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97</v>
      </c>
      <c r="BC786">
        <v>9</v>
      </c>
      <c r="BD786" t="s">
        <v>106</v>
      </c>
      <c r="BE786">
        <v>1</v>
      </c>
      <c r="BF786" t="s">
        <v>96</v>
      </c>
      <c r="BJ786">
        <v>0</v>
      </c>
      <c r="BK786">
        <v>0</v>
      </c>
      <c r="BN786" t="s">
        <v>104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X786">
        <v>0</v>
      </c>
      <c r="BY786">
        <v>6</v>
      </c>
      <c r="BZ786">
        <v>2008</v>
      </c>
      <c r="CA786" t="s">
        <v>109</v>
      </c>
      <c r="CB786" t="s">
        <v>110</v>
      </c>
      <c r="CC786">
        <v>128000</v>
      </c>
    </row>
    <row r="787" spans="1:81" x14ac:dyDescent="0.3">
      <c r="A787">
        <v>786</v>
      </c>
      <c r="B787">
        <v>20</v>
      </c>
      <c r="C787" t="s">
        <v>81</v>
      </c>
      <c r="E787">
        <v>9790</v>
      </c>
      <c r="F787" t="s">
        <v>82</v>
      </c>
      <c r="H787" t="s">
        <v>83</v>
      </c>
      <c r="I787" t="s">
        <v>84</v>
      </c>
      <c r="J787" t="s">
        <v>85</v>
      </c>
      <c r="K787" t="s">
        <v>86</v>
      </c>
      <c r="L787" t="s">
        <v>87</v>
      </c>
      <c r="M787" t="s">
        <v>137</v>
      </c>
      <c r="N787" t="s">
        <v>113</v>
      </c>
      <c r="O787" t="s">
        <v>89</v>
      </c>
      <c r="P787" t="s">
        <v>90</v>
      </c>
      <c r="Q787" t="s">
        <v>114</v>
      </c>
      <c r="R787">
        <v>6</v>
      </c>
      <c r="S787">
        <v>5</v>
      </c>
      <c r="T787">
        <v>1967</v>
      </c>
      <c r="U787">
        <v>1967</v>
      </c>
      <c r="V787" t="s">
        <v>92</v>
      </c>
      <c r="W787" t="s">
        <v>93</v>
      </c>
      <c r="X787" t="s">
        <v>95</v>
      </c>
      <c r="Y787" t="s">
        <v>123</v>
      </c>
      <c r="Z787" t="s">
        <v>116</v>
      </c>
      <c r="AA787">
        <v>0</v>
      </c>
      <c r="AB787" t="s">
        <v>97</v>
      </c>
      <c r="AC787" t="s">
        <v>97</v>
      </c>
      <c r="AD787" t="s">
        <v>117</v>
      </c>
      <c r="AE787" t="s">
        <v>97</v>
      </c>
      <c r="AF787" t="s">
        <v>97</v>
      </c>
      <c r="AG787" t="s">
        <v>99</v>
      </c>
      <c r="AH787" t="s">
        <v>152</v>
      </c>
      <c r="AI787">
        <v>251</v>
      </c>
      <c r="AJ787" t="s">
        <v>171</v>
      </c>
      <c r="AK787">
        <v>630</v>
      </c>
      <c r="AL787">
        <v>491</v>
      </c>
      <c r="AM787">
        <v>1372</v>
      </c>
      <c r="AN787" t="s">
        <v>102</v>
      </c>
      <c r="AO787" t="s">
        <v>97</v>
      </c>
      <c r="AP787" t="s">
        <v>104</v>
      </c>
      <c r="AQ787" t="s">
        <v>105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97</v>
      </c>
      <c r="BC787">
        <v>7</v>
      </c>
      <c r="BD787" t="s">
        <v>106</v>
      </c>
      <c r="BE787">
        <v>1</v>
      </c>
      <c r="BF787" t="s">
        <v>96</v>
      </c>
      <c r="BG787" t="s">
        <v>107</v>
      </c>
      <c r="BH787">
        <v>1967</v>
      </c>
      <c r="BI787" t="s">
        <v>101</v>
      </c>
      <c r="BJ787">
        <v>2</v>
      </c>
      <c r="BK787">
        <v>457</v>
      </c>
      <c r="BL787" t="s">
        <v>97</v>
      </c>
      <c r="BM787" t="s">
        <v>97</v>
      </c>
      <c r="BN787" t="s">
        <v>104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X787">
        <v>0</v>
      </c>
      <c r="BY787">
        <v>9</v>
      </c>
      <c r="BZ787">
        <v>2009</v>
      </c>
      <c r="CA787" t="s">
        <v>109</v>
      </c>
      <c r="CB787" t="s">
        <v>110</v>
      </c>
      <c r="CC787">
        <v>161500</v>
      </c>
    </row>
    <row r="788" spans="1:81" x14ac:dyDescent="0.3">
      <c r="A788">
        <v>787</v>
      </c>
      <c r="B788">
        <v>50</v>
      </c>
      <c r="C788" t="s">
        <v>141</v>
      </c>
      <c r="D788">
        <v>60</v>
      </c>
      <c r="E788">
        <v>10800</v>
      </c>
      <c r="F788" t="s">
        <v>82</v>
      </c>
      <c r="H788" t="s">
        <v>83</v>
      </c>
      <c r="I788" t="s">
        <v>84</v>
      </c>
      <c r="J788" t="s">
        <v>85</v>
      </c>
      <c r="K788" t="s">
        <v>86</v>
      </c>
      <c r="L788" t="s">
        <v>87</v>
      </c>
      <c r="M788" t="s">
        <v>142</v>
      </c>
      <c r="N788" t="s">
        <v>143</v>
      </c>
      <c r="O788" t="s">
        <v>89</v>
      </c>
      <c r="P788" t="s">
        <v>90</v>
      </c>
      <c r="Q788" t="s">
        <v>131</v>
      </c>
      <c r="R788">
        <v>5</v>
      </c>
      <c r="S788">
        <v>6</v>
      </c>
      <c r="T788">
        <v>1915</v>
      </c>
      <c r="U788">
        <v>1950</v>
      </c>
      <c r="V788" t="s">
        <v>92</v>
      </c>
      <c r="W788" t="s">
        <v>93</v>
      </c>
      <c r="X788" t="s">
        <v>115</v>
      </c>
      <c r="Y788" t="s">
        <v>115</v>
      </c>
      <c r="Z788" t="s">
        <v>116</v>
      </c>
      <c r="AA788">
        <v>0</v>
      </c>
      <c r="AB788" t="s">
        <v>97</v>
      </c>
      <c r="AC788" t="s">
        <v>96</v>
      </c>
      <c r="AD788" t="s">
        <v>98</v>
      </c>
      <c r="AE788" t="s">
        <v>146</v>
      </c>
      <c r="AF788" t="s">
        <v>97</v>
      </c>
      <c r="AG788" t="s">
        <v>99</v>
      </c>
      <c r="AH788" t="s">
        <v>171</v>
      </c>
      <c r="AI788">
        <v>686</v>
      </c>
      <c r="AJ788" t="s">
        <v>101</v>
      </c>
      <c r="AK788">
        <v>0</v>
      </c>
      <c r="AL788">
        <v>0</v>
      </c>
      <c r="AM788">
        <v>686</v>
      </c>
      <c r="AN788" t="s">
        <v>102</v>
      </c>
      <c r="AO788" t="s">
        <v>97</v>
      </c>
      <c r="AP788" t="s">
        <v>104</v>
      </c>
      <c r="AQ788" t="s">
        <v>105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97</v>
      </c>
      <c r="BC788">
        <v>7</v>
      </c>
      <c r="BD788" t="s">
        <v>106</v>
      </c>
      <c r="BE788">
        <v>0</v>
      </c>
      <c r="BG788" t="s">
        <v>126</v>
      </c>
      <c r="BH788">
        <v>1961</v>
      </c>
      <c r="BI788" t="s">
        <v>101</v>
      </c>
      <c r="BJ788">
        <v>1</v>
      </c>
      <c r="BK788">
        <v>416</v>
      </c>
      <c r="BL788" t="s">
        <v>97</v>
      </c>
      <c r="BM788" t="s">
        <v>97</v>
      </c>
      <c r="BN788" t="s">
        <v>104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W788" t="s">
        <v>134</v>
      </c>
      <c r="BX788">
        <v>1200</v>
      </c>
      <c r="BY788">
        <v>6</v>
      </c>
      <c r="BZ788">
        <v>2010</v>
      </c>
      <c r="CA788" t="s">
        <v>109</v>
      </c>
      <c r="CB788" t="s">
        <v>110</v>
      </c>
      <c r="CC788">
        <v>139000</v>
      </c>
    </row>
    <row r="789" spans="1:81" x14ac:dyDescent="0.3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H789" t="s">
        <v>119</v>
      </c>
      <c r="I789" t="s">
        <v>84</v>
      </c>
      <c r="J789" t="s">
        <v>85</v>
      </c>
      <c r="K789" t="s">
        <v>86</v>
      </c>
      <c r="L789" t="s">
        <v>87</v>
      </c>
      <c r="M789" t="s">
        <v>169</v>
      </c>
      <c r="N789" t="s">
        <v>89</v>
      </c>
      <c r="O789" t="s">
        <v>89</v>
      </c>
      <c r="P789" t="s">
        <v>90</v>
      </c>
      <c r="Q789" t="s">
        <v>91</v>
      </c>
      <c r="R789">
        <v>7</v>
      </c>
      <c r="S789">
        <v>5</v>
      </c>
      <c r="T789">
        <v>2004</v>
      </c>
      <c r="U789">
        <v>2004</v>
      </c>
      <c r="V789" t="s">
        <v>92</v>
      </c>
      <c r="W789" t="s">
        <v>93</v>
      </c>
      <c r="X789" t="s">
        <v>94</v>
      </c>
      <c r="Y789" t="s">
        <v>94</v>
      </c>
      <c r="Z789" t="s">
        <v>116</v>
      </c>
      <c r="AA789">
        <v>0</v>
      </c>
      <c r="AB789" t="s">
        <v>96</v>
      </c>
      <c r="AC789" t="s">
        <v>97</v>
      </c>
      <c r="AD789" t="s">
        <v>98</v>
      </c>
      <c r="AE789" t="s">
        <v>96</v>
      </c>
      <c r="AF789" t="s">
        <v>97</v>
      </c>
      <c r="AG789" t="s">
        <v>99</v>
      </c>
      <c r="AH789" t="s">
        <v>100</v>
      </c>
      <c r="AI789">
        <v>656</v>
      </c>
      <c r="AJ789" t="s">
        <v>101</v>
      </c>
      <c r="AK789">
        <v>0</v>
      </c>
      <c r="AL789">
        <v>300</v>
      </c>
      <c r="AM789">
        <v>956</v>
      </c>
      <c r="AN789" t="s">
        <v>102</v>
      </c>
      <c r="AO789" t="s">
        <v>103</v>
      </c>
      <c r="AP789" t="s">
        <v>104</v>
      </c>
      <c r="AQ789" t="s">
        <v>105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96</v>
      </c>
      <c r="BC789">
        <v>8</v>
      </c>
      <c r="BD789" t="s">
        <v>106</v>
      </c>
      <c r="BE789">
        <v>0</v>
      </c>
      <c r="BG789" t="s">
        <v>155</v>
      </c>
      <c r="BH789">
        <v>2004</v>
      </c>
      <c r="BI789" t="s">
        <v>108</v>
      </c>
      <c r="BJ789">
        <v>2</v>
      </c>
      <c r="BK789">
        <v>618</v>
      </c>
      <c r="BL789" t="s">
        <v>97</v>
      </c>
      <c r="BM789" t="s">
        <v>97</v>
      </c>
      <c r="BN789" t="s">
        <v>104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X789">
        <v>0</v>
      </c>
      <c r="BY789">
        <v>1</v>
      </c>
      <c r="BZ789">
        <v>2010</v>
      </c>
      <c r="CA789" t="s">
        <v>109</v>
      </c>
      <c r="CB789" t="s">
        <v>110</v>
      </c>
      <c r="CC789">
        <v>233000</v>
      </c>
    </row>
    <row r="790" spans="1:81" x14ac:dyDescent="0.3">
      <c r="A790">
        <v>789</v>
      </c>
      <c r="B790">
        <v>20</v>
      </c>
      <c r="C790" t="s">
        <v>141</v>
      </c>
      <c r="D790">
        <v>50</v>
      </c>
      <c r="E790">
        <v>6000</v>
      </c>
      <c r="F790" t="s">
        <v>82</v>
      </c>
      <c r="H790" t="s">
        <v>83</v>
      </c>
      <c r="I790" t="s">
        <v>84</v>
      </c>
      <c r="J790" t="s">
        <v>85</v>
      </c>
      <c r="K790" t="s">
        <v>121</v>
      </c>
      <c r="L790" t="s">
        <v>87</v>
      </c>
      <c r="M790" t="s">
        <v>142</v>
      </c>
      <c r="N790" t="s">
        <v>89</v>
      </c>
      <c r="O790" t="s">
        <v>89</v>
      </c>
      <c r="P790" t="s">
        <v>90</v>
      </c>
      <c r="Q790" t="s">
        <v>114</v>
      </c>
      <c r="R790">
        <v>4</v>
      </c>
      <c r="S790">
        <v>7</v>
      </c>
      <c r="T790">
        <v>1954</v>
      </c>
      <c r="U790">
        <v>2000</v>
      </c>
      <c r="V790" t="s">
        <v>92</v>
      </c>
      <c r="W790" t="s">
        <v>93</v>
      </c>
      <c r="X790" t="s">
        <v>115</v>
      </c>
      <c r="Y790" t="s">
        <v>115</v>
      </c>
      <c r="Z790" t="s">
        <v>116</v>
      </c>
      <c r="AA790">
        <v>0</v>
      </c>
      <c r="AB790" t="s">
        <v>97</v>
      </c>
      <c r="AC790" t="s">
        <v>97</v>
      </c>
      <c r="AD790" t="s">
        <v>117</v>
      </c>
      <c r="AE790" t="s">
        <v>97</v>
      </c>
      <c r="AF790" t="s">
        <v>97</v>
      </c>
      <c r="AG790" t="s">
        <v>99</v>
      </c>
      <c r="AH790" t="s">
        <v>101</v>
      </c>
      <c r="AI790">
        <v>0</v>
      </c>
      <c r="AJ790" t="s">
        <v>101</v>
      </c>
      <c r="AK790">
        <v>0</v>
      </c>
      <c r="AL790">
        <v>901</v>
      </c>
      <c r="AM790">
        <v>901</v>
      </c>
      <c r="AN790" t="s">
        <v>102</v>
      </c>
      <c r="AO790" t="s">
        <v>103</v>
      </c>
      <c r="AP790" t="s">
        <v>104</v>
      </c>
      <c r="AQ790" t="s">
        <v>105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97</v>
      </c>
      <c r="BC790">
        <v>4</v>
      </c>
      <c r="BD790" t="s">
        <v>106</v>
      </c>
      <c r="BE790">
        <v>0</v>
      </c>
      <c r="BG790" t="s">
        <v>126</v>
      </c>
      <c r="BH790">
        <v>1954</v>
      </c>
      <c r="BI790" t="s">
        <v>101</v>
      </c>
      <c r="BJ790">
        <v>1</v>
      </c>
      <c r="BK790">
        <v>281</v>
      </c>
      <c r="BL790" t="s">
        <v>146</v>
      </c>
      <c r="BM790" t="s">
        <v>97</v>
      </c>
      <c r="BN790" t="s">
        <v>104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X790">
        <v>0</v>
      </c>
      <c r="BY790">
        <v>8</v>
      </c>
      <c r="BZ790">
        <v>2008</v>
      </c>
      <c r="CA790" t="s">
        <v>109</v>
      </c>
      <c r="CB790" t="s">
        <v>110</v>
      </c>
      <c r="CC790">
        <v>107900</v>
      </c>
    </row>
    <row r="791" spans="1:81" x14ac:dyDescent="0.3">
      <c r="A791">
        <v>790</v>
      </c>
      <c r="B791">
        <v>60</v>
      </c>
      <c r="C791" t="s">
        <v>81</v>
      </c>
      <c r="E791">
        <v>12205</v>
      </c>
      <c r="F791" t="s">
        <v>82</v>
      </c>
      <c r="H791" t="s">
        <v>119</v>
      </c>
      <c r="I791" t="s">
        <v>194</v>
      </c>
      <c r="J791" t="s">
        <v>85</v>
      </c>
      <c r="K791" t="s">
        <v>86</v>
      </c>
      <c r="L791" t="s">
        <v>87</v>
      </c>
      <c r="M791" t="s">
        <v>204</v>
      </c>
      <c r="N791" t="s">
        <v>89</v>
      </c>
      <c r="O791" t="s">
        <v>89</v>
      </c>
      <c r="P791" t="s">
        <v>90</v>
      </c>
      <c r="Q791" t="s">
        <v>91</v>
      </c>
      <c r="R791">
        <v>6</v>
      </c>
      <c r="S791">
        <v>8</v>
      </c>
      <c r="T791">
        <v>1966</v>
      </c>
      <c r="U791">
        <v>2007</v>
      </c>
      <c r="V791" t="s">
        <v>92</v>
      </c>
      <c r="W791" t="s">
        <v>93</v>
      </c>
      <c r="X791" t="s">
        <v>139</v>
      </c>
      <c r="Y791" t="s">
        <v>139</v>
      </c>
      <c r="Z791" t="s">
        <v>95</v>
      </c>
      <c r="AA791">
        <v>157</v>
      </c>
      <c r="AB791" t="s">
        <v>97</v>
      </c>
      <c r="AC791" t="s">
        <v>97</v>
      </c>
      <c r="AD791" t="s">
        <v>117</v>
      </c>
      <c r="AE791" t="s">
        <v>97</v>
      </c>
      <c r="AF791" t="s">
        <v>146</v>
      </c>
      <c r="AG791" t="s">
        <v>96</v>
      </c>
      <c r="AH791" t="s">
        <v>171</v>
      </c>
      <c r="AI791">
        <v>568</v>
      </c>
      <c r="AJ791" t="s">
        <v>101</v>
      </c>
      <c r="AK791">
        <v>0</v>
      </c>
      <c r="AL791">
        <v>264</v>
      </c>
      <c r="AM791">
        <v>832</v>
      </c>
      <c r="AN791" t="s">
        <v>102</v>
      </c>
      <c r="AO791" t="s">
        <v>96</v>
      </c>
      <c r="AP791" t="s">
        <v>104</v>
      </c>
      <c r="AQ791" t="s">
        <v>105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96</v>
      </c>
      <c r="BC791">
        <v>9</v>
      </c>
      <c r="BD791" t="s">
        <v>106</v>
      </c>
      <c r="BE791">
        <v>0</v>
      </c>
      <c r="BG791" t="s">
        <v>107</v>
      </c>
      <c r="BH791">
        <v>1966</v>
      </c>
      <c r="BI791" t="s">
        <v>156</v>
      </c>
      <c r="BJ791">
        <v>2</v>
      </c>
      <c r="BK791">
        <v>444</v>
      </c>
      <c r="BL791" t="s">
        <v>97</v>
      </c>
      <c r="BM791" t="s">
        <v>97</v>
      </c>
      <c r="BN791" t="s">
        <v>104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X791">
        <v>0</v>
      </c>
      <c r="BY791">
        <v>7</v>
      </c>
      <c r="BZ791">
        <v>2007</v>
      </c>
      <c r="CA791" t="s">
        <v>109</v>
      </c>
      <c r="CB791" t="s">
        <v>110</v>
      </c>
      <c r="CC791">
        <v>187500</v>
      </c>
    </row>
    <row r="792" spans="1:81" x14ac:dyDescent="0.3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H792" t="s">
        <v>83</v>
      </c>
      <c r="I792" t="s">
        <v>84</v>
      </c>
      <c r="J792" t="s">
        <v>85</v>
      </c>
      <c r="K792" t="s">
        <v>86</v>
      </c>
      <c r="L792" t="s">
        <v>87</v>
      </c>
      <c r="M792" t="s">
        <v>226</v>
      </c>
      <c r="N792" t="s">
        <v>89</v>
      </c>
      <c r="O792" t="s">
        <v>89</v>
      </c>
      <c r="P792" t="s">
        <v>178</v>
      </c>
      <c r="Q792" t="s">
        <v>114</v>
      </c>
      <c r="R792">
        <v>7</v>
      </c>
      <c r="S792">
        <v>5</v>
      </c>
      <c r="T792">
        <v>2005</v>
      </c>
      <c r="U792">
        <v>2006</v>
      </c>
      <c r="V792" t="s">
        <v>92</v>
      </c>
      <c r="W792" t="s">
        <v>93</v>
      </c>
      <c r="X792" t="s">
        <v>94</v>
      </c>
      <c r="Y792" t="s">
        <v>94</v>
      </c>
      <c r="Z792" t="s">
        <v>95</v>
      </c>
      <c r="AA792">
        <v>11</v>
      </c>
      <c r="AB792" t="s">
        <v>96</v>
      </c>
      <c r="AC792" t="s">
        <v>97</v>
      </c>
      <c r="AD792" t="s">
        <v>98</v>
      </c>
      <c r="AE792" t="s">
        <v>96</v>
      </c>
      <c r="AF792" t="s">
        <v>97</v>
      </c>
      <c r="AG792" t="s">
        <v>99</v>
      </c>
      <c r="AH792" t="s">
        <v>100</v>
      </c>
      <c r="AI792">
        <v>16</v>
      </c>
      <c r="AJ792" t="s">
        <v>101</v>
      </c>
      <c r="AK792">
        <v>0</v>
      </c>
      <c r="AL792">
        <v>1129</v>
      </c>
      <c r="AM792">
        <v>1145</v>
      </c>
      <c r="AN792" t="s">
        <v>102</v>
      </c>
      <c r="AO792" t="s">
        <v>103</v>
      </c>
      <c r="AP792" t="s">
        <v>104</v>
      </c>
      <c r="AQ792" t="s">
        <v>105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96</v>
      </c>
      <c r="BC792">
        <v>5</v>
      </c>
      <c r="BD792" t="s">
        <v>106</v>
      </c>
      <c r="BE792">
        <v>1</v>
      </c>
      <c r="BF792" t="s">
        <v>96</v>
      </c>
      <c r="BG792" t="s">
        <v>107</v>
      </c>
      <c r="BH792">
        <v>2005</v>
      </c>
      <c r="BI792" t="s">
        <v>156</v>
      </c>
      <c r="BJ792">
        <v>2</v>
      </c>
      <c r="BK792">
        <v>397</v>
      </c>
      <c r="BL792" t="s">
        <v>97</v>
      </c>
      <c r="BM792" t="s">
        <v>97</v>
      </c>
      <c r="BN792" t="s">
        <v>104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X792">
        <v>0</v>
      </c>
      <c r="BY792">
        <v>9</v>
      </c>
      <c r="BZ792">
        <v>2009</v>
      </c>
      <c r="CA792" t="s">
        <v>109</v>
      </c>
      <c r="CB792" t="s">
        <v>110</v>
      </c>
      <c r="CC792">
        <v>160200</v>
      </c>
    </row>
    <row r="793" spans="1:81" x14ac:dyDescent="0.3">
      <c r="A793">
        <v>792</v>
      </c>
      <c r="B793">
        <v>80</v>
      </c>
      <c r="C793" t="s">
        <v>81</v>
      </c>
      <c r="E793">
        <v>11333</v>
      </c>
      <c r="F793" t="s">
        <v>82</v>
      </c>
      <c r="H793" t="s">
        <v>119</v>
      </c>
      <c r="I793" t="s">
        <v>84</v>
      </c>
      <c r="J793" t="s">
        <v>85</v>
      </c>
      <c r="K793" t="s">
        <v>121</v>
      </c>
      <c r="L793" t="s">
        <v>87</v>
      </c>
      <c r="M793" t="s">
        <v>130</v>
      </c>
      <c r="N793" t="s">
        <v>89</v>
      </c>
      <c r="O793" t="s">
        <v>89</v>
      </c>
      <c r="P793" t="s">
        <v>90</v>
      </c>
      <c r="Q793" t="s">
        <v>196</v>
      </c>
      <c r="R793">
        <v>6</v>
      </c>
      <c r="S793">
        <v>5</v>
      </c>
      <c r="T793">
        <v>1976</v>
      </c>
      <c r="U793">
        <v>1976</v>
      </c>
      <c r="V793" t="s">
        <v>92</v>
      </c>
      <c r="W793" t="s">
        <v>93</v>
      </c>
      <c r="X793" t="s">
        <v>139</v>
      </c>
      <c r="Y793" t="s">
        <v>139</v>
      </c>
      <c r="Z793" t="s">
        <v>116</v>
      </c>
      <c r="AA793">
        <v>0</v>
      </c>
      <c r="AB793" t="s">
        <v>97</v>
      </c>
      <c r="AC793" t="s">
        <v>97</v>
      </c>
      <c r="AD793" t="s">
        <v>98</v>
      </c>
      <c r="AE793" t="s">
        <v>96</v>
      </c>
      <c r="AF793" t="s">
        <v>97</v>
      </c>
      <c r="AG793" t="s">
        <v>129</v>
      </c>
      <c r="AH793" t="s">
        <v>118</v>
      </c>
      <c r="AI793">
        <v>539</v>
      </c>
      <c r="AJ793" t="s">
        <v>101</v>
      </c>
      <c r="AK793">
        <v>0</v>
      </c>
      <c r="AL793">
        <v>490</v>
      </c>
      <c r="AM793">
        <v>1029</v>
      </c>
      <c r="AN793" t="s">
        <v>102</v>
      </c>
      <c r="AO793" t="s">
        <v>97</v>
      </c>
      <c r="AP793" t="s">
        <v>104</v>
      </c>
      <c r="AQ793" t="s">
        <v>105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97</v>
      </c>
      <c r="BC793">
        <v>5</v>
      </c>
      <c r="BD793" t="s">
        <v>106</v>
      </c>
      <c r="BE793">
        <v>2</v>
      </c>
      <c r="BF793" t="s">
        <v>97</v>
      </c>
      <c r="BG793" t="s">
        <v>107</v>
      </c>
      <c r="BH793">
        <v>1976</v>
      </c>
      <c r="BI793" t="s">
        <v>108</v>
      </c>
      <c r="BJ793">
        <v>2</v>
      </c>
      <c r="BK793">
        <v>539</v>
      </c>
      <c r="BL793" t="s">
        <v>97</v>
      </c>
      <c r="BM793" t="s">
        <v>97</v>
      </c>
      <c r="BN793" t="s">
        <v>104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X793">
        <v>0</v>
      </c>
      <c r="BY793">
        <v>5</v>
      </c>
      <c r="BZ793">
        <v>2007</v>
      </c>
      <c r="CA793" t="s">
        <v>109</v>
      </c>
      <c r="CB793" t="s">
        <v>110</v>
      </c>
      <c r="CC793">
        <v>146800</v>
      </c>
    </row>
    <row r="794" spans="1:81" x14ac:dyDescent="0.3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H794" t="s">
        <v>119</v>
      </c>
      <c r="I794" t="s">
        <v>84</v>
      </c>
      <c r="J794" t="s">
        <v>85</v>
      </c>
      <c r="K794" t="s">
        <v>165</v>
      </c>
      <c r="L794" t="s">
        <v>87</v>
      </c>
      <c r="M794" t="s">
        <v>128</v>
      </c>
      <c r="N794" t="s">
        <v>89</v>
      </c>
      <c r="O794" t="s">
        <v>89</v>
      </c>
      <c r="P794" t="s">
        <v>90</v>
      </c>
      <c r="Q794" t="s">
        <v>91</v>
      </c>
      <c r="R794">
        <v>7</v>
      </c>
      <c r="S794">
        <v>5</v>
      </c>
      <c r="T794">
        <v>1996</v>
      </c>
      <c r="U794">
        <v>1997</v>
      </c>
      <c r="V794" t="s">
        <v>92</v>
      </c>
      <c r="W794" t="s">
        <v>93</v>
      </c>
      <c r="X794" t="s">
        <v>115</v>
      </c>
      <c r="Y794" t="s">
        <v>115</v>
      </c>
      <c r="Z794" t="s">
        <v>116</v>
      </c>
      <c r="AA794">
        <v>0</v>
      </c>
      <c r="AB794" t="s">
        <v>96</v>
      </c>
      <c r="AC794" t="s">
        <v>97</v>
      </c>
      <c r="AD794" t="s">
        <v>98</v>
      </c>
      <c r="AE794" t="s">
        <v>96</v>
      </c>
      <c r="AF794" t="s">
        <v>97</v>
      </c>
      <c r="AG794" t="s">
        <v>129</v>
      </c>
      <c r="AH794" t="s">
        <v>100</v>
      </c>
      <c r="AI794">
        <v>862</v>
      </c>
      <c r="AJ794" t="s">
        <v>101</v>
      </c>
      <c r="AK794">
        <v>0</v>
      </c>
      <c r="AL794">
        <v>255</v>
      </c>
      <c r="AM794">
        <v>1117</v>
      </c>
      <c r="AN794" t="s">
        <v>102</v>
      </c>
      <c r="AO794" t="s">
        <v>103</v>
      </c>
      <c r="AP794" t="s">
        <v>104</v>
      </c>
      <c r="AQ794" t="s">
        <v>105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97</v>
      </c>
      <c r="BC794">
        <v>8</v>
      </c>
      <c r="BD794" t="s">
        <v>106</v>
      </c>
      <c r="BE794">
        <v>1</v>
      </c>
      <c r="BF794" t="s">
        <v>97</v>
      </c>
      <c r="BG794" t="s">
        <v>107</v>
      </c>
      <c r="BH794">
        <v>1997</v>
      </c>
      <c r="BI794" t="s">
        <v>101</v>
      </c>
      <c r="BJ794">
        <v>2</v>
      </c>
      <c r="BK794">
        <v>455</v>
      </c>
      <c r="BL794" t="s">
        <v>97</v>
      </c>
      <c r="BM794" t="s">
        <v>97</v>
      </c>
      <c r="BN794" t="s">
        <v>104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X794">
        <v>0</v>
      </c>
      <c r="BY794">
        <v>6</v>
      </c>
      <c r="BZ794">
        <v>2007</v>
      </c>
      <c r="CA794" t="s">
        <v>109</v>
      </c>
      <c r="CB794" t="s">
        <v>110</v>
      </c>
      <c r="CC794">
        <v>269790</v>
      </c>
    </row>
    <row r="795" spans="1:81" x14ac:dyDescent="0.3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H795" t="s">
        <v>83</v>
      </c>
      <c r="I795" t="s">
        <v>84</v>
      </c>
      <c r="J795" t="s">
        <v>85</v>
      </c>
      <c r="K795" t="s">
        <v>86</v>
      </c>
      <c r="L795" t="s">
        <v>87</v>
      </c>
      <c r="M795" t="s">
        <v>135</v>
      </c>
      <c r="N795" t="s">
        <v>89</v>
      </c>
      <c r="O795" t="s">
        <v>89</v>
      </c>
      <c r="P795" t="s">
        <v>90</v>
      </c>
      <c r="Q795" t="s">
        <v>114</v>
      </c>
      <c r="R795">
        <v>8</v>
      </c>
      <c r="S795">
        <v>5</v>
      </c>
      <c r="T795">
        <v>2007</v>
      </c>
      <c r="U795">
        <v>2007</v>
      </c>
      <c r="V795" t="s">
        <v>92</v>
      </c>
      <c r="W795" t="s">
        <v>93</v>
      </c>
      <c r="X795" t="s">
        <v>179</v>
      </c>
      <c r="Y795" t="s">
        <v>180</v>
      </c>
      <c r="Z795" t="s">
        <v>136</v>
      </c>
      <c r="AA795">
        <v>140</v>
      </c>
      <c r="AB795" t="s">
        <v>96</v>
      </c>
      <c r="AC795" t="s">
        <v>97</v>
      </c>
      <c r="AD795" t="s">
        <v>98</v>
      </c>
      <c r="AE795" t="s">
        <v>96</v>
      </c>
      <c r="AF795" t="s">
        <v>97</v>
      </c>
      <c r="AG795" t="s">
        <v>129</v>
      </c>
      <c r="AH795" t="s">
        <v>101</v>
      </c>
      <c r="AI795">
        <v>0</v>
      </c>
      <c r="AJ795" t="s">
        <v>101</v>
      </c>
      <c r="AK795">
        <v>0</v>
      </c>
      <c r="AL795">
        <v>1496</v>
      </c>
      <c r="AM795">
        <v>1496</v>
      </c>
      <c r="AN795" t="s">
        <v>102</v>
      </c>
      <c r="AO795" t="s">
        <v>103</v>
      </c>
      <c r="AP795" t="s">
        <v>104</v>
      </c>
      <c r="AQ795" t="s">
        <v>105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96</v>
      </c>
      <c r="BC795">
        <v>7</v>
      </c>
      <c r="BD795" t="s">
        <v>106</v>
      </c>
      <c r="BE795">
        <v>0</v>
      </c>
      <c r="BG795" t="s">
        <v>107</v>
      </c>
      <c r="BH795">
        <v>2007</v>
      </c>
      <c r="BI795" t="s">
        <v>156</v>
      </c>
      <c r="BJ795">
        <v>2</v>
      </c>
      <c r="BK795">
        <v>474</v>
      </c>
      <c r="BL795" t="s">
        <v>97</v>
      </c>
      <c r="BM795" t="s">
        <v>97</v>
      </c>
      <c r="BN795" t="s">
        <v>104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X795">
        <v>0</v>
      </c>
      <c r="BY795">
        <v>6</v>
      </c>
      <c r="BZ795">
        <v>2007</v>
      </c>
      <c r="CA795" t="s">
        <v>157</v>
      </c>
      <c r="CB795" t="s">
        <v>158</v>
      </c>
      <c r="CC795">
        <v>225000</v>
      </c>
    </row>
    <row r="796" spans="1:81" x14ac:dyDescent="0.3">
      <c r="A796">
        <v>795</v>
      </c>
      <c r="B796">
        <v>60</v>
      </c>
      <c r="C796" t="s">
        <v>81</v>
      </c>
      <c r="E796">
        <v>10832</v>
      </c>
      <c r="F796" t="s">
        <v>82</v>
      </c>
      <c r="H796" t="s">
        <v>119</v>
      </c>
      <c r="I796" t="s">
        <v>84</v>
      </c>
      <c r="J796" t="s">
        <v>85</v>
      </c>
      <c r="K796" t="s">
        <v>121</v>
      </c>
      <c r="L796" t="s">
        <v>87</v>
      </c>
      <c r="M796" t="s">
        <v>192</v>
      </c>
      <c r="N796" t="s">
        <v>89</v>
      </c>
      <c r="O796" t="s">
        <v>89</v>
      </c>
      <c r="P796" t="s">
        <v>90</v>
      </c>
      <c r="Q796" t="s">
        <v>91</v>
      </c>
      <c r="R796">
        <v>7</v>
      </c>
      <c r="S796">
        <v>5</v>
      </c>
      <c r="T796">
        <v>1994</v>
      </c>
      <c r="U796">
        <v>1996</v>
      </c>
      <c r="V796" t="s">
        <v>92</v>
      </c>
      <c r="W796" t="s">
        <v>93</v>
      </c>
      <c r="X796" t="s">
        <v>115</v>
      </c>
      <c r="Y796" t="s">
        <v>115</v>
      </c>
      <c r="Z796" t="s">
        <v>116</v>
      </c>
      <c r="AA796">
        <v>0</v>
      </c>
      <c r="AB796" t="s">
        <v>96</v>
      </c>
      <c r="AC796" t="s">
        <v>97</v>
      </c>
      <c r="AD796" t="s">
        <v>98</v>
      </c>
      <c r="AE796" t="s">
        <v>96</v>
      </c>
      <c r="AF796" t="s">
        <v>97</v>
      </c>
      <c r="AG796" t="s">
        <v>99</v>
      </c>
      <c r="AH796" t="s">
        <v>101</v>
      </c>
      <c r="AI796">
        <v>0</v>
      </c>
      <c r="AJ796" t="s">
        <v>101</v>
      </c>
      <c r="AK796">
        <v>0</v>
      </c>
      <c r="AL796">
        <v>712</v>
      </c>
      <c r="AM796">
        <v>712</v>
      </c>
      <c r="AN796" t="s">
        <v>102</v>
      </c>
      <c r="AO796" t="s">
        <v>103</v>
      </c>
      <c r="AP796" t="s">
        <v>104</v>
      </c>
      <c r="AQ796" t="s">
        <v>105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96</v>
      </c>
      <c r="BC796">
        <v>7</v>
      </c>
      <c r="BD796" t="s">
        <v>106</v>
      </c>
      <c r="BE796">
        <v>1</v>
      </c>
      <c r="BF796" t="s">
        <v>97</v>
      </c>
      <c r="BG796" t="s">
        <v>107</v>
      </c>
      <c r="BH796">
        <v>1994</v>
      </c>
      <c r="BI796" t="s">
        <v>156</v>
      </c>
      <c r="BJ796">
        <v>2</v>
      </c>
      <c r="BK796">
        <v>409</v>
      </c>
      <c r="BL796" t="s">
        <v>97</v>
      </c>
      <c r="BM796" t="s">
        <v>97</v>
      </c>
      <c r="BN796" t="s">
        <v>104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W796" t="s">
        <v>134</v>
      </c>
      <c r="BX796">
        <v>500</v>
      </c>
      <c r="BY796">
        <v>10</v>
      </c>
      <c r="BZ796">
        <v>2008</v>
      </c>
      <c r="CA796" t="s">
        <v>109</v>
      </c>
      <c r="CB796" t="s">
        <v>110</v>
      </c>
      <c r="CC796">
        <v>194500</v>
      </c>
    </row>
    <row r="797" spans="1:81" x14ac:dyDescent="0.3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H797" t="s">
        <v>83</v>
      </c>
      <c r="I797" t="s">
        <v>84</v>
      </c>
      <c r="J797" t="s">
        <v>85</v>
      </c>
      <c r="K797" t="s">
        <v>86</v>
      </c>
      <c r="L797" t="s">
        <v>87</v>
      </c>
      <c r="M797" t="s">
        <v>169</v>
      </c>
      <c r="N797" t="s">
        <v>89</v>
      </c>
      <c r="O797" t="s">
        <v>89</v>
      </c>
      <c r="P797" t="s">
        <v>90</v>
      </c>
      <c r="Q797" t="s">
        <v>91</v>
      </c>
      <c r="R797">
        <v>6</v>
      </c>
      <c r="S797">
        <v>6</v>
      </c>
      <c r="T797">
        <v>1980</v>
      </c>
      <c r="U797">
        <v>1981</v>
      </c>
      <c r="V797" t="s">
        <v>92</v>
      </c>
      <c r="W797" t="s">
        <v>93</v>
      </c>
      <c r="X797" t="s">
        <v>139</v>
      </c>
      <c r="Y797" t="s">
        <v>139</v>
      </c>
      <c r="Z797" t="s">
        <v>95</v>
      </c>
      <c r="AA797">
        <v>130</v>
      </c>
      <c r="AB797" t="s">
        <v>97</v>
      </c>
      <c r="AC797" t="s">
        <v>97</v>
      </c>
      <c r="AD797" t="s">
        <v>117</v>
      </c>
      <c r="AE797" t="s">
        <v>96</v>
      </c>
      <c r="AF797" t="s">
        <v>97</v>
      </c>
      <c r="AG797" t="s">
        <v>99</v>
      </c>
      <c r="AH797" t="s">
        <v>101</v>
      </c>
      <c r="AI797">
        <v>0</v>
      </c>
      <c r="AJ797" t="s">
        <v>101</v>
      </c>
      <c r="AK797">
        <v>0</v>
      </c>
      <c r="AL797">
        <v>650</v>
      </c>
      <c r="AM797">
        <v>650</v>
      </c>
      <c r="AN797" t="s">
        <v>102</v>
      </c>
      <c r="AO797" t="s">
        <v>97</v>
      </c>
      <c r="AP797" t="s">
        <v>104</v>
      </c>
      <c r="AQ797" t="s">
        <v>105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97</v>
      </c>
      <c r="BC797">
        <v>7</v>
      </c>
      <c r="BD797" t="s">
        <v>106</v>
      </c>
      <c r="BE797">
        <v>1</v>
      </c>
      <c r="BF797" t="s">
        <v>97</v>
      </c>
      <c r="BG797" t="s">
        <v>107</v>
      </c>
      <c r="BH797">
        <v>1980</v>
      </c>
      <c r="BI797" t="s">
        <v>101</v>
      </c>
      <c r="BJ797">
        <v>2</v>
      </c>
      <c r="BK797">
        <v>476</v>
      </c>
      <c r="BL797" t="s">
        <v>97</v>
      </c>
      <c r="BM797" t="s">
        <v>97</v>
      </c>
      <c r="BN797" t="s">
        <v>104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V797" t="s">
        <v>133</v>
      </c>
      <c r="BX797">
        <v>0</v>
      </c>
      <c r="BY797">
        <v>4</v>
      </c>
      <c r="BZ797">
        <v>2010</v>
      </c>
      <c r="CA797" t="s">
        <v>109</v>
      </c>
      <c r="CB797" t="s">
        <v>110</v>
      </c>
      <c r="CC797">
        <v>171000</v>
      </c>
    </row>
    <row r="798" spans="1:81" x14ac:dyDescent="0.3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150</v>
      </c>
      <c r="N798" t="s">
        <v>89</v>
      </c>
      <c r="O798" t="s">
        <v>89</v>
      </c>
      <c r="P798" t="s">
        <v>90</v>
      </c>
      <c r="Q798" t="s">
        <v>114</v>
      </c>
      <c r="R798">
        <v>6</v>
      </c>
      <c r="S798">
        <v>5</v>
      </c>
      <c r="T798">
        <v>1977</v>
      </c>
      <c r="U798">
        <v>1977</v>
      </c>
      <c r="V798" t="s">
        <v>92</v>
      </c>
      <c r="W798" t="s">
        <v>93</v>
      </c>
      <c r="X798" t="s">
        <v>160</v>
      </c>
      <c r="Y798" t="s">
        <v>160</v>
      </c>
      <c r="Z798" t="s">
        <v>95</v>
      </c>
      <c r="AA798">
        <v>148</v>
      </c>
      <c r="AB798" t="s">
        <v>97</v>
      </c>
      <c r="AC798" t="s">
        <v>97</v>
      </c>
      <c r="AD798" t="s">
        <v>117</v>
      </c>
      <c r="AE798" t="s">
        <v>97</v>
      </c>
      <c r="AF798" t="s">
        <v>97</v>
      </c>
      <c r="AG798" t="s">
        <v>99</v>
      </c>
      <c r="AH798" t="s">
        <v>101</v>
      </c>
      <c r="AI798">
        <v>0</v>
      </c>
      <c r="AJ798" t="s">
        <v>101</v>
      </c>
      <c r="AK798">
        <v>0</v>
      </c>
      <c r="AL798">
        <v>660</v>
      </c>
      <c r="AM798">
        <v>660</v>
      </c>
      <c r="AN798" t="s">
        <v>102</v>
      </c>
      <c r="AO798" t="s">
        <v>103</v>
      </c>
      <c r="AP798" t="s">
        <v>104</v>
      </c>
      <c r="AQ798" t="s">
        <v>105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97</v>
      </c>
      <c r="BC798">
        <v>7</v>
      </c>
      <c r="BD798" t="s">
        <v>106</v>
      </c>
      <c r="BE798">
        <v>1</v>
      </c>
      <c r="BF798" t="s">
        <v>97</v>
      </c>
      <c r="BG798" t="s">
        <v>107</v>
      </c>
      <c r="BH798">
        <v>1977</v>
      </c>
      <c r="BI798" t="s">
        <v>108</v>
      </c>
      <c r="BJ798">
        <v>2</v>
      </c>
      <c r="BK798">
        <v>528</v>
      </c>
      <c r="BL798" t="s">
        <v>97</v>
      </c>
      <c r="BM798" t="s">
        <v>97</v>
      </c>
      <c r="BN798" t="s">
        <v>104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V798" t="s">
        <v>133</v>
      </c>
      <c r="BX798">
        <v>0</v>
      </c>
      <c r="BY798">
        <v>4</v>
      </c>
      <c r="BZ798">
        <v>2007</v>
      </c>
      <c r="CA798" t="s">
        <v>109</v>
      </c>
      <c r="CB798" t="s">
        <v>110</v>
      </c>
      <c r="CC798">
        <v>143500</v>
      </c>
    </row>
    <row r="799" spans="1:81" x14ac:dyDescent="0.3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H799" t="s">
        <v>83</v>
      </c>
      <c r="I799" t="s">
        <v>84</v>
      </c>
      <c r="J799" t="s">
        <v>85</v>
      </c>
      <c r="K799" t="s">
        <v>86</v>
      </c>
      <c r="L799" t="s">
        <v>87</v>
      </c>
      <c r="M799" t="s">
        <v>270</v>
      </c>
      <c r="N799" t="s">
        <v>89</v>
      </c>
      <c r="O799" t="s">
        <v>89</v>
      </c>
      <c r="P799" t="s">
        <v>90</v>
      </c>
      <c r="Q799" t="s">
        <v>114</v>
      </c>
      <c r="R799">
        <v>5</v>
      </c>
      <c r="S799">
        <v>5</v>
      </c>
      <c r="T799">
        <v>1953</v>
      </c>
      <c r="U799">
        <v>1953</v>
      </c>
      <c r="V799" t="s">
        <v>92</v>
      </c>
      <c r="W799" t="s">
        <v>93</v>
      </c>
      <c r="X799" t="s">
        <v>94</v>
      </c>
      <c r="Y799" t="s">
        <v>94</v>
      </c>
      <c r="Z799" t="s">
        <v>116</v>
      </c>
      <c r="AA799">
        <v>0</v>
      </c>
      <c r="AB799" t="s">
        <v>97</v>
      </c>
      <c r="AC799" t="s">
        <v>97</v>
      </c>
      <c r="AD799" t="s">
        <v>117</v>
      </c>
      <c r="AE799" t="s">
        <v>97</v>
      </c>
      <c r="AF799" t="s">
        <v>97</v>
      </c>
      <c r="AG799" t="s">
        <v>99</v>
      </c>
      <c r="AH799" t="s">
        <v>140</v>
      </c>
      <c r="AI799">
        <v>570</v>
      </c>
      <c r="AJ799" t="s">
        <v>101</v>
      </c>
      <c r="AK799">
        <v>0</v>
      </c>
      <c r="AL799">
        <v>203</v>
      </c>
      <c r="AM799">
        <v>773</v>
      </c>
      <c r="AN799" t="s">
        <v>102</v>
      </c>
      <c r="AO799" t="s">
        <v>96</v>
      </c>
      <c r="AP799" t="s">
        <v>104</v>
      </c>
      <c r="AQ799" t="s">
        <v>105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97</v>
      </c>
      <c r="BC799">
        <v>4</v>
      </c>
      <c r="BD799" t="s">
        <v>106</v>
      </c>
      <c r="BE799">
        <v>0</v>
      </c>
      <c r="BG799" t="s">
        <v>107</v>
      </c>
      <c r="BH799">
        <v>1953</v>
      </c>
      <c r="BI799" t="s">
        <v>101</v>
      </c>
      <c r="BJ799">
        <v>1</v>
      </c>
      <c r="BK799">
        <v>240</v>
      </c>
      <c r="BL799" t="s">
        <v>97</v>
      </c>
      <c r="BM799" t="s">
        <v>97</v>
      </c>
      <c r="BN799" t="s">
        <v>104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X799">
        <v>0</v>
      </c>
      <c r="BY799">
        <v>4</v>
      </c>
      <c r="BZ799">
        <v>2008</v>
      </c>
      <c r="CA799" t="s">
        <v>109</v>
      </c>
      <c r="CB799" t="s">
        <v>127</v>
      </c>
      <c r="CC799">
        <v>110000</v>
      </c>
    </row>
    <row r="800" spans="1:81" x14ac:dyDescent="0.3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H800" t="s">
        <v>83</v>
      </c>
      <c r="I800" t="s">
        <v>84</v>
      </c>
      <c r="J800" t="s">
        <v>85</v>
      </c>
      <c r="K800" t="s">
        <v>86</v>
      </c>
      <c r="L800" t="s">
        <v>87</v>
      </c>
      <c r="M800" t="s">
        <v>153</v>
      </c>
      <c r="N800" t="s">
        <v>89</v>
      </c>
      <c r="O800" t="s">
        <v>89</v>
      </c>
      <c r="P800" t="s">
        <v>90</v>
      </c>
      <c r="Q800" t="s">
        <v>91</v>
      </c>
      <c r="R800">
        <v>9</v>
      </c>
      <c r="S800">
        <v>5</v>
      </c>
      <c r="T800">
        <v>2008</v>
      </c>
      <c r="U800">
        <v>2009</v>
      </c>
      <c r="V800" t="s">
        <v>151</v>
      </c>
      <c r="W800" t="s">
        <v>93</v>
      </c>
      <c r="X800" t="s">
        <v>94</v>
      </c>
      <c r="Y800" t="s">
        <v>94</v>
      </c>
      <c r="Z800" t="s">
        <v>136</v>
      </c>
      <c r="AA800">
        <v>860</v>
      </c>
      <c r="AB800" t="s">
        <v>103</v>
      </c>
      <c r="AC800" t="s">
        <v>97</v>
      </c>
      <c r="AD800" t="s">
        <v>98</v>
      </c>
      <c r="AE800" t="s">
        <v>103</v>
      </c>
      <c r="AF800" t="s">
        <v>97</v>
      </c>
      <c r="AG800" t="s">
        <v>99</v>
      </c>
      <c r="AH800" t="s">
        <v>101</v>
      </c>
      <c r="AI800">
        <v>0</v>
      </c>
      <c r="AJ800" t="s">
        <v>101</v>
      </c>
      <c r="AK800">
        <v>0</v>
      </c>
      <c r="AL800">
        <v>1926</v>
      </c>
      <c r="AM800">
        <v>1926</v>
      </c>
      <c r="AN800" t="s">
        <v>102</v>
      </c>
      <c r="AO800" t="s">
        <v>103</v>
      </c>
      <c r="AP800" t="s">
        <v>104</v>
      </c>
      <c r="AQ800" t="s">
        <v>105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103</v>
      </c>
      <c r="BC800">
        <v>11</v>
      </c>
      <c r="BD800" t="s">
        <v>106</v>
      </c>
      <c r="BE800">
        <v>2</v>
      </c>
      <c r="BF800" t="s">
        <v>96</v>
      </c>
      <c r="BG800" t="s">
        <v>155</v>
      </c>
      <c r="BH800">
        <v>2009</v>
      </c>
      <c r="BI800" t="s">
        <v>156</v>
      </c>
      <c r="BJ800">
        <v>3</v>
      </c>
      <c r="BK800">
        <v>820</v>
      </c>
      <c r="BL800" t="s">
        <v>97</v>
      </c>
      <c r="BM800" t="s">
        <v>97</v>
      </c>
      <c r="BN800" t="s">
        <v>104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X800">
        <v>0</v>
      </c>
      <c r="BY800">
        <v>7</v>
      </c>
      <c r="BZ800">
        <v>2009</v>
      </c>
      <c r="CA800" t="s">
        <v>157</v>
      </c>
      <c r="CB800" t="s">
        <v>158</v>
      </c>
      <c r="CC800">
        <v>485000</v>
      </c>
    </row>
    <row r="801" spans="1:81" x14ac:dyDescent="0.3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H801" t="s">
        <v>83</v>
      </c>
      <c r="I801" t="s">
        <v>84</v>
      </c>
      <c r="J801" t="s">
        <v>85</v>
      </c>
      <c r="K801" t="s">
        <v>121</v>
      </c>
      <c r="L801" t="s">
        <v>87</v>
      </c>
      <c r="M801" t="s">
        <v>231</v>
      </c>
      <c r="N801" t="s">
        <v>113</v>
      </c>
      <c r="O801" t="s">
        <v>89</v>
      </c>
      <c r="P801" t="s">
        <v>90</v>
      </c>
      <c r="Q801" t="s">
        <v>131</v>
      </c>
      <c r="R801">
        <v>5</v>
      </c>
      <c r="S801">
        <v>7</v>
      </c>
      <c r="T801">
        <v>1937</v>
      </c>
      <c r="U801">
        <v>1950</v>
      </c>
      <c r="V801" t="s">
        <v>92</v>
      </c>
      <c r="W801" t="s">
        <v>93</v>
      </c>
      <c r="X801" t="s">
        <v>123</v>
      </c>
      <c r="Y801" t="s">
        <v>123</v>
      </c>
      <c r="Z801" t="s">
        <v>95</v>
      </c>
      <c r="AA801">
        <v>252</v>
      </c>
      <c r="AB801" t="s">
        <v>97</v>
      </c>
      <c r="AC801" t="s">
        <v>97</v>
      </c>
      <c r="AD801" t="s">
        <v>125</v>
      </c>
      <c r="AE801" t="s">
        <v>96</v>
      </c>
      <c r="AF801" t="s">
        <v>97</v>
      </c>
      <c r="AG801" t="s">
        <v>99</v>
      </c>
      <c r="AH801" t="s">
        <v>118</v>
      </c>
      <c r="AI801">
        <v>569</v>
      </c>
      <c r="AJ801" t="s">
        <v>101</v>
      </c>
      <c r="AK801">
        <v>0</v>
      </c>
      <c r="AL801">
        <v>162</v>
      </c>
      <c r="AM801">
        <v>731</v>
      </c>
      <c r="AN801" t="s">
        <v>102</v>
      </c>
      <c r="AO801" t="s">
        <v>103</v>
      </c>
      <c r="AP801" t="s">
        <v>104</v>
      </c>
      <c r="AQ801" t="s">
        <v>105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96</v>
      </c>
      <c r="BC801">
        <v>7</v>
      </c>
      <c r="BD801" t="s">
        <v>106</v>
      </c>
      <c r="BE801">
        <v>2</v>
      </c>
      <c r="BF801" t="s">
        <v>97</v>
      </c>
      <c r="BG801" t="s">
        <v>126</v>
      </c>
      <c r="BH801">
        <v>1939</v>
      </c>
      <c r="BI801" t="s">
        <v>101</v>
      </c>
      <c r="BJ801">
        <v>1</v>
      </c>
      <c r="BK801">
        <v>240</v>
      </c>
      <c r="BL801" t="s">
        <v>97</v>
      </c>
      <c r="BM801" t="s">
        <v>97</v>
      </c>
      <c r="BN801" t="s">
        <v>104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V801" t="s">
        <v>133</v>
      </c>
      <c r="BX801">
        <v>0</v>
      </c>
      <c r="BY801">
        <v>6</v>
      </c>
      <c r="BZ801">
        <v>2007</v>
      </c>
      <c r="CA801" t="s">
        <v>109</v>
      </c>
      <c r="CB801" t="s">
        <v>110</v>
      </c>
      <c r="CC801">
        <v>175000</v>
      </c>
    </row>
    <row r="802" spans="1:81" x14ac:dyDescent="0.3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H802" t="s">
        <v>119</v>
      </c>
      <c r="I802" t="s">
        <v>198</v>
      </c>
      <c r="J802" t="s">
        <v>85</v>
      </c>
      <c r="K802" t="s">
        <v>86</v>
      </c>
      <c r="L802" t="s">
        <v>193</v>
      </c>
      <c r="M802" t="s">
        <v>204</v>
      </c>
      <c r="N802" t="s">
        <v>113</v>
      </c>
      <c r="O802" t="s">
        <v>89</v>
      </c>
      <c r="P802" t="s">
        <v>90</v>
      </c>
      <c r="Q802" t="s">
        <v>91</v>
      </c>
      <c r="R802">
        <v>6</v>
      </c>
      <c r="S802">
        <v>5</v>
      </c>
      <c r="T802">
        <v>1997</v>
      </c>
      <c r="U802">
        <v>1997</v>
      </c>
      <c r="V802" t="s">
        <v>92</v>
      </c>
      <c r="W802" t="s">
        <v>93</v>
      </c>
      <c r="X802" t="s">
        <v>94</v>
      </c>
      <c r="Y802" t="s">
        <v>94</v>
      </c>
      <c r="Z802" t="s">
        <v>116</v>
      </c>
      <c r="AA802">
        <v>0</v>
      </c>
      <c r="AB802" t="s">
        <v>97</v>
      </c>
      <c r="AC802" t="s">
        <v>97</v>
      </c>
      <c r="AD802" t="s">
        <v>98</v>
      </c>
      <c r="AE802" t="s">
        <v>96</v>
      </c>
      <c r="AF802" t="s">
        <v>97</v>
      </c>
      <c r="AG802" t="s">
        <v>96</v>
      </c>
      <c r="AH802" t="s">
        <v>100</v>
      </c>
      <c r="AI802">
        <v>462</v>
      </c>
      <c r="AJ802" t="s">
        <v>101</v>
      </c>
      <c r="AK802">
        <v>0</v>
      </c>
      <c r="AL802">
        <v>154</v>
      </c>
      <c r="AM802">
        <v>616</v>
      </c>
      <c r="AN802" t="s">
        <v>102</v>
      </c>
      <c r="AO802" t="s">
        <v>96</v>
      </c>
      <c r="AP802" t="s">
        <v>104</v>
      </c>
      <c r="AQ802" t="s">
        <v>105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96</v>
      </c>
      <c r="BC802">
        <v>8</v>
      </c>
      <c r="BD802" t="s">
        <v>106</v>
      </c>
      <c r="BE802">
        <v>0</v>
      </c>
      <c r="BG802" t="s">
        <v>107</v>
      </c>
      <c r="BH802">
        <v>1997</v>
      </c>
      <c r="BI802" t="s">
        <v>108</v>
      </c>
      <c r="BJ802">
        <v>2</v>
      </c>
      <c r="BK802">
        <v>603</v>
      </c>
      <c r="BL802" t="s">
        <v>97</v>
      </c>
      <c r="BM802" t="s">
        <v>97</v>
      </c>
      <c r="BN802" t="s">
        <v>104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W802" t="s">
        <v>134</v>
      </c>
      <c r="BX802">
        <v>400</v>
      </c>
      <c r="BY802">
        <v>5</v>
      </c>
      <c r="BZ802">
        <v>2008</v>
      </c>
      <c r="CA802" t="s">
        <v>109</v>
      </c>
      <c r="CB802" t="s">
        <v>110</v>
      </c>
      <c r="CC802">
        <v>200000</v>
      </c>
    </row>
    <row r="803" spans="1:81" x14ac:dyDescent="0.3">
      <c r="A803">
        <v>802</v>
      </c>
      <c r="B803">
        <v>30</v>
      </c>
      <c r="C803" t="s">
        <v>141</v>
      </c>
      <c r="D803">
        <v>40</v>
      </c>
      <c r="E803">
        <v>4800</v>
      </c>
      <c r="F803" t="s">
        <v>82</v>
      </c>
      <c r="H803" t="s">
        <v>83</v>
      </c>
      <c r="I803" t="s">
        <v>84</v>
      </c>
      <c r="J803" t="s">
        <v>85</v>
      </c>
      <c r="K803" t="s">
        <v>86</v>
      </c>
      <c r="L803" t="s">
        <v>87</v>
      </c>
      <c r="M803" t="s">
        <v>175</v>
      </c>
      <c r="N803" t="s">
        <v>89</v>
      </c>
      <c r="O803" t="s">
        <v>89</v>
      </c>
      <c r="P803" t="s">
        <v>90</v>
      </c>
      <c r="Q803" t="s">
        <v>114</v>
      </c>
      <c r="R803">
        <v>4</v>
      </c>
      <c r="S803">
        <v>7</v>
      </c>
      <c r="T803">
        <v>1916</v>
      </c>
      <c r="U803">
        <v>1990</v>
      </c>
      <c r="V803" t="s">
        <v>92</v>
      </c>
      <c r="W803" t="s">
        <v>93</v>
      </c>
      <c r="X803" t="s">
        <v>115</v>
      </c>
      <c r="Y803" t="s">
        <v>115</v>
      </c>
      <c r="Z803" t="s">
        <v>116</v>
      </c>
      <c r="AA803">
        <v>0</v>
      </c>
      <c r="AB803" t="s">
        <v>97</v>
      </c>
      <c r="AC803" t="s">
        <v>97</v>
      </c>
      <c r="AD803" t="s">
        <v>117</v>
      </c>
      <c r="AE803" t="s">
        <v>97</v>
      </c>
      <c r="AF803" t="s">
        <v>97</v>
      </c>
      <c r="AG803" t="s">
        <v>99</v>
      </c>
      <c r="AH803" t="s">
        <v>171</v>
      </c>
      <c r="AI803">
        <v>197</v>
      </c>
      <c r="AJ803" t="s">
        <v>101</v>
      </c>
      <c r="AK803">
        <v>0</v>
      </c>
      <c r="AL803">
        <v>999</v>
      </c>
      <c r="AM803">
        <v>1196</v>
      </c>
      <c r="AN803" t="s">
        <v>102</v>
      </c>
      <c r="AO803" t="s">
        <v>103</v>
      </c>
      <c r="AP803" t="s">
        <v>104</v>
      </c>
      <c r="AQ803" t="s">
        <v>163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97</v>
      </c>
      <c r="BC803">
        <v>5</v>
      </c>
      <c r="BD803" t="s">
        <v>106</v>
      </c>
      <c r="BE803">
        <v>0</v>
      </c>
      <c r="BG803" t="s">
        <v>126</v>
      </c>
      <c r="BH803">
        <v>1957</v>
      </c>
      <c r="BI803" t="s">
        <v>101</v>
      </c>
      <c r="BJ803">
        <v>2</v>
      </c>
      <c r="BK803">
        <v>440</v>
      </c>
      <c r="BL803" t="s">
        <v>97</v>
      </c>
      <c r="BM803" t="s">
        <v>97</v>
      </c>
      <c r="BN803" t="s">
        <v>104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X803">
        <v>0</v>
      </c>
      <c r="BY803">
        <v>7</v>
      </c>
      <c r="BZ803">
        <v>2007</v>
      </c>
      <c r="CA803" t="s">
        <v>109</v>
      </c>
      <c r="CB803" t="s">
        <v>110</v>
      </c>
      <c r="CC803">
        <v>109900</v>
      </c>
    </row>
    <row r="804" spans="1:81" x14ac:dyDescent="0.3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H804" t="s">
        <v>83</v>
      </c>
      <c r="I804" t="s">
        <v>84</v>
      </c>
      <c r="J804" t="s">
        <v>85</v>
      </c>
      <c r="K804" t="s">
        <v>86</v>
      </c>
      <c r="L804" t="s">
        <v>87</v>
      </c>
      <c r="M804" t="s">
        <v>88</v>
      </c>
      <c r="N804" t="s">
        <v>89</v>
      </c>
      <c r="O804" t="s">
        <v>89</v>
      </c>
      <c r="P804" t="s">
        <v>90</v>
      </c>
      <c r="Q804" t="s">
        <v>91</v>
      </c>
      <c r="R804">
        <v>7</v>
      </c>
      <c r="S804">
        <v>5</v>
      </c>
      <c r="T804">
        <v>2005</v>
      </c>
      <c r="U804">
        <v>2005</v>
      </c>
      <c r="V804" t="s">
        <v>92</v>
      </c>
      <c r="W804" t="s">
        <v>93</v>
      </c>
      <c r="X804" t="s">
        <v>154</v>
      </c>
      <c r="Y804" t="s">
        <v>124</v>
      </c>
      <c r="Z804" t="s">
        <v>116</v>
      </c>
      <c r="AA804">
        <v>0</v>
      </c>
      <c r="AB804" t="s">
        <v>96</v>
      </c>
      <c r="AC804" t="s">
        <v>97</v>
      </c>
      <c r="AD804" t="s">
        <v>98</v>
      </c>
      <c r="AE804" t="s">
        <v>96</v>
      </c>
      <c r="AF804" t="s">
        <v>97</v>
      </c>
      <c r="AG804" t="s">
        <v>129</v>
      </c>
      <c r="AH804" t="s">
        <v>100</v>
      </c>
      <c r="AI804">
        <v>648</v>
      </c>
      <c r="AJ804" t="s">
        <v>101</v>
      </c>
      <c r="AK804">
        <v>0</v>
      </c>
      <c r="AL804">
        <v>80</v>
      </c>
      <c r="AM804">
        <v>728</v>
      </c>
      <c r="AN804" t="s">
        <v>102</v>
      </c>
      <c r="AO804" t="s">
        <v>103</v>
      </c>
      <c r="AP804" t="s">
        <v>104</v>
      </c>
      <c r="AQ804" t="s">
        <v>105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96</v>
      </c>
      <c r="BC804">
        <v>7</v>
      </c>
      <c r="BD804" t="s">
        <v>106</v>
      </c>
      <c r="BE804">
        <v>1</v>
      </c>
      <c r="BF804" t="s">
        <v>96</v>
      </c>
      <c r="BG804" t="s">
        <v>107</v>
      </c>
      <c r="BH804">
        <v>2005</v>
      </c>
      <c r="BI804" t="s">
        <v>156</v>
      </c>
      <c r="BJ804">
        <v>2</v>
      </c>
      <c r="BK804">
        <v>410</v>
      </c>
      <c r="BL804" t="s">
        <v>97</v>
      </c>
      <c r="BM804" t="s">
        <v>97</v>
      </c>
      <c r="BN804" t="s">
        <v>104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X804">
        <v>0</v>
      </c>
      <c r="BY804">
        <v>10</v>
      </c>
      <c r="BZ804">
        <v>2008</v>
      </c>
      <c r="CA804" t="s">
        <v>109</v>
      </c>
      <c r="CB804" t="s">
        <v>110</v>
      </c>
      <c r="CC804">
        <v>189000</v>
      </c>
    </row>
    <row r="805" spans="1:81" x14ac:dyDescent="0.3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H805" t="s">
        <v>83</v>
      </c>
      <c r="I805" t="s">
        <v>84</v>
      </c>
      <c r="J805" t="s">
        <v>85</v>
      </c>
      <c r="K805" t="s">
        <v>86</v>
      </c>
      <c r="L805" t="s">
        <v>87</v>
      </c>
      <c r="M805" t="s">
        <v>153</v>
      </c>
      <c r="N805" t="s">
        <v>89</v>
      </c>
      <c r="O805" t="s">
        <v>89</v>
      </c>
      <c r="P805" t="s">
        <v>90</v>
      </c>
      <c r="Q805" t="s">
        <v>91</v>
      </c>
      <c r="R805">
        <v>9</v>
      </c>
      <c r="S805">
        <v>5</v>
      </c>
      <c r="T805">
        <v>2008</v>
      </c>
      <c r="U805">
        <v>2009</v>
      </c>
      <c r="V805" t="s">
        <v>151</v>
      </c>
      <c r="W805" t="s">
        <v>93</v>
      </c>
      <c r="X805" t="s">
        <v>94</v>
      </c>
      <c r="Y805" t="s">
        <v>94</v>
      </c>
      <c r="Z805" t="s">
        <v>136</v>
      </c>
      <c r="AA805">
        <v>424</v>
      </c>
      <c r="AB805" t="s">
        <v>103</v>
      </c>
      <c r="AC805" t="s">
        <v>97</v>
      </c>
      <c r="AD805" t="s">
        <v>98</v>
      </c>
      <c r="AE805" t="s">
        <v>103</v>
      </c>
      <c r="AF805" t="s">
        <v>97</v>
      </c>
      <c r="AG805" t="s">
        <v>96</v>
      </c>
      <c r="AH805" t="s">
        <v>101</v>
      </c>
      <c r="AI805">
        <v>0</v>
      </c>
      <c r="AJ805" t="s">
        <v>101</v>
      </c>
      <c r="AK805">
        <v>0</v>
      </c>
      <c r="AL805">
        <v>1734</v>
      </c>
      <c r="AM805">
        <v>1734</v>
      </c>
      <c r="AN805" t="s">
        <v>102</v>
      </c>
      <c r="AO805" t="s">
        <v>103</v>
      </c>
      <c r="AP805" t="s">
        <v>104</v>
      </c>
      <c r="AQ805" t="s">
        <v>105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103</v>
      </c>
      <c r="BC805">
        <v>12</v>
      </c>
      <c r="BD805" t="s">
        <v>106</v>
      </c>
      <c r="BE805">
        <v>1</v>
      </c>
      <c r="BF805" t="s">
        <v>96</v>
      </c>
      <c r="BG805" t="s">
        <v>155</v>
      </c>
      <c r="BH805">
        <v>2009</v>
      </c>
      <c r="BI805" t="s">
        <v>108</v>
      </c>
      <c r="BJ805">
        <v>3</v>
      </c>
      <c r="BK805">
        <v>1020</v>
      </c>
      <c r="BL805" t="s">
        <v>97</v>
      </c>
      <c r="BM805" t="s">
        <v>97</v>
      </c>
      <c r="BN805" t="s">
        <v>104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X805">
        <v>0</v>
      </c>
      <c r="BY805">
        <v>1</v>
      </c>
      <c r="BZ805">
        <v>2009</v>
      </c>
      <c r="CA805" t="s">
        <v>157</v>
      </c>
      <c r="CB805" t="s">
        <v>158</v>
      </c>
      <c r="CC805">
        <v>582933</v>
      </c>
    </row>
    <row r="806" spans="1:81" x14ac:dyDescent="0.3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H806" t="s">
        <v>83</v>
      </c>
      <c r="I806" t="s">
        <v>84</v>
      </c>
      <c r="J806" t="s">
        <v>85</v>
      </c>
      <c r="K806" t="s">
        <v>86</v>
      </c>
      <c r="L806" t="s">
        <v>87</v>
      </c>
      <c r="M806" t="s">
        <v>270</v>
      </c>
      <c r="N806" t="s">
        <v>89</v>
      </c>
      <c r="O806" t="s">
        <v>89</v>
      </c>
      <c r="P806" t="s">
        <v>90</v>
      </c>
      <c r="Q806" t="s">
        <v>114</v>
      </c>
      <c r="R806">
        <v>5</v>
      </c>
      <c r="S806">
        <v>5</v>
      </c>
      <c r="T806">
        <v>1954</v>
      </c>
      <c r="U806">
        <v>1954</v>
      </c>
      <c r="V806" t="s">
        <v>92</v>
      </c>
      <c r="W806" t="s">
        <v>93</v>
      </c>
      <c r="X806" t="s">
        <v>123</v>
      </c>
      <c r="Y806" t="s">
        <v>123</v>
      </c>
      <c r="Z806" t="s">
        <v>116</v>
      </c>
      <c r="AA806">
        <v>0</v>
      </c>
      <c r="AB806" t="s">
        <v>97</v>
      </c>
      <c r="AC806" t="s">
        <v>97</v>
      </c>
      <c r="AD806" t="s">
        <v>117</v>
      </c>
      <c r="AE806" t="s">
        <v>97</v>
      </c>
      <c r="AF806" t="s">
        <v>97</v>
      </c>
      <c r="AG806" t="s">
        <v>99</v>
      </c>
      <c r="AH806" t="s">
        <v>171</v>
      </c>
      <c r="AI806">
        <v>812</v>
      </c>
      <c r="AJ806" t="s">
        <v>101</v>
      </c>
      <c r="AK806">
        <v>0</v>
      </c>
      <c r="AL806">
        <v>124</v>
      </c>
      <c r="AM806">
        <v>936</v>
      </c>
      <c r="AN806" t="s">
        <v>102</v>
      </c>
      <c r="AO806" t="s">
        <v>97</v>
      </c>
      <c r="AP806" t="s">
        <v>104</v>
      </c>
      <c r="AQ806" t="s">
        <v>105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97</v>
      </c>
      <c r="BC806">
        <v>5</v>
      </c>
      <c r="BD806" t="s">
        <v>145</v>
      </c>
      <c r="BE806">
        <v>0</v>
      </c>
      <c r="BG806" t="s">
        <v>107</v>
      </c>
      <c r="BH806">
        <v>1954</v>
      </c>
      <c r="BI806" t="s">
        <v>101</v>
      </c>
      <c r="BJ806">
        <v>1</v>
      </c>
      <c r="BK806">
        <v>286</v>
      </c>
      <c r="BL806" t="s">
        <v>97</v>
      </c>
      <c r="BM806" t="s">
        <v>97</v>
      </c>
      <c r="BN806" t="s">
        <v>104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V806" t="s">
        <v>162</v>
      </c>
      <c r="BX806">
        <v>0</v>
      </c>
      <c r="BY806">
        <v>6</v>
      </c>
      <c r="BZ806">
        <v>2006</v>
      </c>
      <c r="CA806" t="s">
        <v>109</v>
      </c>
      <c r="CB806" t="s">
        <v>218</v>
      </c>
      <c r="CC806">
        <v>118000</v>
      </c>
    </row>
    <row r="807" spans="1:81" x14ac:dyDescent="0.3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H807" t="s">
        <v>119</v>
      </c>
      <c r="I807" t="s">
        <v>84</v>
      </c>
      <c r="J807" t="s">
        <v>85</v>
      </c>
      <c r="K807" t="s">
        <v>111</v>
      </c>
      <c r="L807" t="s">
        <v>87</v>
      </c>
      <c r="M807" t="s">
        <v>135</v>
      </c>
      <c r="N807" t="s">
        <v>89</v>
      </c>
      <c r="O807" t="s">
        <v>89</v>
      </c>
      <c r="P807" t="s">
        <v>90</v>
      </c>
      <c r="Q807" t="s">
        <v>114</v>
      </c>
      <c r="R807">
        <v>7</v>
      </c>
      <c r="S807">
        <v>5</v>
      </c>
      <c r="T807">
        <v>2008</v>
      </c>
      <c r="U807">
        <v>2008</v>
      </c>
      <c r="V807" t="s">
        <v>92</v>
      </c>
      <c r="W807" t="s">
        <v>93</v>
      </c>
      <c r="X807" t="s">
        <v>94</v>
      </c>
      <c r="Y807" t="s">
        <v>94</v>
      </c>
      <c r="Z807" t="s">
        <v>136</v>
      </c>
      <c r="AA807">
        <v>256</v>
      </c>
      <c r="AB807" t="s">
        <v>96</v>
      </c>
      <c r="AC807" t="s">
        <v>97</v>
      </c>
      <c r="AD807" t="s">
        <v>98</v>
      </c>
      <c r="AE807" t="s">
        <v>96</v>
      </c>
      <c r="AF807" t="s">
        <v>97</v>
      </c>
      <c r="AG807" t="s">
        <v>99</v>
      </c>
      <c r="AH807" t="s">
        <v>101</v>
      </c>
      <c r="AI807">
        <v>0</v>
      </c>
      <c r="AJ807" t="s">
        <v>101</v>
      </c>
      <c r="AK807">
        <v>0</v>
      </c>
      <c r="AL807">
        <v>1417</v>
      </c>
      <c r="AM807">
        <v>1417</v>
      </c>
      <c r="AN807" t="s">
        <v>102</v>
      </c>
      <c r="AO807" t="s">
        <v>103</v>
      </c>
      <c r="AP807" t="s">
        <v>104</v>
      </c>
      <c r="AQ807" t="s">
        <v>105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103</v>
      </c>
      <c r="BC807">
        <v>6</v>
      </c>
      <c r="BD807" t="s">
        <v>106</v>
      </c>
      <c r="BE807">
        <v>0</v>
      </c>
      <c r="BG807" t="s">
        <v>107</v>
      </c>
      <c r="BH807">
        <v>2008</v>
      </c>
      <c r="BI807" t="s">
        <v>108</v>
      </c>
      <c r="BJ807">
        <v>2</v>
      </c>
      <c r="BK807">
        <v>554</v>
      </c>
      <c r="BL807" t="s">
        <v>97</v>
      </c>
      <c r="BM807" t="s">
        <v>97</v>
      </c>
      <c r="BN807" t="s">
        <v>104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X807">
        <v>0</v>
      </c>
      <c r="BY807">
        <v>7</v>
      </c>
      <c r="BZ807">
        <v>2008</v>
      </c>
      <c r="CA807" t="s">
        <v>157</v>
      </c>
      <c r="CB807" t="s">
        <v>158</v>
      </c>
      <c r="CC807">
        <v>227680</v>
      </c>
    </row>
    <row r="808" spans="1:81" x14ac:dyDescent="0.3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H808" t="s">
        <v>83</v>
      </c>
      <c r="I808" t="s">
        <v>84</v>
      </c>
      <c r="J808" t="s">
        <v>85</v>
      </c>
      <c r="K808" t="s">
        <v>86</v>
      </c>
      <c r="L808" t="s">
        <v>87</v>
      </c>
      <c r="M808" t="s">
        <v>270</v>
      </c>
      <c r="N808" t="s">
        <v>89</v>
      </c>
      <c r="O808" t="s">
        <v>89</v>
      </c>
      <c r="P808" t="s">
        <v>90</v>
      </c>
      <c r="Q808" t="s">
        <v>196</v>
      </c>
      <c r="R808">
        <v>5</v>
      </c>
      <c r="S808">
        <v>5</v>
      </c>
      <c r="T808">
        <v>1967</v>
      </c>
      <c r="U808">
        <v>1967</v>
      </c>
      <c r="V808" t="s">
        <v>92</v>
      </c>
      <c r="W808" t="s">
        <v>93</v>
      </c>
      <c r="X808" t="s">
        <v>94</v>
      </c>
      <c r="Y808" t="s">
        <v>94</v>
      </c>
      <c r="Z808" t="s">
        <v>116</v>
      </c>
      <c r="AA808">
        <v>0</v>
      </c>
      <c r="AB808" t="s">
        <v>97</v>
      </c>
      <c r="AC808" t="s">
        <v>97</v>
      </c>
      <c r="AD808" t="s">
        <v>98</v>
      </c>
      <c r="AE808" t="s">
        <v>97</v>
      </c>
      <c r="AF808" t="s">
        <v>97</v>
      </c>
      <c r="AG808" t="s">
        <v>129</v>
      </c>
      <c r="AH808" t="s">
        <v>118</v>
      </c>
      <c r="AI808">
        <v>400</v>
      </c>
      <c r="AJ808" t="s">
        <v>152</v>
      </c>
      <c r="AK808">
        <v>480</v>
      </c>
      <c r="AL808">
        <v>100</v>
      </c>
      <c r="AM808">
        <v>980</v>
      </c>
      <c r="AN808" t="s">
        <v>102</v>
      </c>
      <c r="AO808" t="s">
        <v>96</v>
      </c>
      <c r="AP808" t="s">
        <v>104</v>
      </c>
      <c r="AQ808" t="s">
        <v>105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97</v>
      </c>
      <c r="BC808">
        <v>6</v>
      </c>
      <c r="BD808" t="s">
        <v>106</v>
      </c>
      <c r="BE808">
        <v>0</v>
      </c>
      <c r="BG808" t="s">
        <v>107</v>
      </c>
      <c r="BH808">
        <v>1967</v>
      </c>
      <c r="BI808" t="s">
        <v>156</v>
      </c>
      <c r="BJ808">
        <v>1</v>
      </c>
      <c r="BK808">
        <v>384</v>
      </c>
      <c r="BL808" t="s">
        <v>97</v>
      </c>
      <c r="BM808" t="s">
        <v>97</v>
      </c>
      <c r="BN808" t="s">
        <v>104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X808">
        <v>0</v>
      </c>
      <c r="BY808">
        <v>10</v>
      </c>
      <c r="BZ808">
        <v>2006</v>
      </c>
      <c r="CA808" t="s">
        <v>109</v>
      </c>
      <c r="CB808" t="s">
        <v>110</v>
      </c>
      <c r="CC808">
        <v>135500</v>
      </c>
    </row>
    <row r="809" spans="1:81" x14ac:dyDescent="0.3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H809" t="s">
        <v>83</v>
      </c>
      <c r="I809" t="s">
        <v>84</v>
      </c>
      <c r="J809" t="s">
        <v>85</v>
      </c>
      <c r="K809" t="s">
        <v>86</v>
      </c>
      <c r="L809" t="s">
        <v>87</v>
      </c>
      <c r="M809" t="s">
        <v>147</v>
      </c>
      <c r="N809" t="s">
        <v>89</v>
      </c>
      <c r="O809" t="s">
        <v>89</v>
      </c>
      <c r="P809" t="s">
        <v>90</v>
      </c>
      <c r="Q809" t="s">
        <v>91</v>
      </c>
      <c r="R809">
        <v>5</v>
      </c>
      <c r="S809">
        <v>6</v>
      </c>
      <c r="T809">
        <v>1923</v>
      </c>
      <c r="U809">
        <v>2004</v>
      </c>
      <c r="V809" t="s">
        <v>92</v>
      </c>
      <c r="W809" t="s">
        <v>93</v>
      </c>
      <c r="X809" t="s">
        <v>123</v>
      </c>
      <c r="Y809" t="s">
        <v>123</v>
      </c>
      <c r="Z809" t="s">
        <v>116</v>
      </c>
      <c r="AA809">
        <v>0</v>
      </c>
      <c r="AB809" t="s">
        <v>97</v>
      </c>
      <c r="AC809" t="s">
        <v>97</v>
      </c>
      <c r="AD809" t="s">
        <v>117</v>
      </c>
      <c r="AE809" t="s">
        <v>97</v>
      </c>
      <c r="AF809" t="s">
        <v>97</v>
      </c>
      <c r="AG809" t="s">
        <v>96</v>
      </c>
      <c r="AH809" t="s">
        <v>100</v>
      </c>
      <c r="AI809">
        <v>1309</v>
      </c>
      <c r="AJ809" t="s">
        <v>101</v>
      </c>
      <c r="AK809">
        <v>0</v>
      </c>
      <c r="AL809">
        <v>15</v>
      </c>
      <c r="AM809">
        <v>1324</v>
      </c>
      <c r="AN809" t="s">
        <v>102</v>
      </c>
      <c r="AO809" t="s">
        <v>103</v>
      </c>
      <c r="AP809" t="s">
        <v>104</v>
      </c>
      <c r="AQ809" t="s">
        <v>105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96</v>
      </c>
      <c r="BC809">
        <v>6</v>
      </c>
      <c r="BD809" t="s">
        <v>106</v>
      </c>
      <c r="BE809">
        <v>1</v>
      </c>
      <c r="BF809" t="s">
        <v>97</v>
      </c>
      <c r="BG809" t="s">
        <v>107</v>
      </c>
      <c r="BH809">
        <v>1923</v>
      </c>
      <c r="BI809" t="s">
        <v>108</v>
      </c>
      <c r="BJ809">
        <v>2</v>
      </c>
      <c r="BK809">
        <v>528</v>
      </c>
      <c r="BL809" t="s">
        <v>97</v>
      </c>
      <c r="BM809" t="s">
        <v>97</v>
      </c>
      <c r="BN809" t="s">
        <v>104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X809">
        <v>0</v>
      </c>
      <c r="BY809">
        <v>5</v>
      </c>
      <c r="BZ809">
        <v>2009</v>
      </c>
      <c r="CA809" t="s">
        <v>109</v>
      </c>
      <c r="CB809" t="s">
        <v>110</v>
      </c>
      <c r="CC809">
        <v>223500</v>
      </c>
    </row>
    <row r="810" spans="1:81" x14ac:dyDescent="0.3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H810" t="s">
        <v>83</v>
      </c>
      <c r="I810" t="s">
        <v>84</v>
      </c>
      <c r="J810" t="s">
        <v>85</v>
      </c>
      <c r="K810" t="s">
        <v>86</v>
      </c>
      <c r="L810" t="s">
        <v>87</v>
      </c>
      <c r="M810" t="s">
        <v>270</v>
      </c>
      <c r="N810" t="s">
        <v>89</v>
      </c>
      <c r="O810" t="s">
        <v>89</v>
      </c>
      <c r="P810" t="s">
        <v>90</v>
      </c>
      <c r="Q810" t="s">
        <v>196</v>
      </c>
      <c r="R810">
        <v>5</v>
      </c>
      <c r="S810">
        <v>5</v>
      </c>
      <c r="T810">
        <v>1966</v>
      </c>
      <c r="U810">
        <v>1966</v>
      </c>
      <c r="V810" t="s">
        <v>92</v>
      </c>
      <c r="W810" t="s">
        <v>93</v>
      </c>
      <c r="X810" t="s">
        <v>94</v>
      </c>
      <c r="Y810" t="s">
        <v>94</v>
      </c>
      <c r="Z810" t="s">
        <v>95</v>
      </c>
      <c r="AA810">
        <v>1047</v>
      </c>
      <c r="AB810" t="s">
        <v>97</v>
      </c>
      <c r="AC810" t="s">
        <v>97</v>
      </c>
      <c r="AD810" t="s">
        <v>117</v>
      </c>
      <c r="AE810" t="s">
        <v>97</v>
      </c>
      <c r="AF810" t="s">
        <v>97</v>
      </c>
      <c r="AG810" t="s">
        <v>129</v>
      </c>
      <c r="AH810" t="s">
        <v>118</v>
      </c>
      <c r="AI810">
        <v>516</v>
      </c>
      <c r="AJ810" t="s">
        <v>140</v>
      </c>
      <c r="AK810">
        <v>128</v>
      </c>
      <c r="AL810">
        <v>380</v>
      </c>
      <c r="AM810">
        <v>1024</v>
      </c>
      <c r="AN810" t="s">
        <v>102</v>
      </c>
      <c r="AO810" t="s">
        <v>97</v>
      </c>
      <c r="AP810" t="s">
        <v>104</v>
      </c>
      <c r="AQ810" t="s">
        <v>105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97</v>
      </c>
      <c r="BC810">
        <v>6</v>
      </c>
      <c r="BD810" t="s">
        <v>106</v>
      </c>
      <c r="BE810">
        <v>1</v>
      </c>
      <c r="BF810" t="s">
        <v>96</v>
      </c>
      <c r="BG810" t="s">
        <v>107</v>
      </c>
      <c r="BH810">
        <v>1966</v>
      </c>
      <c r="BI810" t="s">
        <v>108</v>
      </c>
      <c r="BJ810">
        <v>2</v>
      </c>
      <c r="BK810">
        <v>484</v>
      </c>
      <c r="BL810" t="s">
        <v>97</v>
      </c>
      <c r="BM810" t="s">
        <v>97</v>
      </c>
      <c r="BN810" t="s">
        <v>104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V810" t="s">
        <v>162</v>
      </c>
      <c r="BX810">
        <v>0</v>
      </c>
      <c r="BY810">
        <v>6</v>
      </c>
      <c r="BZ810">
        <v>2006</v>
      </c>
      <c r="CA810" t="s">
        <v>109</v>
      </c>
      <c r="CB810" t="s">
        <v>110</v>
      </c>
      <c r="CC810">
        <v>159950</v>
      </c>
    </row>
    <row r="811" spans="1:81" x14ac:dyDescent="0.3">
      <c r="A811">
        <v>810</v>
      </c>
      <c r="B811">
        <v>75</v>
      </c>
      <c r="C811" t="s">
        <v>141</v>
      </c>
      <c r="D811">
        <v>90</v>
      </c>
      <c r="E811">
        <v>8100</v>
      </c>
      <c r="F811" t="s">
        <v>82</v>
      </c>
      <c r="H811" t="s">
        <v>83</v>
      </c>
      <c r="I811" t="s">
        <v>84</v>
      </c>
      <c r="J811" t="s">
        <v>85</v>
      </c>
      <c r="K811" t="s">
        <v>121</v>
      </c>
      <c r="L811" t="s">
        <v>87</v>
      </c>
      <c r="M811" t="s">
        <v>142</v>
      </c>
      <c r="N811" t="s">
        <v>89</v>
      </c>
      <c r="O811" t="s">
        <v>89</v>
      </c>
      <c r="P811" t="s">
        <v>90</v>
      </c>
      <c r="Q811" t="s">
        <v>200</v>
      </c>
      <c r="R811">
        <v>5</v>
      </c>
      <c r="S811">
        <v>5</v>
      </c>
      <c r="T811">
        <v>1898</v>
      </c>
      <c r="U811">
        <v>1965</v>
      </c>
      <c r="V811" t="s">
        <v>151</v>
      </c>
      <c r="W811" t="s">
        <v>93</v>
      </c>
      <c r="X811" t="s">
        <v>185</v>
      </c>
      <c r="Y811" t="s">
        <v>185</v>
      </c>
      <c r="Z811" t="s">
        <v>116</v>
      </c>
      <c r="AA811">
        <v>0</v>
      </c>
      <c r="AB811" t="s">
        <v>97</v>
      </c>
      <c r="AC811" t="s">
        <v>97</v>
      </c>
      <c r="AD811" t="s">
        <v>98</v>
      </c>
      <c r="AE811" t="s">
        <v>97</v>
      </c>
      <c r="AF811" t="s">
        <v>97</v>
      </c>
      <c r="AG811" t="s">
        <v>99</v>
      </c>
      <c r="AH811" t="s">
        <v>101</v>
      </c>
      <c r="AI811">
        <v>0</v>
      </c>
      <c r="AJ811" t="s">
        <v>101</v>
      </c>
      <c r="AK811">
        <v>0</v>
      </c>
      <c r="AL811">
        <v>849</v>
      </c>
      <c r="AM811">
        <v>849</v>
      </c>
      <c r="AN811" t="s">
        <v>102</v>
      </c>
      <c r="AO811" t="s">
        <v>97</v>
      </c>
      <c r="AP811" t="s">
        <v>176</v>
      </c>
      <c r="AQ811" t="s">
        <v>163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97</v>
      </c>
      <c r="BC811">
        <v>11</v>
      </c>
      <c r="BD811" t="s">
        <v>106</v>
      </c>
      <c r="BE811">
        <v>0</v>
      </c>
      <c r="BG811" t="s">
        <v>126</v>
      </c>
      <c r="BH811">
        <v>1910</v>
      </c>
      <c r="BI811" t="s">
        <v>101</v>
      </c>
      <c r="BJ811">
        <v>2</v>
      </c>
      <c r="BK811">
        <v>360</v>
      </c>
      <c r="BL811" t="s">
        <v>146</v>
      </c>
      <c r="BM811" t="s">
        <v>211</v>
      </c>
      <c r="BN811" t="s">
        <v>176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V811" t="s">
        <v>133</v>
      </c>
      <c r="BX811">
        <v>0</v>
      </c>
      <c r="BY811">
        <v>11</v>
      </c>
      <c r="BZ811">
        <v>2009</v>
      </c>
      <c r="CA811" t="s">
        <v>109</v>
      </c>
      <c r="CB811" t="s">
        <v>110</v>
      </c>
      <c r="CC811">
        <v>106000</v>
      </c>
    </row>
    <row r="812" spans="1:81" x14ac:dyDescent="0.3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H812" t="s">
        <v>83</v>
      </c>
      <c r="I812" t="s">
        <v>84</v>
      </c>
      <c r="J812" t="s">
        <v>85</v>
      </c>
      <c r="K812" t="s">
        <v>86</v>
      </c>
      <c r="L812" t="s">
        <v>87</v>
      </c>
      <c r="M812" t="s">
        <v>137</v>
      </c>
      <c r="N812" t="s">
        <v>89</v>
      </c>
      <c r="O812" t="s">
        <v>89</v>
      </c>
      <c r="P812" t="s">
        <v>90</v>
      </c>
      <c r="Q812" t="s">
        <v>114</v>
      </c>
      <c r="R812">
        <v>6</v>
      </c>
      <c r="S812">
        <v>6</v>
      </c>
      <c r="T812">
        <v>1974</v>
      </c>
      <c r="U812">
        <v>1999</v>
      </c>
      <c r="V812" t="s">
        <v>151</v>
      </c>
      <c r="W812" t="s">
        <v>93</v>
      </c>
      <c r="X812" t="s">
        <v>139</v>
      </c>
      <c r="Y812" t="s">
        <v>139</v>
      </c>
      <c r="Z812" t="s">
        <v>95</v>
      </c>
      <c r="AA812">
        <v>99</v>
      </c>
      <c r="AB812" t="s">
        <v>97</v>
      </c>
      <c r="AC812" t="s">
        <v>97</v>
      </c>
      <c r="AD812" t="s">
        <v>117</v>
      </c>
      <c r="AE812" t="s">
        <v>97</v>
      </c>
      <c r="AF812" t="s">
        <v>97</v>
      </c>
      <c r="AG812" t="s">
        <v>99</v>
      </c>
      <c r="AH812" t="s">
        <v>118</v>
      </c>
      <c r="AI812">
        <v>663</v>
      </c>
      <c r="AJ812" t="s">
        <v>171</v>
      </c>
      <c r="AK812">
        <v>377</v>
      </c>
      <c r="AL812">
        <v>0</v>
      </c>
      <c r="AM812">
        <v>1040</v>
      </c>
      <c r="AN812" t="s">
        <v>102</v>
      </c>
      <c r="AO812" t="s">
        <v>146</v>
      </c>
      <c r="AP812" t="s">
        <v>104</v>
      </c>
      <c r="AQ812" t="s">
        <v>105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96</v>
      </c>
      <c r="BC812">
        <v>5</v>
      </c>
      <c r="BD812" t="s">
        <v>106</v>
      </c>
      <c r="BE812">
        <v>1</v>
      </c>
      <c r="BF812" t="s">
        <v>146</v>
      </c>
      <c r="BG812" t="s">
        <v>107</v>
      </c>
      <c r="BH812">
        <v>1974</v>
      </c>
      <c r="BI812" t="s">
        <v>108</v>
      </c>
      <c r="BJ812">
        <v>2</v>
      </c>
      <c r="BK812">
        <v>484</v>
      </c>
      <c r="BL812" t="s">
        <v>97</v>
      </c>
      <c r="BM812" t="s">
        <v>97</v>
      </c>
      <c r="BN812" t="s">
        <v>104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146</v>
      </c>
      <c r="BV812" t="s">
        <v>164</v>
      </c>
      <c r="BX812">
        <v>0</v>
      </c>
      <c r="BY812">
        <v>1</v>
      </c>
      <c r="BZ812">
        <v>2006</v>
      </c>
      <c r="CA812" t="s">
        <v>109</v>
      </c>
      <c r="CB812" t="s">
        <v>110</v>
      </c>
      <c r="CC812">
        <v>181000</v>
      </c>
    </row>
    <row r="813" spans="1:81" x14ac:dyDescent="0.3">
      <c r="A813">
        <v>812</v>
      </c>
      <c r="B813">
        <v>120</v>
      </c>
      <c r="C813" t="s">
        <v>141</v>
      </c>
      <c r="E813">
        <v>4438</v>
      </c>
      <c r="F813" t="s">
        <v>82</v>
      </c>
      <c r="H813" t="s">
        <v>83</v>
      </c>
      <c r="I813" t="s">
        <v>84</v>
      </c>
      <c r="J813" t="s">
        <v>85</v>
      </c>
      <c r="K813" t="s">
        <v>86</v>
      </c>
      <c r="L813" t="s">
        <v>87</v>
      </c>
      <c r="M813" t="s">
        <v>88</v>
      </c>
      <c r="N813" t="s">
        <v>89</v>
      </c>
      <c r="O813" t="s">
        <v>89</v>
      </c>
      <c r="P813" t="s">
        <v>178</v>
      </c>
      <c r="Q813" t="s">
        <v>114</v>
      </c>
      <c r="R813">
        <v>6</v>
      </c>
      <c r="S813">
        <v>5</v>
      </c>
      <c r="T813">
        <v>2004</v>
      </c>
      <c r="U813">
        <v>2004</v>
      </c>
      <c r="V813" t="s">
        <v>92</v>
      </c>
      <c r="W813" t="s">
        <v>93</v>
      </c>
      <c r="X813" t="s">
        <v>94</v>
      </c>
      <c r="Y813" t="s">
        <v>94</v>
      </c>
      <c r="Z813" t="s">
        <v>95</v>
      </c>
      <c r="AA813">
        <v>169</v>
      </c>
      <c r="AB813" t="s">
        <v>96</v>
      </c>
      <c r="AC813" t="s">
        <v>97</v>
      </c>
      <c r="AD813" t="s">
        <v>98</v>
      </c>
      <c r="AE813" t="s">
        <v>96</v>
      </c>
      <c r="AF813" t="s">
        <v>97</v>
      </c>
      <c r="AG813" t="s">
        <v>96</v>
      </c>
      <c r="AH813" t="s">
        <v>100</v>
      </c>
      <c r="AI813">
        <v>662</v>
      </c>
      <c r="AJ813" t="s">
        <v>101</v>
      </c>
      <c r="AK813">
        <v>0</v>
      </c>
      <c r="AL813">
        <v>186</v>
      </c>
      <c r="AM813">
        <v>848</v>
      </c>
      <c r="AN813" t="s">
        <v>102</v>
      </c>
      <c r="AO813" t="s">
        <v>103</v>
      </c>
      <c r="AP813" t="s">
        <v>104</v>
      </c>
      <c r="AQ813" t="s">
        <v>105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96</v>
      </c>
      <c r="BC813">
        <v>4</v>
      </c>
      <c r="BD813" t="s">
        <v>106</v>
      </c>
      <c r="BE813">
        <v>1</v>
      </c>
      <c r="BF813" t="s">
        <v>96</v>
      </c>
      <c r="BG813" t="s">
        <v>107</v>
      </c>
      <c r="BH813">
        <v>2004</v>
      </c>
      <c r="BI813" t="s">
        <v>156</v>
      </c>
      <c r="BJ813">
        <v>2</v>
      </c>
      <c r="BK813">
        <v>420</v>
      </c>
      <c r="BL813" t="s">
        <v>97</v>
      </c>
      <c r="BM813" t="s">
        <v>97</v>
      </c>
      <c r="BN813" t="s">
        <v>104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X813">
        <v>0</v>
      </c>
      <c r="BY813">
        <v>6</v>
      </c>
      <c r="BZ813">
        <v>2008</v>
      </c>
      <c r="CA813" t="s">
        <v>207</v>
      </c>
      <c r="CB813" t="s">
        <v>110</v>
      </c>
      <c r="CC813">
        <v>144500</v>
      </c>
    </row>
    <row r="814" spans="1:81" x14ac:dyDescent="0.3">
      <c r="A814">
        <v>813</v>
      </c>
      <c r="B814">
        <v>20</v>
      </c>
      <c r="C814" t="s">
        <v>182</v>
      </c>
      <c r="D814">
        <v>66</v>
      </c>
      <c r="E814">
        <v>8712</v>
      </c>
      <c r="F814" t="s">
        <v>173</v>
      </c>
      <c r="H814" t="s">
        <v>83</v>
      </c>
      <c r="I814" t="s">
        <v>174</v>
      </c>
      <c r="J814" t="s">
        <v>85</v>
      </c>
      <c r="K814" t="s">
        <v>86</v>
      </c>
      <c r="L814" t="s">
        <v>193</v>
      </c>
      <c r="M814" t="s">
        <v>175</v>
      </c>
      <c r="N814" t="s">
        <v>89</v>
      </c>
      <c r="O814" t="s">
        <v>89</v>
      </c>
      <c r="P814" t="s">
        <v>90</v>
      </c>
      <c r="Q814" t="s">
        <v>114</v>
      </c>
      <c r="R814">
        <v>5</v>
      </c>
      <c r="S814">
        <v>5</v>
      </c>
      <c r="T814">
        <v>1952</v>
      </c>
      <c r="U814">
        <v>1952</v>
      </c>
      <c r="V814" t="s">
        <v>151</v>
      </c>
      <c r="W814" t="s">
        <v>93</v>
      </c>
      <c r="X814" t="s">
        <v>123</v>
      </c>
      <c r="Y814" t="s">
        <v>123</v>
      </c>
      <c r="Z814" t="s">
        <v>116</v>
      </c>
      <c r="AA814">
        <v>0</v>
      </c>
      <c r="AB814" t="s">
        <v>146</v>
      </c>
      <c r="AC814" t="s">
        <v>97</v>
      </c>
      <c r="AD814" t="s">
        <v>117</v>
      </c>
      <c r="AE814" t="s">
        <v>97</v>
      </c>
      <c r="AF814" t="s">
        <v>97</v>
      </c>
      <c r="AG814" t="s">
        <v>129</v>
      </c>
      <c r="AH814" t="s">
        <v>101</v>
      </c>
      <c r="AI814">
        <v>0</v>
      </c>
      <c r="AJ814" t="s">
        <v>101</v>
      </c>
      <c r="AK814">
        <v>0</v>
      </c>
      <c r="AL814">
        <v>540</v>
      </c>
      <c r="AM814">
        <v>540</v>
      </c>
      <c r="AN814" t="s">
        <v>102</v>
      </c>
      <c r="AO814" t="s">
        <v>97</v>
      </c>
      <c r="AP814" t="s">
        <v>176</v>
      </c>
      <c r="AQ814" t="s">
        <v>163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146</v>
      </c>
      <c r="BC814">
        <v>4</v>
      </c>
      <c r="BD814" t="s">
        <v>106</v>
      </c>
      <c r="BE814">
        <v>0</v>
      </c>
      <c r="BG814" t="s">
        <v>208</v>
      </c>
      <c r="BH814">
        <v>1952</v>
      </c>
      <c r="BI814" t="s">
        <v>101</v>
      </c>
      <c r="BJ814">
        <v>2</v>
      </c>
      <c r="BK814">
        <v>504</v>
      </c>
      <c r="BL814" t="s">
        <v>97</v>
      </c>
      <c r="BM814" t="s">
        <v>97</v>
      </c>
      <c r="BN814" t="s">
        <v>176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s">
        <v>134</v>
      </c>
      <c r="BX814">
        <v>54</v>
      </c>
      <c r="BY814">
        <v>6</v>
      </c>
      <c r="BZ814">
        <v>2010</v>
      </c>
      <c r="CA814" t="s">
        <v>109</v>
      </c>
      <c r="CB814" t="s">
        <v>209</v>
      </c>
      <c r="CC814">
        <v>55993</v>
      </c>
    </row>
    <row r="815" spans="1:81" x14ac:dyDescent="0.3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H815" t="s">
        <v>83</v>
      </c>
      <c r="I815" t="s">
        <v>84</v>
      </c>
      <c r="J815" t="s">
        <v>85</v>
      </c>
      <c r="K815" t="s">
        <v>86</v>
      </c>
      <c r="L815" t="s">
        <v>87</v>
      </c>
      <c r="M815" t="s">
        <v>270</v>
      </c>
      <c r="N815" t="s">
        <v>89</v>
      </c>
      <c r="O815" t="s">
        <v>89</v>
      </c>
      <c r="P815" t="s">
        <v>90</v>
      </c>
      <c r="Q815" t="s">
        <v>114</v>
      </c>
      <c r="R815">
        <v>6</v>
      </c>
      <c r="S815">
        <v>6</v>
      </c>
      <c r="T815">
        <v>1958</v>
      </c>
      <c r="U815">
        <v>1958</v>
      </c>
      <c r="V815" t="s">
        <v>92</v>
      </c>
      <c r="W815" t="s">
        <v>93</v>
      </c>
      <c r="X815" t="s">
        <v>115</v>
      </c>
      <c r="Y815" t="s">
        <v>115</v>
      </c>
      <c r="Z815" t="s">
        <v>95</v>
      </c>
      <c r="AA815">
        <v>243</v>
      </c>
      <c r="AB815" t="s">
        <v>97</v>
      </c>
      <c r="AC815" t="s">
        <v>97</v>
      </c>
      <c r="AD815" t="s">
        <v>117</v>
      </c>
      <c r="AE815" t="s">
        <v>97</v>
      </c>
      <c r="AF815" t="s">
        <v>97</v>
      </c>
      <c r="AG815" t="s">
        <v>99</v>
      </c>
      <c r="AH815" t="s">
        <v>152</v>
      </c>
      <c r="AI815">
        <v>608</v>
      </c>
      <c r="AJ815" t="s">
        <v>101</v>
      </c>
      <c r="AK815">
        <v>0</v>
      </c>
      <c r="AL815">
        <v>834</v>
      </c>
      <c r="AM815">
        <v>1442</v>
      </c>
      <c r="AN815" t="s">
        <v>102</v>
      </c>
      <c r="AO815" t="s">
        <v>96</v>
      </c>
      <c r="AP815" t="s">
        <v>104</v>
      </c>
      <c r="AQ815" t="s">
        <v>105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97</v>
      </c>
      <c r="BC815">
        <v>7</v>
      </c>
      <c r="BD815" t="s">
        <v>106</v>
      </c>
      <c r="BE815">
        <v>0</v>
      </c>
      <c r="BG815" t="s">
        <v>107</v>
      </c>
      <c r="BH815">
        <v>1958</v>
      </c>
      <c r="BI815" t="s">
        <v>108</v>
      </c>
      <c r="BJ815">
        <v>1</v>
      </c>
      <c r="BK815">
        <v>301</v>
      </c>
      <c r="BL815" t="s">
        <v>97</v>
      </c>
      <c r="BM815" t="s">
        <v>97</v>
      </c>
      <c r="BN815" t="s">
        <v>104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W815" t="s">
        <v>134</v>
      </c>
      <c r="BX815">
        <v>500</v>
      </c>
      <c r="BY815">
        <v>4</v>
      </c>
      <c r="BZ815">
        <v>2007</v>
      </c>
      <c r="CA815" t="s">
        <v>172</v>
      </c>
      <c r="CB815" t="s">
        <v>110</v>
      </c>
      <c r="CC815">
        <v>157900</v>
      </c>
    </row>
    <row r="816" spans="1:81" x14ac:dyDescent="0.3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173</v>
      </c>
      <c r="H816" t="s">
        <v>83</v>
      </c>
      <c r="I816" t="s">
        <v>84</v>
      </c>
      <c r="J816" t="s">
        <v>85</v>
      </c>
      <c r="K816" t="s">
        <v>86</v>
      </c>
      <c r="L816" t="s">
        <v>87</v>
      </c>
      <c r="M816" t="s">
        <v>184</v>
      </c>
      <c r="N816" t="s">
        <v>89</v>
      </c>
      <c r="O816" t="s">
        <v>89</v>
      </c>
      <c r="P816" t="s">
        <v>90</v>
      </c>
      <c r="Q816" t="s">
        <v>131</v>
      </c>
      <c r="R816">
        <v>5</v>
      </c>
      <c r="S816">
        <v>7</v>
      </c>
      <c r="T816">
        <v>1918</v>
      </c>
      <c r="U816">
        <v>1950</v>
      </c>
      <c r="V816" t="s">
        <v>92</v>
      </c>
      <c r="W816" t="s">
        <v>93</v>
      </c>
      <c r="X816" t="s">
        <v>202</v>
      </c>
      <c r="Y816" t="s">
        <v>202</v>
      </c>
      <c r="Z816" t="s">
        <v>116</v>
      </c>
      <c r="AA816">
        <v>0</v>
      </c>
      <c r="AB816" t="s">
        <v>97</v>
      </c>
      <c r="AC816" t="s">
        <v>97</v>
      </c>
      <c r="AD816" t="s">
        <v>125</v>
      </c>
      <c r="AE816" t="s">
        <v>97</v>
      </c>
      <c r="AF816" t="s">
        <v>97</v>
      </c>
      <c r="AG816" t="s">
        <v>99</v>
      </c>
      <c r="AH816" t="s">
        <v>101</v>
      </c>
      <c r="AI816">
        <v>0</v>
      </c>
      <c r="AJ816" t="s">
        <v>101</v>
      </c>
      <c r="AK816">
        <v>0</v>
      </c>
      <c r="AL816">
        <v>686</v>
      </c>
      <c r="AM816">
        <v>686</v>
      </c>
      <c r="AN816" t="s">
        <v>205</v>
      </c>
      <c r="AO816" t="s">
        <v>96</v>
      </c>
      <c r="AP816" t="s">
        <v>104</v>
      </c>
      <c r="AQ816" t="s">
        <v>105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146</v>
      </c>
      <c r="BC816">
        <v>7</v>
      </c>
      <c r="BD816" t="s">
        <v>106</v>
      </c>
      <c r="BE816">
        <v>0</v>
      </c>
      <c r="BG816" t="s">
        <v>126</v>
      </c>
      <c r="BH816">
        <v>1955</v>
      </c>
      <c r="BI816" t="s">
        <v>101</v>
      </c>
      <c r="BJ816">
        <v>1</v>
      </c>
      <c r="BK816">
        <v>280</v>
      </c>
      <c r="BL816" t="s">
        <v>97</v>
      </c>
      <c r="BM816" t="s">
        <v>97</v>
      </c>
      <c r="BN816" t="s">
        <v>189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X816">
        <v>0</v>
      </c>
      <c r="BY816">
        <v>7</v>
      </c>
      <c r="BZ816">
        <v>2006</v>
      </c>
      <c r="CA816" t="s">
        <v>109</v>
      </c>
      <c r="CB816" t="s">
        <v>110</v>
      </c>
      <c r="CC816">
        <v>116000</v>
      </c>
    </row>
    <row r="817" spans="1:81" x14ac:dyDescent="0.3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H817" t="s">
        <v>159</v>
      </c>
      <c r="I817" t="s">
        <v>84</v>
      </c>
      <c r="J817" t="s">
        <v>85</v>
      </c>
      <c r="K817" t="s">
        <v>165</v>
      </c>
      <c r="L817" t="s">
        <v>87</v>
      </c>
      <c r="M817" t="s">
        <v>88</v>
      </c>
      <c r="N817" t="s">
        <v>89</v>
      </c>
      <c r="O817" t="s">
        <v>89</v>
      </c>
      <c r="P817" t="s">
        <v>90</v>
      </c>
      <c r="Q817" t="s">
        <v>114</v>
      </c>
      <c r="R817">
        <v>7</v>
      </c>
      <c r="S817">
        <v>5</v>
      </c>
      <c r="T817">
        <v>1998</v>
      </c>
      <c r="U817">
        <v>1998</v>
      </c>
      <c r="V817" t="s">
        <v>92</v>
      </c>
      <c r="W817" t="s">
        <v>93</v>
      </c>
      <c r="X817" t="s">
        <v>94</v>
      </c>
      <c r="Y817" t="s">
        <v>94</v>
      </c>
      <c r="Z817" t="s">
        <v>95</v>
      </c>
      <c r="AA817">
        <v>442</v>
      </c>
      <c r="AB817" t="s">
        <v>97</v>
      </c>
      <c r="AC817" t="s">
        <v>97</v>
      </c>
      <c r="AD817" t="s">
        <v>98</v>
      </c>
      <c r="AE817" t="s">
        <v>96</v>
      </c>
      <c r="AF817" t="s">
        <v>97</v>
      </c>
      <c r="AG817" t="s">
        <v>99</v>
      </c>
      <c r="AH817" t="s">
        <v>101</v>
      </c>
      <c r="AI817">
        <v>0</v>
      </c>
      <c r="AJ817" t="s">
        <v>101</v>
      </c>
      <c r="AK817">
        <v>0</v>
      </c>
      <c r="AL817">
        <v>1649</v>
      </c>
      <c r="AM817">
        <v>1649</v>
      </c>
      <c r="AN817" t="s">
        <v>102</v>
      </c>
      <c r="AO817" t="s">
        <v>103</v>
      </c>
      <c r="AP817" t="s">
        <v>104</v>
      </c>
      <c r="AQ817" t="s">
        <v>105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96</v>
      </c>
      <c r="BC817">
        <v>6</v>
      </c>
      <c r="BD817" t="s">
        <v>106</v>
      </c>
      <c r="BE817">
        <v>0</v>
      </c>
      <c r="BG817" t="s">
        <v>107</v>
      </c>
      <c r="BH817">
        <v>1998</v>
      </c>
      <c r="BI817" t="s">
        <v>108</v>
      </c>
      <c r="BJ817">
        <v>2</v>
      </c>
      <c r="BK817">
        <v>598</v>
      </c>
      <c r="BL817" t="s">
        <v>97</v>
      </c>
      <c r="BM817" t="s">
        <v>97</v>
      </c>
      <c r="BN817" t="s">
        <v>104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X817">
        <v>0</v>
      </c>
      <c r="BY817">
        <v>5</v>
      </c>
      <c r="BZ817">
        <v>2010</v>
      </c>
      <c r="CA817" t="s">
        <v>109</v>
      </c>
      <c r="CB817" t="s">
        <v>110</v>
      </c>
      <c r="CC817">
        <v>224900</v>
      </c>
    </row>
    <row r="818" spans="1:81" x14ac:dyDescent="0.3">
      <c r="A818">
        <v>817</v>
      </c>
      <c r="B818">
        <v>20</v>
      </c>
      <c r="C818" t="s">
        <v>81</v>
      </c>
      <c r="E818">
        <v>11425</v>
      </c>
      <c r="F818" t="s">
        <v>82</v>
      </c>
      <c r="H818" t="s">
        <v>119</v>
      </c>
      <c r="I818" t="s">
        <v>84</v>
      </c>
      <c r="J818" t="s">
        <v>85</v>
      </c>
      <c r="K818" t="s">
        <v>121</v>
      </c>
      <c r="L818" t="s">
        <v>87</v>
      </c>
      <c r="M818" t="s">
        <v>270</v>
      </c>
      <c r="N818" t="s">
        <v>89</v>
      </c>
      <c r="O818" t="s">
        <v>89</v>
      </c>
      <c r="P818" t="s">
        <v>90</v>
      </c>
      <c r="Q818" t="s">
        <v>114</v>
      </c>
      <c r="R818">
        <v>5</v>
      </c>
      <c r="S818">
        <v>6</v>
      </c>
      <c r="T818">
        <v>1954</v>
      </c>
      <c r="U818">
        <v>1954</v>
      </c>
      <c r="V818" t="s">
        <v>92</v>
      </c>
      <c r="W818" t="s">
        <v>93</v>
      </c>
      <c r="X818" t="s">
        <v>95</v>
      </c>
      <c r="Y818" t="s">
        <v>95</v>
      </c>
      <c r="Z818" t="s">
        <v>116</v>
      </c>
      <c r="AA818">
        <v>0</v>
      </c>
      <c r="AB818" t="s">
        <v>97</v>
      </c>
      <c r="AC818" t="s">
        <v>97</v>
      </c>
      <c r="AD818" t="s">
        <v>117</v>
      </c>
      <c r="AE818" t="s">
        <v>97</v>
      </c>
      <c r="AF818" t="s">
        <v>97</v>
      </c>
      <c r="AG818" t="s">
        <v>99</v>
      </c>
      <c r="AH818" t="s">
        <v>140</v>
      </c>
      <c r="AI818">
        <v>486</v>
      </c>
      <c r="AJ818" t="s">
        <v>101</v>
      </c>
      <c r="AK818">
        <v>0</v>
      </c>
      <c r="AL818">
        <v>522</v>
      </c>
      <c r="AM818">
        <v>1008</v>
      </c>
      <c r="AN818" t="s">
        <v>102</v>
      </c>
      <c r="AO818" t="s">
        <v>96</v>
      </c>
      <c r="AP818" t="s">
        <v>104</v>
      </c>
      <c r="AQ818" t="s">
        <v>105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97</v>
      </c>
      <c r="BC818">
        <v>4</v>
      </c>
      <c r="BD818" t="s">
        <v>106</v>
      </c>
      <c r="BE818">
        <v>1</v>
      </c>
      <c r="BF818" t="s">
        <v>96</v>
      </c>
      <c r="BG818" t="s">
        <v>107</v>
      </c>
      <c r="BH818">
        <v>1954</v>
      </c>
      <c r="BI818" t="s">
        <v>108</v>
      </c>
      <c r="BJ818">
        <v>1</v>
      </c>
      <c r="BK818">
        <v>275</v>
      </c>
      <c r="BL818" t="s">
        <v>97</v>
      </c>
      <c r="BM818" t="s">
        <v>97</v>
      </c>
      <c r="BN818" t="s">
        <v>104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X818">
        <v>0</v>
      </c>
      <c r="BY818">
        <v>7</v>
      </c>
      <c r="BZ818">
        <v>2006</v>
      </c>
      <c r="CA818" t="s">
        <v>109</v>
      </c>
      <c r="CB818" t="s">
        <v>110</v>
      </c>
      <c r="CC818">
        <v>137000</v>
      </c>
    </row>
    <row r="819" spans="1:81" x14ac:dyDescent="0.3">
      <c r="A819">
        <v>818</v>
      </c>
      <c r="B819">
        <v>20</v>
      </c>
      <c r="C819" t="s">
        <v>81</v>
      </c>
      <c r="E819">
        <v>13265</v>
      </c>
      <c r="F819" t="s">
        <v>82</v>
      </c>
      <c r="H819" t="s">
        <v>119</v>
      </c>
      <c r="I819" t="s">
        <v>84</v>
      </c>
      <c r="J819" t="s">
        <v>85</v>
      </c>
      <c r="K819" t="s">
        <v>165</v>
      </c>
      <c r="L819" t="s">
        <v>87</v>
      </c>
      <c r="M819" t="s">
        <v>130</v>
      </c>
      <c r="N819" t="s">
        <v>89</v>
      </c>
      <c r="O819" t="s">
        <v>89</v>
      </c>
      <c r="P819" t="s">
        <v>90</v>
      </c>
      <c r="Q819" t="s">
        <v>114</v>
      </c>
      <c r="R819">
        <v>8</v>
      </c>
      <c r="S819">
        <v>5</v>
      </c>
      <c r="T819">
        <v>2002</v>
      </c>
      <c r="U819">
        <v>2002</v>
      </c>
      <c r="V819" t="s">
        <v>151</v>
      </c>
      <c r="W819" t="s">
        <v>93</v>
      </c>
      <c r="X819" t="s">
        <v>179</v>
      </c>
      <c r="Y819" t="s">
        <v>180</v>
      </c>
      <c r="Z819" t="s">
        <v>95</v>
      </c>
      <c r="AA819">
        <v>148</v>
      </c>
      <c r="AB819" t="s">
        <v>96</v>
      </c>
      <c r="AC819" t="s">
        <v>97</v>
      </c>
      <c r="AD819" t="s">
        <v>98</v>
      </c>
      <c r="AE819" t="s">
        <v>96</v>
      </c>
      <c r="AF819" t="s">
        <v>97</v>
      </c>
      <c r="AG819" t="s">
        <v>99</v>
      </c>
      <c r="AH819" t="s">
        <v>100</v>
      </c>
      <c r="AI819">
        <v>1218</v>
      </c>
      <c r="AJ819" t="s">
        <v>101</v>
      </c>
      <c r="AK819">
        <v>0</v>
      </c>
      <c r="AL819">
        <v>350</v>
      </c>
      <c r="AM819">
        <v>1568</v>
      </c>
      <c r="AN819" t="s">
        <v>102</v>
      </c>
      <c r="AO819" t="s">
        <v>103</v>
      </c>
      <c r="AP819" t="s">
        <v>104</v>
      </c>
      <c r="AQ819" t="s">
        <v>105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96</v>
      </c>
      <c r="BC819">
        <v>7</v>
      </c>
      <c r="BD819" t="s">
        <v>106</v>
      </c>
      <c r="BE819">
        <v>2</v>
      </c>
      <c r="BF819" t="s">
        <v>96</v>
      </c>
      <c r="BG819" t="s">
        <v>107</v>
      </c>
      <c r="BH819">
        <v>2002</v>
      </c>
      <c r="BI819" t="s">
        <v>108</v>
      </c>
      <c r="BJ819">
        <v>3</v>
      </c>
      <c r="BK819">
        <v>857</v>
      </c>
      <c r="BL819" t="s">
        <v>97</v>
      </c>
      <c r="BM819" t="s">
        <v>97</v>
      </c>
      <c r="BN819" t="s">
        <v>104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X819">
        <v>0</v>
      </c>
      <c r="BY819">
        <v>7</v>
      </c>
      <c r="BZ819">
        <v>2008</v>
      </c>
      <c r="CA819" t="s">
        <v>109</v>
      </c>
      <c r="CB819" t="s">
        <v>110</v>
      </c>
      <c r="CC819">
        <v>271000</v>
      </c>
    </row>
    <row r="820" spans="1:81" x14ac:dyDescent="0.3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H820" t="s">
        <v>83</v>
      </c>
      <c r="I820" t="s">
        <v>84</v>
      </c>
      <c r="J820" t="s">
        <v>85</v>
      </c>
      <c r="K820" t="s">
        <v>86</v>
      </c>
      <c r="L820" t="s">
        <v>87</v>
      </c>
      <c r="M820" t="s">
        <v>204</v>
      </c>
      <c r="N820" t="s">
        <v>89</v>
      </c>
      <c r="O820" t="s">
        <v>89</v>
      </c>
      <c r="P820" t="s">
        <v>90</v>
      </c>
      <c r="Q820" t="s">
        <v>196</v>
      </c>
      <c r="R820">
        <v>6</v>
      </c>
      <c r="S820">
        <v>7</v>
      </c>
      <c r="T820">
        <v>1971</v>
      </c>
      <c r="U820">
        <v>1971</v>
      </c>
      <c r="V820" t="s">
        <v>92</v>
      </c>
      <c r="W820" t="s">
        <v>93</v>
      </c>
      <c r="X820" t="s">
        <v>139</v>
      </c>
      <c r="Y820" t="s">
        <v>139</v>
      </c>
      <c r="Z820" t="s">
        <v>95</v>
      </c>
      <c r="AA820">
        <v>80</v>
      </c>
      <c r="AB820" t="s">
        <v>97</v>
      </c>
      <c r="AC820" t="s">
        <v>97</v>
      </c>
      <c r="AD820" t="s">
        <v>117</v>
      </c>
      <c r="AE820" t="s">
        <v>97</v>
      </c>
      <c r="AF820" t="s">
        <v>97</v>
      </c>
      <c r="AG820" t="s">
        <v>129</v>
      </c>
      <c r="AH820" t="s">
        <v>100</v>
      </c>
      <c r="AI820">
        <v>504</v>
      </c>
      <c r="AJ820" t="s">
        <v>101</v>
      </c>
      <c r="AK820">
        <v>0</v>
      </c>
      <c r="AL820">
        <v>506</v>
      </c>
      <c r="AM820">
        <v>1010</v>
      </c>
      <c r="AN820" t="s">
        <v>102</v>
      </c>
      <c r="AO820" t="s">
        <v>96</v>
      </c>
      <c r="AP820" t="s">
        <v>104</v>
      </c>
      <c r="AQ820" t="s">
        <v>105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97</v>
      </c>
      <c r="BC820">
        <v>6</v>
      </c>
      <c r="BD820" t="s">
        <v>106</v>
      </c>
      <c r="BE820">
        <v>0</v>
      </c>
      <c r="BG820" t="s">
        <v>107</v>
      </c>
      <c r="BH820">
        <v>1971</v>
      </c>
      <c r="BI820" t="s">
        <v>101</v>
      </c>
      <c r="BJ820">
        <v>2</v>
      </c>
      <c r="BK820">
        <v>440</v>
      </c>
      <c r="BL820" t="s">
        <v>97</v>
      </c>
      <c r="BM820" t="s">
        <v>97</v>
      </c>
      <c r="BN820" t="s">
        <v>104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V820" t="s">
        <v>133</v>
      </c>
      <c r="BX820">
        <v>0</v>
      </c>
      <c r="BY820">
        <v>6</v>
      </c>
      <c r="BZ820">
        <v>2010</v>
      </c>
      <c r="CA820" t="s">
        <v>109</v>
      </c>
      <c r="CB820" t="s">
        <v>110</v>
      </c>
      <c r="CC820">
        <v>155000</v>
      </c>
    </row>
    <row r="821" spans="1:81" x14ac:dyDescent="0.3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H821" t="s">
        <v>119</v>
      </c>
      <c r="I821" t="s">
        <v>84</v>
      </c>
      <c r="J821" t="s">
        <v>85</v>
      </c>
      <c r="K821" t="s">
        <v>86</v>
      </c>
      <c r="L821" t="s">
        <v>87</v>
      </c>
      <c r="M821" t="s">
        <v>153</v>
      </c>
      <c r="N821" t="s">
        <v>89</v>
      </c>
      <c r="O821" t="s">
        <v>89</v>
      </c>
      <c r="P821" t="s">
        <v>178</v>
      </c>
      <c r="Q821" t="s">
        <v>114</v>
      </c>
      <c r="R821">
        <v>7</v>
      </c>
      <c r="S821">
        <v>5</v>
      </c>
      <c r="T821">
        <v>2009</v>
      </c>
      <c r="U821">
        <v>2010</v>
      </c>
      <c r="V821" t="s">
        <v>92</v>
      </c>
      <c r="W821" t="s">
        <v>93</v>
      </c>
      <c r="X821" t="s">
        <v>94</v>
      </c>
      <c r="Y821" t="s">
        <v>94</v>
      </c>
      <c r="Z821" t="s">
        <v>136</v>
      </c>
      <c r="AA821">
        <v>128</v>
      </c>
      <c r="AB821" t="s">
        <v>96</v>
      </c>
      <c r="AC821" t="s">
        <v>97</v>
      </c>
      <c r="AD821" t="s">
        <v>98</v>
      </c>
      <c r="AE821" t="s">
        <v>96</v>
      </c>
      <c r="AF821" t="s">
        <v>97</v>
      </c>
      <c r="AG821" t="s">
        <v>120</v>
      </c>
      <c r="AH821" t="s">
        <v>100</v>
      </c>
      <c r="AI821">
        <v>733</v>
      </c>
      <c r="AJ821" t="s">
        <v>101</v>
      </c>
      <c r="AK821">
        <v>0</v>
      </c>
      <c r="AL821">
        <v>625</v>
      </c>
      <c r="AM821">
        <v>1358</v>
      </c>
      <c r="AN821" t="s">
        <v>102</v>
      </c>
      <c r="AO821" t="s">
        <v>103</v>
      </c>
      <c r="AP821" t="s">
        <v>104</v>
      </c>
      <c r="AQ821" t="s">
        <v>105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96</v>
      </c>
      <c r="BC821">
        <v>6</v>
      </c>
      <c r="BD821" t="s">
        <v>106</v>
      </c>
      <c r="BE821">
        <v>1</v>
      </c>
      <c r="BF821" t="s">
        <v>96</v>
      </c>
      <c r="BG821" t="s">
        <v>107</v>
      </c>
      <c r="BH821">
        <v>2010</v>
      </c>
      <c r="BI821" t="s">
        <v>108</v>
      </c>
      <c r="BJ821">
        <v>2</v>
      </c>
      <c r="BK821">
        <v>484</v>
      </c>
      <c r="BL821" t="s">
        <v>97</v>
      </c>
      <c r="BM821" t="s">
        <v>97</v>
      </c>
      <c r="BN821" t="s">
        <v>104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X821">
        <v>0</v>
      </c>
      <c r="BY821">
        <v>6</v>
      </c>
      <c r="BZ821">
        <v>2010</v>
      </c>
      <c r="CA821" t="s">
        <v>157</v>
      </c>
      <c r="CB821" t="s">
        <v>158</v>
      </c>
      <c r="CC821">
        <v>224000</v>
      </c>
    </row>
    <row r="822" spans="1:81" x14ac:dyDescent="0.3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H822" t="s">
        <v>119</v>
      </c>
      <c r="I822" t="s">
        <v>84</v>
      </c>
      <c r="J822" t="s">
        <v>85</v>
      </c>
      <c r="K822" t="s">
        <v>165</v>
      </c>
      <c r="L822" t="s">
        <v>87</v>
      </c>
      <c r="M822" t="s">
        <v>88</v>
      </c>
      <c r="N822" t="s">
        <v>89</v>
      </c>
      <c r="O822" t="s">
        <v>89</v>
      </c>
      <c r="P822" t="s">
        <v>90</v>
      </c>
      <c r="Q822" t="s">
        <v>91</v>
      </c>
      <c r="R822">
        <v>7</v>
      </c>
      <c r="S822">
        <v>5</v>
      </c>
      <c r="T822">
        <v>2003</v>
      </c>
      <c r="U822">
        <v>2003</v>
      </c>
      <c r="V822" t="s">
        <v>92</v>
      </c>
      <c r="W822" t="s">
        <v>93</v>
      </c>
      <c r="X822" t="s">
        <v>94</v>
      </c>
      <c r="Y822" t="s">
        <v>94</v>
      </c>
      <c r="Z822" t="s">
        <v>116</v>
      </c>
      <c r="AA822">
        <v>0</v>
      </c>
      <c r="AB822" t="s">
        <v>96</v>
      </c>
      <c r="AC822" t="s">
        <v>97</v>
      </c>
      <c r="AD822" t="s">
        <v>98</v>
      </c>
      <c r="AE822" t="s">
        <v>96</v>
      </c>
      <c r="AF822" t="s">
        <v>97</v>
      </c>
      <c r="AG822" t="s">
        <v>99</v>
      </c>
      <c r="AH822" t="s">
        <v>101</v>
      </c>
      <c r="AI822">
        <v>0</v>
      </c>
      <c r="AJ822" t="s">
        <v>101</v>
      </c>
      <c r="AK822">
        <v>0</v>
      </c>
      <c r="AL822">
        <v>798</v>
      </c>
      <c r="AM822">
        <v>798</v>
      </c>
      <c r="AN822" t="s">
        <v>102</v>
      </c>
      <c r="AO822" t="s">
        <v>103</v>
      </c>
      <c r="AP822" t="s">
        <v>104</v>
      </c>
      <c r="AQ822" t="s">
        <v>105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96</v>
      </c>
      <c r="BC822">
        <v>6</v>
      </c>
      <c r="BD822" t="s">
        <v>106</v>
      </c>
      <c r="BE822">
        <v>0</v>
      </c>
      <c r="BG822" t="s">
        <v>107</v>
      </c>
      <c r="BH822">
        <v>2003</v>
      </c>
      <c r="BI822" t="s">
        <v>108</v>
      </c>
      <c r="BJ822">
        <v>2</v>
      </c>
      <c r="BK822">
        <v>595</v>
      </c>
      <c r="BL822" t="s">
        <v>97</v>
      </c>
      <c r="BM822" t="s">
        <v>97</v>
      </c>
      <c r="BN822" t="s">
        <v>104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X822">
        <v>0</v>
      </c>
      <c r="BY822">
        <v>6</v>
      </c>
      <c r="BZ822">
        <v>2008</v>
      </c>
      <c r="CA822" t="s">
        <v>109</v>
      </c>
      <c r="CB822" t="s">
        <v>110</v>
      </c>
      <c r="CC822">
        <v>183000</v>
      </c>
    </row>
    <row r="823" spans="1:81" x14ac:dyDescent="0.3">
      <c r="A823">
        <v>822</v>
      </c>
      <c r="B823">
        <v>20</v>
      </c>
      <c r="C823" t="s">
        <v>141</v>
      </c>
      <c r="D823">
        <v>60</v>
      </c>
      <c r="E823">
        <v>6000</v>
      </c>
      <c r="F823" t="s">
        <v>82</v>
      </c>
      <c r="G823" t="s">
        <v>82</v>
      </c>
      <c r="H823" t="s">
        <v>83</v>
      </c>
      <c r="I823" t="s">
        <v>174</v>
      </c>
      <c r="J823" t="s">
        <v>85</v>
      </c>
      <c r="K823" t="s">
        <v>86</v>
      </c>
      <c r="L823" t="s">
        <v>193</v>
      </c>
      <c r="M823" t="s">
        <v>142</v>
      </c>
      <c r="N823" t="s">
        <v>89</v>
      </c>
      <c r="O823" t="s">
        <v>89</v>
      </c>
      <c r="P823" t="s">
        <v>148</v>
      </c>
      <c r="Q823" t="s">
        <v>114</v>
      </c>
      <c r="R823">
        <v>4</v>
      </c>
      <c r="S823">
        <v>4</v>
      </c>
      <c r="T823">
        <v>1953</v>
      </c>
      <c r="U823">
        <v>1953</v>
      </c>
      <c r="V823" t="s">
        <v>92</v>
      </c>
      <c r="W823" t="s">
        <v>93</v>
      </c>
      <c r="X823" t="s">
        <v>115</v>
      </c>
      <c r="Y823" t="s">
        <v>115</v>
      </c>
      <c r="Z823" t="s">
        <v>116</v>
      </c>
      <c r="AA823">
        <v>0</v>
      </c>
      <c r="AB823" t="s">
        <v>146</v>
      </c>
      <c r="AC823" t="s">
        <v>97</v>
      </c>
      <c r="AD823" t="s">
        <v>117</v>
      </c>
      <c r="AE823" t="s">
        <v>146</v>
      </c>
      <c r="AF823" t="s">
        <v>97</v>
      </c>
      <c r="AG823" t="s">
        <v>99</v>
      </c>
      <c r="AH823" t="s">
        <v>101</v>
      </c>
      <c r="AI823">
        <v>0</v>
      </c>
      <c r="AJ823" t="s">
        <v>101</v>
      </c>
      <c r="AK823">
        <v>0</v>
      </c>
      <c r="AL823">
        <v>936</v>
      </c>
      <c r="AM823">
        <v>936</v>
      </c>
      <c r="AN823" t="s">
        <v>102</v>
      </c>
      <c r="AO823" t="s">
        <v>97</v>
      </c>
      <c r="AP823" t="s">
        <v>176</v>
      </c>
      <c r="AQ823" t="s">
        <v>105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97</v>
      </c>
      <c r="BC823">
        <v>4</v>
      </c>
      <c r="BD823" t="s">
        <v>223</v>
      </c>
      <c r="BE823">
        <v>0</v>
      </c>
      <c r="BG823" t="s">
        <v>126</v>
      </c>
      <c r="BH823">
        <v>1974</v>
      </c>
      <c r="BI823" t="s">
        <v>101</v>
      </c>
      <c r="BJ823">
        <v>2</v>
      </c>
      <c r="BK823">
        <v>576</v>
      </c>
      <c r="BL823" t="s">
        <v>97</v>
      </c>
      <c r="BM823" t="s">
        <v>97</v>
      </c>
      <c r="BN823" t="s">
        <v>104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X823">
        <v>0</v>
      </c>
      <c r="BY823">
        <v>2</v>
      </c>
      <c r="BZ823">
        <v>2009</v>
      </c>
      <c r="CA823" t="s">
        <v>109</v>
      </c>
      <c r="CB823" t="s">
        <v>110</v>
      </c>
      <c r="CC823">
        <v>93000</v>
      </c>
    </row>
    <row r="824" spans="1:81" x14ac:dyDescent="0.3">
      <c r="A824">
        <v>823</v>
      </c>
      <c r="B824">
        <v>60</v>
      </c>
      <c r="C824" t="s">
        <v>81</v>
      </c>
      <c r="E824">
        <v>12394</v>
      </c>
      <c r="F824" t="s">
        <v>82</v>
      </c>
      <c r="H824" t="s">
        <v>119</v>
      </c>
      <c r="I824" t="s">
        <v>84</v>
      </c>
      <c r="J824" t="s">
        <v>85</v>
      </c>
      <c r="K824" t="s">
        <v>121</v>
      </c>
      <c r="L824" t="s">
        <v>87</v>
      </c>
      <c r="M824" t="s">
        <v>192</v>
      </c>
      <c r="N824" t="s">
        <v>89</v>
      </c>
      <c r="O824" t="s">
        <v>89</v>
      </c>
      <c r="P824" t="s">
        <v>90</v>
      </c>
      <c r="Q824" t="s">
        <v>91</v>
      </c>
      <c r="R824">
        <v>7</v>
      </c>
      <c r="S824">
        <v>5</v>
      </c>
      <c r="T824">
        <v>2003</v>
      </c>
      <c r="U824">
        <v>2003</v>
      </c>
      <c r="V824" t="s">
        <v>92</v>
      </c>
      <c r="W824" t="s">
        <v>93</v>
      </c>
      <c r="X824" t="s">
        <v>94</v>
      </c>
      <c r="Y824" t="s">
        <v>94</v>
      </c>
      <c r="Z824" t="s">
        <v>116</v>
      </c>
      <c r="AA824">
        <v>0</v>
      </c>
      <c r="AB824" t="s">
        <v>96</v>
      </c>
      <c r="AC824" t="s">
        <v>97</v>
      </c>
      <c r="AD824" t="s">
        <v>98</v>
      </c>
      <c r="AE824" t="s">
        <v>96</v>
      </c>
      <c r="AF824" t="s">
        <v>97</v>
      </c>
      <c r="AG824" t="s">
        <v>96</v>
      </c>
      <c r="AH824" t="s">
        <v>101</v>
      </c>
      <c r="AI824">
        <v>0</v>
      </c>
      <c r="AJ824" t="s">
        <v>101</v>
      </c>
      <c r="AK824">
        <v>0</v>
      </c>
      <c r="AL824">
        <v>847</v>
      </c>
      <c r="AM824">
        <v>847</v>
      </c>
      <c r="AN824" t="s">
        <v>102</v>
      </c>
      <c r="AO824" t="s">
        <v>103</v>
      </c>
      <c r="AP824" t="s">
        <v>104</v>
      </c>
      <c r="AQ824" t="s">
        <v>105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96</v>
      </c>
      <c r="BC824">
        <v>7</v>
      </c>
      <c r="BD824" t="s">
        <v>106</v>
      </c>
      <c r="BE824">
        <v>1</v>
      </c>
      <c r="BF824" t="s">
        <v>96</v>
      </c>
      <c r="BG824" t="s">
        <v>155</v>
      </c>
      <c r="BH824">
        <v>2003</v>
      </c>
      <c r="BI824" t="s">
        <v>156</v>
      </c>
      <c r="BJ824">
        <v>2</v>
      </c>
      <c r="BK824">
        <v>433</v>
      </c>
      <c r="BL824" t="s">
        <v>97</v>
      </c>
      <c r="BM824" t="s">
        <v>97</v>
      </c>
      <c r="BN824" t="s">
        <v>104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X824">
        <v>0</v>
      </c>
      <c r="BY824">
        <v>10</v>
      </c>
      <c r="BZ824">
        <v>2007</v>
      </c>
      <c r="CA824" t="s">
        <v>109</v>
      </c>
      <c r="CB824" t="s">
        <v>218</v>
      </c>
      <c r="CC824">
        <v>225000</v>
      </c>
    </row>
    <row r="825" spans="1:81" x14ac:dyDescent="0.3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H825" t="s">
        <v>83</v>
      </c>
      <c r="I825" t="s">
        <v>84</v>
      </c>
      <c r="J825" t="s">
        <v>85</v>
      </c>
      <c r="K825" t="s">
        <v>86</v>
      </c>
      <c r="L825" t="s">
        <v>87</v>
      </c>
      <c r="M825" t="s">
        <v>231</v>
      </c>
      <c r="N825" t="s">
        <v>89</v>
      </c>
      <c r="O825" t="s">
        <v>89</v>
      </c>
      <c r="P825" t="s">
        <v>90</v>
      </c>
      <c r="Q825" t="s">
        <v>131</v>
      </c>
      <c r="R825">
        <v>6</v>
      </c>
      <c r="S825">
        <v>7</v>
      </c>
      <c r="T825">
        <v>1940</v>
      </c>
      <c r="U825">
        <v>1950</v>
      </c>
      <c r="V825" t="s">
        <v>92</v>
      </c>
      <c r="W825" t="s">
        <v>93</v>
      </c>
      <c r="X825" t="s">
        <v>94</v>
      </c>
      <c r="Y825" t="s">
        <v>94</v>
      </c>
      <c r="Z825" t="s">
        <v>116</v>
      </c>
      <c r="AA825">
        <v>0</v>
      </c>
      <c r="AB825" t="s">
        <v>97</v>
      </c>
      <c r="AC825" t="s">
        <v>97</v>
      </c>
      <c r="AD825" t="s">
        <v>125</v>
      </c>
      <c r="AE825" t="s">
        <v>97</v>
      </c>
      <c r="AF825" t="s">
        <v>97</v>
      </c>
      <c r="AG825" t="s">
        <v>99</v>
      </c>
      <c r="AH825" t="s">
        <v>101</v>
      </c>
      <c r="AI825">
        <v>0</v>
      </c>
      <c r="AJ825" t="s">
        <v>101</v>
      </c>
      <c r="AK825">
        <v>0</v>
      </c>
      <c r="AL825">
        <v>778</v>
      </c>
      <c r="AM825">
        <v>778</v>
      </c>
      <c r="AN825" t="s">
        <v>102</v>
      </c>
      <c r="AO825" t="s">
        <v>97</v>
      </c>
      <c r="AP825" t="s">
        <v>104</v>
      </c>
      <c r="AQ825" t="s">
        <v>105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97</v>
      </c>
      <c r="BC825">
        <v>7</v>
      </c>
      <c r="BD825" t="s">
        <v>106</v>
      </c>
      <c r="BE825">
        <v>1</v>
      </c>
      <c r="BF825" t="s">
        <v>96</v>
      </c>
      <c r="BG825" t="s">
        <v>126</v>
      </c>
      <c r="BH825">
        <v>1940</v>
      </c>
      <c r="BI825" t="s">
        <v>101</v>
      </c>
      <c r="BJ825">
        <v>1</v>
      </c>
      <c r="BK825">
        <v>240</v>
      </c>
      <c r="BL825" t="s">
        <v>97</v>
      </c>
      <c r="BM825" t="s">
        <v>97</v>
      </c>
      <c r="BN825" t="s">
        <v>104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V825" t="s">
        <v>162</v>
      </c>
      <c r="BX825">
        <v>0</v>
      </c>
      <c r="BY825">
        <v>7</v>
      </c>
      <c r="BZ825">
        <v>2009</v>
      </c>
      <c r="CA825" t="s">
        <v>109</v>
      </c>
      <c r="CB825" t="s">
        <v>110</v>
      </c>
      <c r="CC825">
        <v>139500</v>
      </c>
    </row>
    <row r="826" spans="1:81" x14ac:dyDescent="0.3">
      <c r="A826">
        <v>825</v>
      </c>
      <c r="B826">
        <v>20</v>
      </c>
      <c r="C826" t="s">
        <v>191</v>
      </c>
      <c r="D826">
        <v>81</v>
      </c>
      <c r="E826">
        <v>11216</v>
      </c>
      <c r="F826" t="s">
        <v>82</v>
      </c>
      <c r="H826" t="s">
        <v>83</v>
      </c>
      <c r="I826" t="s">
        <v>84</v>
      </c>
      <c r="J826" t="s">
        <v>85</v>
      </c>
      <c r="K826" t="s">
        <v>86</v>
      </c>
      <c r="L826" t="s">
        <v>87</v>
      </c>
      <c r="M826" t="s">
        <v>135</v>
      </c>
      <c r="N826" t="s">
        <v>89</v>
      </c>
      <c r="O826" t="s">
        <v>89</v>
      </c>
      <c r="P826" t="s">
        <v>90</v>
      </c>
      <c r="Q826" t="s">
        <v>114</v>
      </c>
      <c r="R826">
        <v>8</v>
      </c>
      <c r="S826">
        <v>5</v>
      </c>
      <c r="T826">
        <v>2006</v>
      </c>
      <c r="U826">
        <v>2006</v>
      </c>
      <c r="V826" t="s">
        <v>92</v>
      </c>
      <c r="W826" t="s">
        <v>93</v>
      </c>
      <c r="X826" t="s">
        <v>94</v>
      </c>
      <c r="Y826" t="s">
        <v>94</v>
      </c>
      <c r="Z826" t="s">
        <v>116</v>
      </c>
      <c r="AA826">
        <v>0</v>
      </c>
      <c r="AB826" t="s">
        <v>96</v>
      </c>
      <c r="AC826" t="s">
        <v>97</v>
      </c>
      <c r="AD826" t="s">
        <v>98</v>
      </c>
      <c r="AE826" t="s">
        <v>96</v>
      </c>
      <c r="AF826" t="s">
        <v>96</v>
      </c>
      <c r="AG826" t="s">
        <v>99</v>
      </c>
      <c r="AH826" t="s">
        <v>101</v>
      </c>
      <c r="AI826">
        <v>0</v>
      </c>
      <c r="AJ826" t="s">
        <v>101</v>
      </c>
      <c r="AK826">
        <v>0</v>
      </c>
      <c r="AL826">
        <v>1489</v>
      </c>
      <c r="AM826">
        <v>1489</v>
      </c>
      <c r="AN826" t="s">
        <v>102</v>
      </c>
      <c r="AO826" t="s">
        <v>103</v>
      </c>
      <c r="AP826" t="s">
        <v>104</v>
      </c>
      <c r="AQ826" t="s">
        <v>105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96</v>
      </c>
      <c r="BC826">
        <v>7</v>
      </c>
      <c r="BD826" t="s">
        <v>106</v>
      </c>
      <c r="BE826">
        <v>1</v>
      </c>
      <c r="BF826" t="s">
        <v>96</v>
      </c>
      <c r="BG826" t="s">
        <v>107</v>
      </c>
      <c r="BH826">
        <v>2006</v>
      </c>
      <c r="BI826" t="s">
        <v>108</v>
      </c>
      <c r="BJ826">
        <v>2</v>
      </c>
      <c r="BK826">
        <v>776</v>
      </c>
      <c r="BL826" t="s">
        <v>97</v>
      </c>
      <c r="BM826" t="s">
        <v>97</v>
      </c>
      <c r="BN826" t="s">
        <v>104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X826">
        <v>0</v>
      </c>
      <c r="BY826">
        <v>6</v>
      </c>
      <c r="BZ826">
        <v>2006</v>
      </c>
      <c r="CA826" t="s">
        <v>157</v>
      </c>
      <c r="CB826" t="s">
        <v>158</v>
      </c>
      <c r="CC826">
        <v>232600</v>
      </c>
    </row>
    <row r="827" spans="1:81" x14ac:dyDescent="0.3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H827" t="s">
        <v>83</v>
      </c>
      <c r="I827" t="s">
        <v>84</v>
      </c>
      <c r="J827" t="s">
        <v>85</v>
      </c>
      <c r="K827" t="s">
        <v>86</v>
      </c>
      <c r="L827" t="s">
        <v>87</v>
      </c>
      <c r="M827" t="s">
        <v>153</v>
      </c>
      <c r="N827" t="s">
        <v>138</v>
      </c>
      <c r="O827" t="s">
        <v>138</v>
      </c>
      <c r="P827" t="s">
        <v>90</v>
      </c>
      <c r="Q827" t="s">
        <v>114</v>
      </c>
      <c r="R827">
        <v>10</v>
      </c>
      <c r="S827">
        <v>5</v>
      </c>
      <c r="T827">
        <v>2007</v>
      </c>
      <c r="U827">
        <v>2008</v>
      </c>
      <c r="V827" t="s">
        <v>151</v>
      </c>
      <c r="W827" t="s">
        <v>93</v>
      </c>
      <c r="X827" t="s">
        <v>179</v>
      </c>
      <c r="Y827" t="s">
        <v>180</v>
      </c>
      <c r="Z827" t="s">
        <v>95</v>
      </c>
      <c r="AA827">
        <v>816</v>
      </c>
      <c r="AB827" t="s">
        <v>103</v>
      </c>
      <c r="AC827" t="s">
        <v>97</v>
      </c>
      <c r="AD827" t="s">
        <v>98</v>
      </c>
      <c r="AE827" t="s">
        <v>103</v>
      </c>
      <c r="AF827" t="s">
        <v>97</v>
      </c>
      <c r="AG827" t="s">
        <v>129</v>
      </c>
      <c r="AH827" t="s">
        <v>100</v>
      </c>
      <c r="AI827">
        <v>1636</v>
      </c>
      <c r="AJ827" t="s">
        <v>101</v>
      </c>
      <c r="AK827">
        <v>0</v>
      </c>
      <c r="AL827">
        <v>442</v>
      </c>
      <c r="AM827">
        <v>2078</v>
      </c>
      <c r="AN827" t="s">
        <v>102</v>
      </c>
      <c r="AO827" t="s">
        <v>103</v>
      </c>
      <c r="AP827" t="s">
        <v>104</v>
      </c>
      <c r="AQ827" t="s">
        <v>105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103</v>
      </c>
      <c r="BC827">
        <v>7</v>
      </c>
      <c r="BD827" t="s">
        <v>106</v>
      </c>
      <c r="BE827">
        <v>1</v>
      </c>
      <c r="BF827" t="s">
        <v>96</v>
      </c>
      <c r="BG827" t="s">
        <v>107</v>
      </c>
      <c r="BH827">
        <v>2007</v>
      </c>
      <c r="BI827" t="s">
        <v>156</v>
      </c>
      <c r="BJ827">
        <v>3</v>
      </c>
      <c r="BK827">
        <v>1220</v>
      </c>
      <c r="BL827" t="s">
        <v>97</v>
      </c>
      <c r="BM827" t="s">
        <v>97</v>
      </c>
      <c r="BN827" t="s">
        <v>104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X827">
        <v>0</v>
      </c>
      <c r="BY827">
        <v>6</v>
      </c>
      <c r="BZ827">
        <v>2008</v>
      </c>
      <c r="CA827" t="s">
        <v>157</v>
      </c>
      <c r="CB827" t="s">
        <v>158</v>
      </c>
      <c r="CC827">
        <v>385000</v>
      </c>
    </row>
    <row r="828" spans="1:81" x14ac:dyDescent="0.3">
      <c r="A828">
        <v>827</v>
      </c>
      <c r="B828">
        <v>45</v>
      </c>
      <c r="C828" t="s">
        <v>141</v>
      </c>
      <c r="D828">
        <v>50</v>
      </c>
      <c r="E828">
        <v>6130</v>
      </c>
      <c r="F828" t="s">
        <v>82</v>
      </c>
      <c r="H828" t="s">
        <v>83</v>
      </c>
      <c r="I828" t="s">
        <v>84</v>
      </c>
      <c r="J828" t="s">
        <v>85</v>
      </c>
      <c r="K828" t="s">
        <v>86</v>
      </c>
      <c r="L828" t="s">
        <v>87</v>
      </c>
      <c r="M828" t="s">
        <v>147</v>
      </c>
      <c r="N828" t="s">
        <v>89</v>
      </c>
      <c r="O828" t="s">
        <v>89</v>
      </c>
      <c r="P828" t="s">
        <v>90</v>
      </c>
      <c r="Q828" t="s">
        <v>149</v>
      </c>
      <c r="R828">
        <v>5</v>
      </c>
      <c r="S828">
        <v>6</v>
      </c>
      <c r="T828">
        <v>1924</v>
      </c>
      <c r="U828">
        <v>1950</v>
      </c>
      <c r="V828" t="s">
        <v>92</v>
      </c>
      <c r="W828" t="s">
        <v>93</v>
      </c>
      <c r="X828" t="s">
        <v>115</v>
      </c>
      <c r="Y828" t="s">
        <v>115</v>
      </c>
      <c r="Z828" t="s">
        <v>116</v>
      </c>
      <c r="AA828">
        <v>0</v>
      </c>
      <c r="AB828" t="s">
        <v>97</v>
      </c>
      <c r="AC828" t="s">
        <v>97</v>
      </c>
      <c r="AD828" t="s">
        <v>125</v>
      </c>
      <c r="AE828" t="s">
        <v>97</v>
      </c>
      <c r="AF828" t="s">
        <v>97</v>
      </c>
      <c r="AG828" t="s">
        <v>99</v>
      </c>
      <c r="AH828" t="s">
        <v>118</v>
      </c>
      <c r="AI828">
        <v>784</v>
      </c>
      <c r="AJ828" t="s">
        <v>101</v>
      </c>
      <c r="AK828">
        <v>0</v>
      </c>
      <c r="AL828">
        <v>0</v>
      </c>
      <c r="AM828">
        <v>784</v>
      </c>
      <c r="AN828" t="s">
        <v>102</v>
      </c>
      <c r="AO828" t="s">
        <v>96</v>
      </c>
      <c r="AP828" t="s">
        <v>104</v>
      </c>
      <c r="AQ828" t="s">
        <v>105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96</v>
      </c>
      <c r="BC828">
        <v>5</v>
      </c>
      <c r="BD828" t="s">
        <v>106</v>
      </c>
      <c r="BE828">
        <v>0</v>
      </c>
      <c r="BJ828">
        <v>0</v>
      </c>
      <c r="BK828">
        <v>0</v>
      </c>
      <c r="BN828" t="s">
        <v>104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X828">
        <v>0</v>
      </c>
      <c r="BY828">
        <v>5</v>
      </c>
      <c r="BZ828">
        <v>2008</v>
      </c>
      <c r="CA828" t="s">
        <v>109</v>
      </c>
      <c r="CB828" t="s">
        <v>110</v>
      </c>
      <c r="CC828">
        <v>109500</v>
      </c>
    </row>
    <row r="829" spans="1:81" x14ac:dyDescent="0.3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H829" t="s">
        <v>119</v>
      </c>
      <c r="I829" t="s">
        <v>84</v>
      </c>
      <c r="J829" t="s">
        <v>85</v>
      </c>
      <c r="K829" t="s">
        <v>86</v>
      </c>
      <c r="L829" t="s">
        <v>87</v>
      </c>
      <c r="M829" t="s">
        <v>169</v>
      </c>
      <c r="N829" t="s">
        <v>89</v>
      </c>
      <c r="O829" t="s">
        <v>89</v>
      </c>
      <c r="P829" t="s">
        <v>90</v>
      </c>
      <c r="Q829" t="s">
        <v>114</v>
      </c>
      <c r="R829">
        <v>7</v>
      </c>
      <c r="S829">
        <v>5</v>
      </c>
      <c r="T829">
        <v>2001</v>
      </c>
      <c r="U829">
        <v>2001</v>
      </c>
      <c r="V829" t="s">
        <v>92</v>
      </c>
      <c r="W829" t="s">
        <v>93</v>
      </c>
      <c r="X829" t="s">
        <v>94</v>
      </c>
      <c r="Y829" t="s">
        <v>94</v>
      </c>
      <c r="Z829" t="s">
        <v>116</v>
      </c>
      <c r="AA829">
        <v>0</v>
      </c>
      <c r="AB829" t="s">
        <v>96</v>
      </c>
      <c r="AC829" t="s">
        <v>97</v>
      </c>
      <c r="AD829" t="s">
        <v>98</v>
      </c>
      <c r="AE829" t="s">
        <v>96</v>
      </c>
      <c r="AF829" t="s">
        <v>97</v>
      </c>
      <c r="AG829" t="s">
        <v>99</v>
      </c>
      <c r="AH829" t="s">
        <v>100</v>
      </c>
      <c r="AI829">
        <v>20</v>
      </c>
      <c r="AJ829" t="s">
        <v>101</v>
      </c>
      <c r="AK829">
        <v>0</v>
      </c>
      <c r="AL829">
        <v>1434</v>
      </c>
      <c r="AM829">
        <v>1454</v>
      </c>
      <c r="AN829" t="s">
        <v>102</v>
      </c>
      <c r="AO829" t="s">
        <v>103</v>
      </c>
      <c r="AP829" t="s">
        <v>104</v>
      </c>
      <c r="AQ829" t="s">
        <v>105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96</v>
      </c>
      <c r="BC829">
        <v>6</v>
      </c>
      <c r="BD829" t="s">
        <v>106</v>
      </c>
      <c r="BE829">
        <v>1</v>
      </c>
      <c r="BF829" t="s">
        <v>97</v>
      </c>
      <c r="BG829" t="s">
        <v>107</v>
      </c>
      <c r="BH829">
        <v>2001</v>
      </c>
      <c r="BI829" t="s">
        <v>108</v>
      </c>
      <c r="BJ829">
        <v>2</v>
      </c>
      <c r="BK829">
        <v>527</v>
      </c>
      <c r="BL829" t="s">
        <v>97</v>
      </c>
      <c r="BM829" t="s">
        <v>97</v>
      </c>
      <c r="BN829" t="s">
        <v>104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X829">
        <v>0</v>
      </c>
      <c r="BY829">
        <v>4</v>
      </c>
      <c r="BZ829">
        <v>2009</v>
      </c>
      <c r="CA829" t="s">
        <v>109</v>
      </c>
      <c r="CB829" t="s">
        <v>110</v>
      </c>
      <c r="CC829">
        <v>189000</v>
      </c>
    </row>
    <row r="830" spans="1:81" x14ac:dyDescent="0.3">
      <c r="A830">
        <v>829</v>
      </c>
      <c r="B830">
        <v>60</v>
      </c>
      <c r="C830" t="s">
        <v>81</v>
      </c>
      <c r="E830">
        <v>28698</v>
      </c>
      <c r="F830" t="s">
        <v>82</v>
      </c>
      <c r="H830" t="s">
        <v>159</v>
      </c>
      <c r="I830" t="s">
        <v>194</v>
      </c>
      <c r="J830" t="s">
        <v>85</v>
      </c>
      <c r="K830" t="s">
        <v>165</v>
      </c>
      <c r="L830" t="s">
        <v>212</v>
      </c>
      <c r="M830" t="s">
        <v>204</v>
      </c>
      <c r="N830" t="s">
        <v>89</v>
      </c>
      <c r="O830" t="s">
        <v>89</v>
      </c>
      <c r="P830" t="s">
        <v>90</v>
      </c>
      <c r="Q830" t="s">
        <v>91</v>
      </c>
      <c r="R830">
        <v>5</v>
      </c>
      <c r="S830">
        <v>5</v>
      </c>
      <c r="T830">
        <v>1967</v>
      </c>
      <c r="U830">
        <v>1967</v>
      </c>
      <c r="V830" t="s">
        <v>213</v>
      </c>
      <c r="W830" t="s">
        <v>241</v>
      </c>
      <c r="X830" t="s">
        <v>160</v>
      </c>
      <c r="Y830" t="s">
        <v>160</v>
      </c>
      <c r="Z830" t="s">
        <v>116</v>
      </c>
      <c r="AA830">
        <v>0</v>
      </c>
      <c r="AB830" t="s">
        <v>97</v>
      </c>
      <c r="AC830" t="s">
        <v>97</v>
      </c>
      <c r="AD830" t="s">
        <v>98</v>
      </c>
      <c r="AE830" t="s">
        <v>97</v>
      </c>
      <c r="AF830" t="s">
        <v>96</v>
      </c>
      <c r="AG830" t="s">
        <v>96</v>
      </c>
      <c r="AH830" t="s">
        <v>171</v>
      </c>
      <c r="AI830">
        <v>249</v>
      </c>
      <c r="AJ830" t="s">
        <v>118</v>
      </c>
      <c r="AK830">
        <v>764</v>
      </c>
      <c r="AL830">
        <v>0</v>
      </c>
      <c r="AM830">
        <v>1013</v>
      </c>
      <c r="AN830" t="s">
        <v>102</v>
      </c>
      <c r="AO830" t="s">
        <v>97</v>
      </c>
      <c r="AP830" t="s">
        <v>104</v>
      </c>
      <c r="AQ830" t="s">
        <v>105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97</v>
      </c>
      <c r="BC830">
        <v>7</v>
      </c>
      <c r="BD830" t="s">
        <v>223</v>
      </c>
      <c r="BE830">
        <v>0</v>
      </c>
      <c r="BG830" t="s">
        <v>107</v>
      </c>
      <c r="BH830">
        <v>1967</v>
      </c>
      <c r="BI830" t="s">
        <v>156</v>
      </c>
      <c r="BJ830">
        <v>2</v>
      </c>
      <c r="BK830">
        <v>538</v>
      </c>
      <c r="BL830" t="s">
        <v>97</v>
      </c>
      <c r="BM830" t="s">
        <v>97</v>
      </c>
      <c r="BN830" t="s">
        <v>104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X830">
        <v>0</v>
      </c>
      <c r="BY830">
        <v>6</v>
      </c>
      <c r="BZ830">
        <v>2009</v>
      </c>
      <c r="CA830" t="s">
        <v>109</v>
      </c>
      <c r="CB830" t="s">
        <v>127</v>
      </c>
      <c r="CC830">
        <v>185000</v>
      </c>
    </row>
    <row r="831" spans="1:81" x14ac:dyDescent="0.3">
      <c r="A831">
        <v>830</v>
      </c>
      <c r="B831">
        <v>160</v>
      </c>
      <c r="C831" t="s">
        <v>191</v>
      </c>
      <c r="D831">
        <v>24</v>
      </c>
      <c r="E831">
        <v>2544</v>
      </c>
      <c r="F831" t="s">
        <v>82</v>
      </c>
      <c r="G831" t="s">
        <v>82</v>
      </c>
      <c r="H831" t="s">
        <v>83</v>
      </c>
      <c r="I831" t="s">
        <v>84</v>
      </c>
      <c r="J831" t="s">
        <v>85</v>
      </c>
      <c r="K831" t="s">
        <v>86</v>
      </c>
      <c r="L831" t="s">
        <v>87</v>
      </c>
      <c r="M831" t="s">
        <v>135</v>
      </c>
      <c r="N831" t="s">
        <v>89</v>
      </c>
      <c r="O831" t="s">
        <v>89</v>
      </c>
      <c r="P831" t="s">
        <v>197</v>
      </c>
      <c r="Q831" t="s">
        <v>91</v>
      </c>
      <c r="R831">
        <v>7</v>
      </c>
      <c r="S831">
        <v>5</v>
      </c>
      <c r="T831">
        <v>2005</v>
      </c>
      <c r="U831">
        <v>2005</v>
      </c>
      <c r="V831" t="s">
        <v>92</v>
      </c>
      <c r="W831" t="s">
        <v>93</v>
      </c>
      <c r="X831" t="s">
        <v>115</v>
      </c>
      <c r="Y831" t="s">
        <v>115</v>
      </c>
      <c r="Z831" t="s">
        <v>116</v>
      </c>
      <c r="AA831">
        <v>0</v>
      </c>
      <c r="AB831" t="s">
        <v>96</v>
      </c>
      <c r="AC831" t="s">
        <v>97</v>
      </c>
      <c r="AD831" t="s">
        <v>98</v>
      </c>
      <c r="AE831" t="s">
        <v>96</v>
      </c>
      <c r="AF831" t="s">
        <v>97</v>
      </c>
      <c r="AG831" t="s">
        <v>99</v>
      </c>
      <c r="AH831" t="s">
        <v>101</v>
      </c>
      <c r="AI831">
        <v>0</v>
      </c>
      <c r="AJ831" t="s">
        <v>101</v>
      </c>
      <c r="AK831">
        <v>0</v>
      </c>
      <c r="AL831">
        <v>600</v>
      </c>
      <c r="AM831">
        <v>600</v>
      </c>
      <c r="AN831" t="s">
        <v>102</v>
      </c>
      <c r="AO831" t="s">
        <v>103</v>
      </c>
      <c r="AP831" t="s">
        <v>104</v>
      </c>
      <c r="AQ831" t="s">
        <v>105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96</v>
      </c>
      <c r="BC831">
        <v>4</v>
      </c>
      <c r="BD831" t="s">
        <v>106</v>
      </c>
      <c r="BE831">
        <v>0</v>
      </c>
      <c r="BG831" t="s">
        <v>126</v>
      </c>
      <c r="BH831">
        <v>2005</v>
      </c>
      <c r="BI831" t="s">
        <v>108</v>
      </c>
      <c r="BJ831">
        <v>2</v>
      </c>
      <c r="BK831">
        <v>480</v>
      </c>
      <c r="BL831" t="s">
        <v>97</v>
      </c>
      <c r="BM831" t="s">
        <v>97</v>
      </c>
      <c r="BN831" t="s">
        <v>104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X831">
        <v>0</v>
      </c>
      <c r="BY831">
        <v>7</v>
      </c>
      <c r="BZ831">
        <v>2006</v>
      </c>
      <c r="CA831" t="s">
        <v>109</v>
      </c>
      <c r="CB831" t="s">
        <v>110</v>
      </c>
      <c r="CC831">
        <v>147400</v>
      </c>
    </row>
    <row r="832" spans="1:81" x14ac:dyDescent="0.3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H832" t="s">
        <v>119</v>
      </c>
      <c r="I832" t="s">
        <v>84</v>
      </c>
      <c r="J832" t="s">
        <v>85</v>
      </c>
      <c r="K832" t="s">
        <v>121</v>
      </c>
      <c r="L832" t="s">
        <v>87</v>
      </c>
      <c r="M832" t="s">
        <v>270</v>
      </c>
      <c r="N832" t="s">
        <v>89</v>
      </c>
      <c r="O832" t="s">
        <v>89</v>
      </c>
      <c r="P832" t="s">
        <v>90</v>
      </c>
      <c r="Q832" t="s">
        <v>114</v>
      </c>
      <c r="R832">
        <v>6</v>
      </c>
      <c r="S832">
        <v>5</v>
      </c>
      <c r="T832">
        <v>1957</v>
      </c>
      <c r="U832">
        <v>1957</v>
      </c>
      <c r="V832" t="s">
        <v>92</v>
      </c>
      <c r="W832" t="s">
        <v>93</v>
      </c>
      <c r="X832" t="s">
        <v>139</v>
      </c>
      <c r="Y832" t="s">
        <v>139</v>
      </c>
      <c r="Z832" t="s">
        <v>95</v>
      </c>
      <c r="AA832">
        <v>387</v>
      </c>
      <c r="AB832" t="s">
        <v>97</v>
      </c>
      <c r="AC832" t="s">
        <v>97</v>
      </c>
      <c r="AD832" t="s">
        <v>117</v>
      </c>
      <c r="AE832" t="s">
        <v>97</v>
      </c>
      <c r="AF832" t="s">
        <v>97</v>
      </c>
      <c r="AG832" t="s">
        <v>99</v>
      </c>
      <c r="AH832" t="s">
        <v>152</v>
      </c>
      <c r="AI832">
        <v>1040</v>
      </c>
      <c r="AJ832" t="s">
        <v>101</v>
      </c>
      <c r="AK832">
        <v>0</v>
      </c>
      <c r="AL832">
        <v>352</v>
      </c>
      <c r="AM832">
        <v>1392</v>
      </c>
      <c r="AN832" t="s">
        <v>102</v>
      </c>
      <c r="AO832" t="s">
        <v>97</v>
      </c>
      <c r="AP832" t="s">
        <v>104</v>
      </c>
      <c r="AQ832" t="s">
        <v>163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97</v>
      </c>
      <c r="BC832">
        <v>6</v>
      </c>
      <c r="BD832" t="s">
        <v>106</v>
      </c>
      <c r="BE832">
        <v>2</v>
      </c>
      <c r="BF832" t="s">
        <v>96</v>
      </c>
      <c r="BG832" t="s">
        <v>107</v>
      </c>
      <c r="BH832">
        <v>1957</v>
      </c>
      <c r="BI832" t="s">
        <v>108</v>
      </c>
      <c r="BJ832">
        <v>2</v>
      </c>
      <c r="BK832">
        <v>458</v>
      </c>
      <c r="BL832" t="s">
        <v>97</v>
      </c>
      <c r="BM832" t="s">
        <v>97</v>
      </c>
      <c r="BN832" t="s">
        <v>104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X832">
        <v>0</v>
      </c>
      <c r="BY832">
        <v>6</v>
      </c>
      <c r="BZ832">
        <v>2008</v>
      </c>
      <c r="CA832" t="s">
        <v>109</v>
      </c>
      <c r="CB832" t="s">
        <v>110</v>
      </c>
      <c r="CC832">
        <v>166000</v>
      </c>
    </row>
    <row r="833" spans="1:81" x14ac:dyDescent="0.3">
      <c r="A833">
        <v>832</v>
      </c>
      <c r="B833">
        <v>160</v>
      </c>
      <c r="C833" t="s">
        <v>191</v>
      </c>
      <c r="D833">
        <v>30</v>
      </c>
      <c r="E833">
        <v>3180</v>
      </c>
      <c r="F833" t="s">
        <v>82</v>
      </c>
      <c r="G833" t="s">
        <v>82</v>
      </c>
      <c r="H833" t="s">
        <v>83</v>
      </c>
      <c r="I833" t="s">
        <v>84</v>
      </c>
      <c r="J833" t="s">
        <v>85</v>
      </c>
      <c r="K833" t="s">
        <v>86</v>
      </c>
      <c r="L833" t="s">
        <v>87</v>
      </c>
      <c r="M833" t="s">
        <v>135</v>
      </c>
      <c r="N833" t="s">
        <v>89</v>
      </c>
      <c r="O833" t="s">
        <v>89</v>
      </c>
      <c r="P833" t="s">
        <v>178</v>
      </c>
      <c r="Q833" t="s">
        <v>91</v>
      </c>
      <c r="R833">
        <v>7</v>
      </c>
      <c r="S833">
        <v>5</v>
      </c>
      <c r="T833">
        <v>2005</v>
      </c>
      <c r="U833">
        <v>2005</v>
      </c>
      <c r="V833" t="s">
        <v>92</v>
      </c>
      <c r="W833" t="s">
        <v>93</v>
      </c>
      <c r="X833" t="s">
        <v>115</v>
      </c>
      <c r="Y833" t="s">
        <v>115</v>
      </c>
      <c r="Z833" t="s">
        <v>116</v>
      </c>
      <c r="AA833">
        <v>0</v>
      </c>
      <c r="AB833" t="s">
        <v>97</v>
      </c>
      <c r="AC833" t="s">
        <v>97</v>
      </c>
      <c r="AD833" t="s">
        <v>98</v>
      </c>
      <c r="AE833" t="s">
        <v>96</v>
      </c>
      <c r="AF833" t="s">
        <v>97</v>
      </c>
      <c r="AG833" t="s">
        <v>99</v>
      </c>
      <c r="AH833" t="s">
        <v>101</v>
      </c>
      <c r="AI833">
        <v>0</v>
      </c>
      <c r="AJ833" t="s">
        <v>101</v>
      </c>
      <c r="AK833">
        <v>0</v>
      </c>
      <c r="AL833">
        <v>600</v>
      </c>
      <c r="AM833">
        <v>600</v>
      </c>
      <c r="AN833" t="s">
        <v>102</v>
      </c>
      <c r="AO833" t="s">
        <v>103</v>
      </c>
      <c r="AP833" t="s">
        <v>104</v>
      </c>
      <c r="AQ833" t="s">
        <v>105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96</v>
      </c>
      <c r="BC833">
        <v>4</v>
      </c>
      <c r="BD833" t="s">
        <v>106</v>
      </c>
      <c r="BE833">
        <v>0</v>
      </c>
      <c r="BG833" t="s">
        <v>126</v>
      </c>
      <c r="BH833">
        <v>2005</v>
      </c>
      <c r="BI833" t="s">
        <v>108</v>
      </c>
      <c r="BJ833">
        <v>2</v>
      </c>
      <c r="BK833">
        <v>480</v>
      </c>
      <c r="BL833" t="s">
        <v>97</v>
      </c>
      <c r="BM833" t="s">
        <v>97</v>
      </c>
      <c r="BN833" t="s">
        <v>104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X833">
        <v>0</v>
      </c>
      <c r="BY833">
        <v>6</v>
      </c>
      <c r="BZ833">
        <v>2006</v>
      </c>
      <c r="CA833" t="s">
        <v>109</v>
      </c>
      <c r="CB833" t="s">
        <v>110</v>
      </c>
      <c r="CC833">
        <v>151000</v>
      </c>
    </row>
    <row r="834" spans="1:81" x14ac:dyDescent="0.3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H834" t="s">
        <v>119</v>
      </c>
      <c r="I834" t="s">
        <v>84</v>
      </c>
      <c r="J834" t="s">
        <v>85</v>
      </c>
      <c r="K834" t="s">
        <v>165</v>
      </c>
      <c r="L834" t="s">
        <v>87</v>
      </c>
      <c r="M834" t="s">
        <v>88</v>
      </c>
      <c r="N834" t="s">
        <v>89</v>
      </c>
      <c r="O834" t="s">
        <v>89</v>
      </c>
      <c r="P834" t="s">
        <v>90</v>
      </c>
      <c r="Q834" t="s">
        <v>91</v>
      </c>
      <c r="R834">
        <v>7</v>
      </c>
      <c r="S834">
        <v>6</v>
      </c>
      <c r="T834">
        <v>2003</v>
      </c>
      <c r="U834">
        <v>2003</v>
      </c>
      <c r="V834" t="s">
        <v>92</v>
      </c>
      <c r="W834" t="s">
        <v>93</v>
      </c>
      <c r="X834" t="s">
        <v>94</v>
      </c>
      <c r="Y834" t="s">
        <v>94</v>
      </c>
      <c r="Z834" t="s">
        <v>95</v>
      </c>
      <c r="AA834">
        <v>223</v>
      </c>
      <c r="AB834" t="s">
        <v>96</v>
      </c>
      <c r="AC834" t="s">
        <v>97</v>
      </c>
      <c r="AD834" t="s">
        <v>98</v>
      </c>
      <c r="AE834" t="s">
        <v>96</v>
      </c>
      <c r="AF834" t="s">
        <v>97</v>
      </c>
      <c r="AG834" t="s">
        <v>99</v>
      </c>
      <c r="AH834" t="s">
        <v>100</v>
      </c>
      <c r="AI834">
        <v>483</v>
      </c>
      <c r="AJ834" t="s">
        <v>101</v>
      </c>
      <c r="AK834">
        <v>0</v>
      </c>
      <c r="AL834">
        <v>458</v>
      </c>
      <c r="AM834">
        <v>941</v>
      </c>
      <c r="AN834" t="s">
        <v>102</v>
      </c>
      <c r="AO834" t="s">
        <v>103</v>
      </c>
      <c r="AP834" t="s">
        <v>104</v>
      </c>
      <c r="AQ834" t="s">
        <v>105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96</v>
      </c>
      <c r="BC834">
        <v>7</v>
      </c>
      <c r="BD834" t="s">
        <v>106</v>
      </c>
      <c r="BE834">
        <v>1</v>
      </c>
      <c r="BF834" t="s">
        <v>97</v>
      </c>
      <c r="BG834" t="s">
        <v>107</v>
      </c>
      <c r="BH834">
        <v>2003</v>
      </c>
      <c r="BI834" t="s">
        <v>108</v>
      </c>
      <c r="BJ834">
        <v>2</v>
      </c>
      <c r="BK834">
        <v>613</v>
      </c>
      <c r="BL834" t="s">
        <v>97</v>
      </c>
      <c r="BM834" t="s">
        <v>97</v>
      </c>
      <c r="BN834" t="s">
        <v>104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X834">
        <v>0</v>
      </c>
      <c r="BY834">
        <v>1</v>
      </c>
      <c r="BZ834">
        <v>2010</v>
      </c>
      <c r="CA834" t="s">
        <v>109</v>
      </c>
      <c r="CB834" t="s">
        <v>110</v>
      </c>
      <c r="CC834">
        <v>237000</v>
      </c>
    </row>
    <row r="835" spans="1:81" x14ac:dyDescent="0.3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H835" t="s">
        <v>83</v>
      </c>
      <c r="I835" t="s">
        <v>84</v>
      </c>
      <c r="J835" t="s">
        <v>85</v>
      </c>
      <c r="K835" t="s">
        <v>86</v>
      </c>
      <c r="L835" t="s">
        <v>87</v>
      </c>
      <c r="M835" t="s">
        <v>270</v>
      </c>
      <c r="N835" t="s">
        <v>89</v>
      </c>
      <c r="O835" t="s">
        <v>89</v>
      </c>
      <c r="P835" t="s">
        <v>90</v>
      </c>
      <c r="Q835" t="s">
        <v>114</v>
      </c>
      <c r="R835">
        <v>6</v>
      </c>
      <c r="S835">
        <v>6</v>
      </c>
      <c r="T835">
        <v>1964</v>
      </c>
      <c r="U835">
        <v>1964</v>
      </c>
      <c r="V835" t="s">
        <v>92</v>
      </c>
      <c r="W835" t="s">
        <v>93</v>
      </c>
      <c r="X835" t="s">
        <v>139</v>
      </c>
      <c r="Y835" t="s">
        <v>160</v>
      </c>
      <c r="Z835" t="s">
        <v>95</v>
      </c>
      <c r="AA835">
        <v>180</v>
      </c>
      <c r="AB835" t="s">
        <v>97</v>
      </c>
      <c r="AC835" t="s">
        <v>97</v>
      </c>
      <c r="AD835" t="s">
        <v>117</v>
      </c>
      <c r="AE835" t="s">
        <v>97</v>
      </c>
      <c r="AF835" t="s">
        <v>97</v>
      </c>
      <c r="AG835" t="s">
        <v>99</v>
      </c>
      <c r="AH835" t="s">
        <v>152</v>
      </c>
      <c r="AI835">
        <v>196</v>
      </c>
      <c r="AJ835" t="s">
        <v>140</v>
      </c>
      <c r="AK835">
        <v>345</v>
      </c>
      <c r="AL835">
        <v>975</v>
      </c>
      <c r="AM835">
        <v>1516</v>
      </c>
      <c r="AN835" t="s">
        <v>102</v>
      </c>
      <c r="AO835" t="s">
        <v>97</v>
      </c>
      <c r="AP835" t="s">
        <v>104</v>
      </c>
      <c r="AQ835" t="s">
        <v>105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97</v>
      </c>
      <c r="BC835">
        <v>6</v>
      </c>
      <c r="BD835" t="s">
        <v>106</v>
      </c>
      <c r="BE835">
        <v>0</v>
      </c>
      <c r="BG835" t="s">
        <v>107</v>
      </c>
      <c r="BH835">
        <v>1964</v>
      </c>
      <c r="BI835" t="s">
        <v>108</v>
      </c>
      <c r="BJ835">
        <v>2</v>
      </c>
      <c r="BK835">
        <v>472</v>
      </c>
      <c r="BL835" t="s">
        <v>97</v>
      </c>
      <c r="BM835" t="s">
        <v>97</v>
      </c>
      <c r="BN835" t="s">
        <v>104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X835">
        <v>0</v>
      </c>
      <c r="BY835">
        <v>2</v>
      </c>
      <c r="BZ835">
        <v>2009</v>
      </c>
      <c r="CA835" t="s">
        <v>109</v>
      </c>
      <c r="CB835" t="s">
        <v>110</v>
      </c>
      <c r="CC835">
        <v>167000</v>
      </c>
    </row>
    <row r="836" spans="1:81" x14ac:dyDescent="0.3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H836" t="s">
        <v>83</v>
      </c>
      <c r="I836" t="s">
        <v>84</v>
      </c>
      <c r="J836" t="s">
        <v>85</v>
      </c>
      <c r="K836" t="s">
        <v>86</v>
      </c>
      <c r="L836" t="s">
        <v>87</v>
      </c>
      <c r="M836" t="s">
        <v>270</v>
      </c>
      <c r="N836" t="s">
        <v>89</v>
      </c>
      <c r="O836" t="s">
        <v>89</v>
      </c>
      <c r="P836" t="s">
        <v>90</v>
      </c>
      <c r="Q836" t="s">
        <v>114</v>
      </c>
      <c r="R836">
        <v>5</v>
      </c>
      <c r="S836">
        <v>6</v>
      </c>
      <c r="T836">
        <v>1961</v>
      </c>
      <c r="U836">
        <v>1961</v>
      </c>
      <c r="V836" t="s">
        <v>92</v>
      </c>
      <c r="W836" t="s">
        <v>93</v>
      </c>
      <c r="X836" t="s">
        <v>94</v>
      </c>
      <c r="Y836" t="s">
        <v>94</v>
      </c>
      <c r="Z836" t="s">
        <v>95</v>
      </c>
      <c r="AA836">
        <v>136</v>
      </c>
      <c r="AB836" t="s">
        <v>97</v>
      </c>
      <c r="AC836" t="s">
        <v>97</v>
      </c>
      <c r="AD836" t="s">
        <v>117</v>
      </c>
      <c r="AE836" t="s">
        <v>97</v>
      </c>
      <c r="AF836" t="s">
        <v>97</v>
      </c>
      <c r="AG836" t="s">
        <v>99</v>
      </c>
      <c r="AH836" t="s">
        <v>152</v>
      </c>
      <c r="AI836">
        <v>572</v>
      </c>
      <c r="AJ836" t="s">
        <v>101</v>
      </c>
      <c r="AK836">
        <v>0</v>
      </c>
      <c r="AL836">
        <v>572</v>
      </c>
      <c r="AM836">
        <v>1144</v>
      </c>
      <c r="AN836" t="s">
        <v>102</v>
      </c>
      <c r="AO836" t="s">
        <v>96</v>
      </c>
      <c r="AP836" t="s">
        <v>104</v>
      </c>
      <c r="AQ836" t="s">
        <v>105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97</v>
      </c>
      <c r="BC836">
        <v>6</v>
      </c>
      <c r="BD836" t="s">
        <v>106</v>
      </c>
      <c r="BE836">
        <v>0</v>
      </c>
      <c r="BG836" t="s">
        <v>107</v>
      </c>
      <c r="BH836">
        <v>1961</v>
      </c>
      <c r="BI836" t="s">
        <v>101</v>
      </c>
      <c r="BJ836">
        <v>2</v>
      </c>
      <c r="BK836">
        <v>456</v>
      </c>
      <c r="BL836" t="s">
        <v>97</v>
      </c>
      <c r="BM836" t="s">
        <v>97</v>
      </c>
      <c r="BN836" t="s">
        <v>104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V836" t="s">
        <v>162</v>
      </c>
      <c r="BX836">
        <v>0</v>
      </c>
      <c r="BY836">
        <v>9</v>
      </c>
      <c r="BZ836">
        <v>2008</v>
      </c>
      <c r="CA836" t="s">
        <v>109</v>
      </c>
      <c r="CB836" t="s">
        <v>110</v>
      </c>
      <c r="CC836">
        <v>139950</v>
      </c>
    </row>
    <row r="837" spans="1:81" x14ac:dyDescent="0.3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H837" t="s">
        <v>83</v>
      </c>
      <c r="I837" t="s">
        <v>84</v>
      </c>
      <c r="J837" t="s">
        <v>85</v>
      </c>
      <c r="K837" t="s">
        <v>86</v>
      </c>
      <c r="L837" t="s">
        <v>87</v>
      </c>
      <c r="M837" t="s">
        <v>150</v>
      </c>
      <c r="N837" t="s">
        <v>89</v>
      </c>
      <c r="O837" t="s">
        <v>89</v>
      </c>
      <c r="P837" t="s">
        <v>90</v>
      </c>
      <c r="Q837" t="s">
        <v>114</v>
      </c>
      <c r="R837">
        <v>4</v>
      </c>
      <c r="S837">
        <v>7</v>
      </c>
      <c r="T837">
        <v>1950</v>
      </c>
      <c r="U837">
        <v>1995</v>
      </c>
      <c r="V837" t="s">
        <v>92</v>
      </c>
      <c r="W837" t="s">
        <v>93</v>
      </c>
      <c r="X837" t="s">
        <v>94</v>
      </c>
      <c r="Y837" t="s">
        <v>139</v>
      </c>
      <c r="Z837" t="s">
        <v>116</v>
      </c>
      <c r="AA837">
        <v>0</v>
      </c>
      <c r="AB837" t="s">
        <v>97</v>
      </c>
      <c r="AC837" t="s">
        <v>97</v>
      </c>
      <c r="AD837" t="s">
        <v>117</v>
      </c>
      <c r="AE837" t="s">
        <v>96</v>
      </c>
      <c r="AF837" t="s">
        <v>97</v>
      </c>
      <c r="AG837" t="s">
        <v>99</v>
      </c>
      <c r="AH837" t="s">
        <v>140</v>
      </c>
      <c r="AI837">
        <v>442</v>
      </c>
      <c r="AJ837" t="s">
        <v>101</v>
      </c>
      <c r="AK837">
        <v>0</v>
      </c>
      <c r="AL837">
        <v>625</v>
      </c>
      <c r="AM837">
        <v>1067</v>
      </c>
      <c r="AN837" t="s">
        <v>102</v>
      </c>
      <c r="AO837" t="s">
        <v>97</v>
      </c>
      <c r="AP837" t="s">
        <v>104</v>
      </c>
      <c r="AQ837" t="s">
        <v>105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96</v>
      </c>
      <c r="BC837">
        <v>4</v>
      </c>
      <c r="BD837" t="s">
        <v>223</v>
      </c>
      <c r="BE837">
        <v>0</v>
      </c>
      <c r="BG837" t="s">
        <v>107</v>
      </c>
      <c r="BH837">
        <v>1996</v>
      </c>
      <c r="BI837" t="s">
        <v>101</v>
      </c>
      <c r="BJ837">
        <v>2</v>
      </c>
      <c r="BK837">
        <v>436</v>
      </c>
      <c r="BL837" t="s">
        <v>97</v>
      </c>
      <c r="BM837" t="s">
        <v>97</v>
      </c>
      <c r="BN837" t="s">
        <v>104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X837">
        <v>0</v>
      </c>
      <c r="BY837">
        <v>2</v>
      </c>
      <c r="BZ837">
        <v>2010</v>
      </c>
      <c r="CA837" t="s">
        <v>109</v>
      </c>
      <c r="CB837" t="s">
        <v>110</v>
      </c>
      <c r="CC837">
        <v>128000</v>
      </c>
    </row>
    <row r="838" spans="1:81" x14ac:dyDescent="0.3">
      <c r="A838">
        <v>837</v>
      </c>
      <c r="B838">
        <v>30</v>
      </c>
      <c r="C838" t="s">
        <v>141</v>
      </c>
      <c r="D838">
        <v>90</v>
      </c>
      <c r="E838">
        <v>8100</v>
      </c>
      <c r="F838" t="s">
        <v>82</v>
      </c>
      <c r="G838" t="s">
        <v>82</v>
      </c>
      <c r="H838" t="s">
        <v>83</v>
      </c>
      <c r="I838" t="s">
        <v>84</v>
      </c>
      <c r="J838" t="s">
        <v>85</v>
      </c>
      <c r="K838" t="s">
        <v>86</v>
      </c>
      <c r="L838" t="s">
        <v>87</v>
      </c>
      <c r="M838" t="s">
        <v>142</v>
      </c>
      <c r="N838" t="s">
        <v>89</v>
      </c>
      <c r="O838" t="s">
        <v>89</v>
      </c>
      <c r="P838" t="s">
        <v>90</v>
      </c>
      <c r="Q838" t="s">
        <v>114</v>
      </c>
      <c r="R838">
        <v>5</v>
      </c>
      <c r="S838">
        <v>6</v>
      </c>
      <c r="T838">
        <v>1948</v>
      </c>
      <c r="U838">
        <v>1973</v>
      </c>
      <c r="V838" t="s">
        <v>92</v>
      </c>
      <c r="W838" t="s">
        <v>93</v>
      </c>
      <c r="X838" t="s">
        <v>94</v>
      </c>
      <c r="Y838" t="s">
        <v>94</v>
      </c>
      <c r="Z838" t="s">
        <v>116</v>
      </c>
      <c r="AA838">
        <v>0</v>
      </c>
      <c r="AB838" t="s">
        <v>97</v>
      </c>
      <c r="AC838" t="s">
        <v>97</v>
      </c>
      <c r="AD838" t="s">
        <v>125</v>
      </c>
      <c r="AE838" t="s">
        <v>97</v>
      </c>
      <c r="AF838" t="s">
        <v>97</v>
      </c>
      <c r="AG838" t="s">
        <v>99</v>
      </c>
      <c r="AH838" t="s">
        <v>152</v>
      </c>
      <c r="AI838">
        <v>338</v>
      </c>
      <c r="AJ838" t="s">
        <v>101</v>
      </c>
      <c r="AK838">
        <v>0</v>
      </c>
      <c r="AL838">
        <v>1221</v>
      </c>
      <c r="AM838">
        <v>1559</v>
      </c>
      <c r="AN838" t="s">
        <v>102</v>
      </c>
      <c r="AO838" t="s">
        <v>96</v>
      </c>
      <c r="AP838" t="s">
        <v>104</v>
      </c>
      <c r="AQ838" t="s">
        <v>105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97</v>
      </c>
      <c r="BC838">
        <v>5</v>
      </c>
      <c r="BD838" t="s">
        <v>223</v>
      </c>
      <c r="BE838">
        <v>0</v>
      </c>
      <c r="BG838" t="s">
        <v>126</v>
      </c>
      <c r="BH838">
        <v>1948</v>
      </c>
      <c r="BI838" t="s">
        <v>101</v>
      </c>
      <c r="BJ838">
        <v>2</v>
      </c>
      <c r="BK838">
        <v>812</v>
      </c>
      <c r="BL838" t="s">
        <v>97</v>
      </c>
      <c r="BM838" t="s">
        <v>97</v>
      </c>
      <c r="BN838" t="s">
        <v>104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V838" t="s">
        <v>162</v>
      </c>
      <c r="BX838">
        <v>0</v>
      </c>
      <c r="BY838">
        <v>6</v>
      </c>
      <c r="BZ838">
        <v>2007</v>
      </c>
      <c r="CA838" t="s">
        <v>172</v>
      </c>
      <c r="CB838" t="s">
        <v>110</v>
      </c>
      <c r="CC838">
        <v>153500</v>
      </c>
    </row>
    <row r="839" spans="1:81" x14ac:dyDescent="0.3">
      <c r="A839">
        <v>838</v>
      </c>
      <c r="B839">
        <v>160</v>
      </c>
      <c r="C839" t="s">
        <v>141</v>
      </c>
      <c r="D839">
        <v>21</v>
      </c>
      <c r="E839">
        <v>1680</v>
      </c>
      <c r="F839" t="s">
        <v>82</v>
      </c>
      <c r="H839" t="s">
        <v>83</v>
      </c>
      <c r="I839" t="s">
        <v>84</v>
      </c>
      <c r="J839" t="s">
        <v>85</v>
      </c>
      <c r="K839" t="s">
        <v>86</v>
      </c>
      <c r="L839" t="s">
        <v>87</v>
      </c>
      <c r="M839" t="s">
        <v>227</v>
      </c>
      <c r="N839" t="s">
        <v>89</v>
      </c>
      <c r="O839" t="s">
        <v>89</v>
      </c>
      <c r="P839" t="s">
        <v>197</v>
      </c>
      <c r="Q839" t="s">
        <v>91</v>
      </c>
      <c r="R839">
        <v>6</v>
      </c>
      <c r="S839">
        <v>5</v>
      </c>
      <c r="T839">
        <v>1973</v>
      </c>
      <c r="U839">
        <v>1973</v>
      </c>
      <c r="V839" t="s">
        <v>92</v>
      </c>
      <c r="W839" t="s">
        <v>93</v>
      </c>
      <c r="X839" t="s">
        <v>139</v>
      </c>
      <c r="Y839" t="s">
        <v>139</v>
      </c>
      <c r="Z839" t="s">
        <v>95</v>
      </c>
      <c r="AA839">
        <v>158</v>
      </c>
      <c r="AB839" t="s">
        <v>97</v>
      </c>
      <c r="AC839" t="s">
        <v>97</v>
      </c>
      <c r="AD839" t="s">
        <v>117</v>
      </c>
      <c r="AE839" t="s">
        <v>97</v>
      </c>
      <c r="AF839" t="s">
        <v>97</v>
      </c>
      <c r="AG839" t="s">
        <v>99</v>
      </c>
      <c r="AH839" t="s">
        <v>140</v>
      </c>
      <c r="AI839">
        <v>330</v>
      </c>
      <c r="AJ839" t="s">
        <v>101</v>
      </c>
      <c r="AK839">
        <v>0</v>
      </c>
      <c r="AL839">
        <v>153</v>
      </c>
      <c r="AM839">
        <v>483</v>
      </c>
      <c r="AN839" t="s">
        <v>102</v>
      </c>
      <c r="AO839" t="s">
        <v>97</v>
      </c>
      <c r="AP839" t="s">
        <v>104</v>
      </c>
      <c r="AQ839" t="s">
        <v>105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97</v>
      </c>
      <c r="BC839">
        <v>5</v>
      </c>
      <c r="BD839" t="s">
        <v>106</v>
      </c>
      <c r="BE839">
        <v>0</v>
      </c>
      <c r="BG839" t="s">
        <v>126</v>
      </c>
      <c r="BH839">
        <v>1973</v>
      </c>
      <c r="BI839" t="s">
        <v>101</v>
      </c>
      <c r="BJ839">
        <v>1</v>
      </c>
      <c r="BK839">
        <v>264</v>
      </c>
      <c r="BL839" t="s">
        <v>97</v>
      </c>
      <c r="BM839" t="s">
        <v>97</v>
      </c>
      <c r="BN839" t="s">
        <v>104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X839">
        <v>0</v>
      </c>
      <c r="BY839">
        <v>11</v>
      </c>
      <c r="BZ839">
        <v>2008</v>
      </c>
      <c r="CA839" t="s">
        <v>109</v>
      </c>
      <c r="CB839" t="s">
        <v>110</v>
      </c>
      <c r="CC839">
        <v>100000</v>
      </c>
    </row>
    <row r="840" spans="1:81" x14ac:dyDescent="0.3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H840" t="s">
        <v>83</v>
      </c>
      <c r="I840" t="s">
        <v>84</v>
      </c>
      <c r="J840" t="s">
        <v>85</v>
      </c>
      <c r="K840" t="s">
        <v>86</v>
      </c>
      <c r="L840" t="s">
        <v>87</v>
      </c>
      <c r="M840" t="s">
        <v>88</v>
      </c>
      <c r="N840" t="s">
        <v>89</v>
      </c>
      <c r="O840" t="s">
        <v>89</v>
      </c>
      <c r="P840" t="s">
        <v>90</v>
      </c>
      <c r="Q840" t="s">
        <v>114</v>
      </c>
      <c r="R840">
        <v>5</v>
      </c>
      <c r="S840">
        <v>6</v>
      </c>
      <c r="T840">
        <v>1995</v>
      </c>
      <c r="U840">
        <v>2006</v>
      </c>
      <c r="V840" t="s">
        <v>92</v>
      </c>
      <c r="W840" t="s">
        <v>93</v>
      </c>
      <c r="X840" t="s">
        <v>94</v>
      </c>
      <c r="Y840" t="s">
        <v>94</v>
      </c>
      <c r="Z840" t="s">
        <v>116</v>
      </c>
      <c r="AA840">
        <v>0</v>
      </c>
      <c r="AB840" t="s">
        <v>97</v>
      </c>
      <c r="AC840" t="s">
        <v>97</v>
      </c>
      <c r="AD840" t="s">
        <v>98</v>
      </c>
      <c r="AE840" t="s">
        <v>96</v>
      </c>
      <c r="AF840" t="s">
        <v>97</v>
      </c>
      <c r="AG840" t="s">
        <v>99</v>
      </c>
      <c r="AH840" t="s">
        <v>101</v>
      </c>
      <c r="AI840">
        <v>0</v>
      </c>
      <c r="AJ840" t="s">
        <v>101</v>
      </c>
      <c r="AK840">
        <v>0</v>
      </c>
      <c r="AL840">
        <v>1099</v>
      </c>
      <c r="AM840">
        <v>1099</v>
      </c>
      <c r="AN840" t="s">
        <v>102</v>
      </c>
      <c r="AO840" t="s">
        <v>103</v>
      </c>
      <c r="AP840" t="s">
        <v>104</v>
      </c>
      <c r="AQ840" t="s">
        <v>105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96</v>
      </c>
      <c r="BC840">
        <v>6</v>
      </c>
      <c r="BD840" t="s">
        <v>106</v>
      </c>
      <c r="BE840">
        <v>0</v>
      </c>
      <c r="BG840" t="s">
        <v>107</v>
      </c>
      <c r="BH840">
        <v>1999</v>
      </c>
      <c r="BI840" t="s">
        <v>101</v>
      </c>
      <c r="BJ840">
        <v>1</v>
      </c>
      <c r="BK840">
        <v>352</v>
      </c>
      <c r="BL840" t="s">
        <v>97</v>
      </c>
      <c r="BM840" t="s">
        <v>97</v>
      </c>
      <c r="BN840" t="s">
        <v>104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X840">
        <v>0</v>
      </c>
      <c r="BY840">
        <v>6</v>
      </c>
      <c r="BZ840">
        <v>2008</v>
      </c>
      <c r="CA840" t="s">
        <v>109</v>
      </c>
      <c r="CB840" t="s">
        <v>110</v>
      </c>
      <c r="CC840">
        <v>144000</v>
      </c>
    </row>
    <row r="841" spans="1:81" x14ac:dyDescent="0.3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H841" t="s">
        <v>83</v>
      </c>
      <c r="I841" t="s">
        <v>84</v>
      </c>
      <c r="J841" t="s">
        <v>85</v>
      </c>
      <c r="K841" t="s">
        <v>86</v>
      </c>
      <c r="L841" t="s">
        <v>87</v>
      </c>
      <c r="M841" t="s">
        <v>184</v>
      </c>
      <c r="N841" t="s">
        <v>89</v>
      </c>
      <c r="O841" t="s">
        <v>89</v>
      </c>
      <c r="P841" t="s">
        <v>90</v>
      </c>
      <c r="Q841" t="s">
        <v>131</v>
      </c>
      <c r="R841">
        <v>5</v>
      </c>
      <c r="S841">
        <v>6</v>
      </c>
      <c r="T841">
        <v>1946</v>
      </c>
      <c r="U841">
        <v>1995</v>
      </c>
      <c r="V841" t="s">
        <v>92</v>
      </c>
      <c r="W841" t="s">
        <v>93</v>
      </c>
      <c r="X841" t="s">
        <v>115</v>
      </c>
      <c r="Y841" t="s">
        <v>115</v>
      </c>
      <c r="Z841" t="s">
        <v>116</v>
      </c>
      <c r="AA841">
        <v>0</v>
      </c>
      <c r="AB841" t="s">
        <v>97</v>
      </c>
      <c r="AC841" t="s">
        <v>97</v>
      </c>
      <c r="AD841" t="s">
        <v>117</v>
      </c>
      <c r="AE841" t="s">
        <v>97</v>
      </c>
      <c r="AF841" t="s">
        <v>97</v>
      </c>
      <c r="AG841" t="s">
        <v>99</v>
      </c>
      <c r="AH841" t="s">
        <v>140</v>
      </c>
      <c r="AI841">
        <v>352</v>
      </c>
      <c r="AJ841" t="s">
        <v>101</v>
      </c>
      <c r="AK841">
        <v>0</v>
      </c>
      <c r="AL841">
        <v>416</v>
      </c>
      <c r="AM841">
        <v>768</v>
      </c>
      <c r="AN841" t="s">
        <v>102</v>
      </c>
      <c r="AO841" t="s">
        <v>103</v>
      </c>
      <c r="AP841" t="s">
        <v>104</v>
      </c>
      <c r="AQ841" t="s">
        <v>105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97</v>
      </c>
      <c r="BC841">
        <v>6</v>
      </c>
      <c r="BD841" t="s">
        <v>106</v>
      </c>
      <c r="BE841">
        <v>0</v>
      </c>
      <c r="BG841" t="s">
        <v>126</v>
      </c>
      <c r="BH841">
        <v>1946</v>
      </c>
      <c r="BI841" t="s">
        <v>101</v>
      </c>
      <c r="BJ841">
        <v>1</v>
      </c>
      <c r="BK841">
        <v>240</v>
      </c>
      <c r="BL841" t="s">
        <v>97</v>
      </c>
      <c r="BM841" t="s">
        <v>97</v>
      </c>
      <c r="BN841" t="s">
        <v>104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X841">
        <v>0</v>
      </c>
      <c r="BY841">
        <v>5</v>
      </c>
      <c r="BZ841">
        <v>2008</v>
      </c>
      <c r="CA841" t="s">
        <v>109</v>
      </c>
      <c r="CB841" t="s">
        <v>110</v>
      </c>
      <c r="CC841">
        <v>130500</v>
      </c>
    </row>
    <row r="842" spans="1:81" x14ac:dyDescent="0.3">
      <c r="A842">
        <v>841</v>
      </c>
      <c r="B842">
        <v>70</v>
      </c>
      <c r="C842" t="s">
        <v>238</v>
      </c>
      <c r="E842">
        <v>12155</v>
      </c>
      <c r="F842" t="s">
        <v>82</v>
      </c>
      <c r="H842" t="s">
        <v>119</v>
      </c>
      <c r="I842" t="s">
        <v>84</v>
      </c>
      <c r="J842" t="s">
        <v>85</v>
      </c>
      <c r="K842" t="s">
        <v>86</v>
      </c>
      <c r="L842" t="s">
        <v>87</v>
      </c>
      <c r="M842" t="s">
        <v>231</v>
      </c>
      <c r="N842" t="s">
        <v>89</v>
      </c>
      <c r="O842" t="s">
        <v>89</v>
      </c>
      <c r="P842" t="s">
        <v>90</v>
      </c>
      <c r="Q842" t="s">
        <v>91</v>
      </c>
      <c r="R842">
        <v>6</v>
      </c>
      <c r="S842">
        <v>8</v>
      </c>
      <c r="T842">
        <v>1925</v>
      </c>
      <c r="U842">
        <v>1950</v>
      </c>
      <c r="V842" t="s">
        <v>92</v>
      </c>
      <c r="W842" t="s">
        <v>93</v>
      </c>
      <c r="X842" t="s">
        <v>123</v>
      </c>
      <c r="Y842" t="s">
        <v>123</v>
      </c>
      <c r="Z842" t="s">
        <v>116</v>
      </c>
      <c r="AA842">
        <v>0</v>
      </c>
      <c r="AB842" t="s">
        <v>97</v>
      </c>
      <c r="AC842" t="s">
        <v>97</v>
      </c>
      <c r="AD842" t="s">
        <v>125</v>
      </c>
      <c r="AE842" t="s">
        <v>97</v>
      </c>
      <c r="AF842" t="s">
        <v>97</v>
      </c>
      <c r="AG842" t="s">
        <v>99</v>
      </c>
      <c r="AH842" t="s">
        <v>140</v>
      </c>
      <c r="AI842">
        <v>156</v>
      </c>
      <c r="AJ842" t="s">
        <v>101</v>
      </c>
      <c r="AK842">
        <v>0</v>
      </c>
      <c r="AL842">
        <v>516</v>
      </c>
      <c r="AM842">
        <v>672</v>
      </c>
      <c r="AN842" t="s">
        <v>102</v>
      </c>
      <c r="AO842" t="s">
        <v>97</v>
      </c>
      <c r="AP842" t="s">
        <v>176</v>
      </c>
      <c r="AQ842" t="s">
        <v>105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146</v>
      </c>
      <c r="BC842">
        <v>7</v>
      </c>
      <c r="BD842" t="s">
        <v>106</v>
      </c>
      <c r="BE842">
        <v>0</v>
      </c>
      <c r="BG842" t="s">
        <v>126</v>
      </c>
      <c r="BH842">
        <v>1934</v>
      </c>
      <c r="BI842" t="s">
        <v>101</v>
      </c>
      <c r="BJ842">
        <v>1</v>
      </c>
      <c r="BK842">
        <v>400</v>
      </c>
      <c r="BL842" t="s">
        <v>97</v>
      </c>
      <c r="BM842" t="s">
        <v>97</v>
      </c>
      <c r="BN842" t="s">
        <v>189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X842">
        <v>0</v>
      </c>
      <c r="BY842">
        <v>3</v>
      </c>
      <c r="BZ842">
        <v>2008</v>
      </c>
      <c r="CA842" t="s">
        <v>109</v>
      </c>
      <c r="CB842" t="s">
        <v>110</v>
      </c>
      <c r="CC842">
        <v>140000</v>
      </c>
    </row>
    <row r="843" spans="1:81" x14ac:dyDescent="0.3">
      <c r="A843">
        <v>842</v>
      </c>
      <c r="B843">
        <v>70</v>
      </c>
      <c r="C843" t="s">
        <v>141</v>
      </c>
      <c r="D843">
        <v>60</v>
      </c>
      <c r="E843">
        <v>10440</v>
      </c>
      <c r="F843" t="s">
        <v>82</v>
      </c>
      <c r="G843" t="s">
        <v>173</v>
      </c>
      <c r="H843" t="s">
        <v>83</v>
      </c>
      <c r="I843" t="s">
        <v>84</v>
      </c>
      <c r="J843" t="s">
        <v>85</v>
      </c>
      <c r="K843" t="s">
        <v>86</v>
      </c>
      <c r="L843" t="s">
        <v>87</v>
      </c>
      <c r="M843" t="s">
        <v>142</v>
      </c>
      <c r="N843" t="s">
        <v>89</v>
      </c>
      <c r="O843" t="s">
        <v>89</v>
      </c>
      <c r="P843" t="s">
        <v>90</v>
      </c>
      <c r="Q843" t="s">
        <v>91</v>
      </c>
      <c r="R843">
        <v>5</v>
      </c>
      <c r="S843">
        <v>8</v>
      </c>
      <c r="T843">
        <v>1904</v>
      </c>
      <c r="U843">
        <v>2002</v>
      </c>
      <c r="V843" t="s">
        <v>92</v>
      </c>
      <c r="W843" t="s">
        <v>93</v>
      </c>
      <c r="X843" t="s">
        <v>115</v>
      </c>
      <c r="Y843" t="s">
        <v>115</v>
      </c>
      <c r="Z843" t="s">
        <v>116</v>
      </c>
      <c r="AA843">
        <v>0</v>
      </c>
      <c r="AB843" t="s">
        <v>97</v>
      </c>
      <c r="AC843" t="s">
        <v>97</v>
      </c>
      <c r="AD843" t="s">
        <v>98</v>
      </c>
      <c r="AE843" t="s">
        <v>97</v>
      </c>
      <c r="AF843" t="s">
        <v>97</v>
      </c>
      <c r="AG843" t="s">
        <v>99</v>
      </c>
      <c r="AH843" t="s">
        <v>101</v>
      </c>
      <c r="AI843">
        <v>0</v>
      </c>
      <c r="AJ843" t="s">
        <v>101</v>
      </c>
      <c r="AK843">
        <v>0</v>
      </c>
      <c r="AL843">
        <v>650</v>
      </c>
      <c r="AM843">
        <v>650</v>
      </c>
      <c r="AN843" t="s">
        <v>102</v>
      </c>
      <c r="AO843" t="s">
        <v>96</v>
      </c>
      <c r="AP843" t="s">
        <v>104</v>
      </c>
      <c r="AQ843" t="s">
        <v>105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96</v>
      </c>
      <c r="BC843">
        <v>8</v>
      </c>
      <c r="BD843" t="s">
        <v>106</v>
      </c>
      <c r="BE843">
        <v>1</v>
      </c>
      <c r="BF843" t="s">
        <v>211</v>
      </c>
      <c r="BG843" t="s">
        <v>126</v>
      </c>
      <c r="BH843">
        <v>1983</v>
      </c>
      <c r="BI843" t="s">
        <v>101</v>
      </c>
      <c r="BJ843">
        <v>2</v>
      </c>
      <c r="BK843">
        <v>686</v>
      </c>
      <c r="BL843" t="s">
        <v>96</v>
      </c>
      <c r="BM843" t="s">
        <v>97</v>
      </c>
      <c r="BN843" t="s">
        <v>189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X843">
        <v>0</v>
      </c>
      <c r="BY843">
        <v>6</v>
      </c>
      <c r="BZ843">
        <v>2008</v>
      </c>
      <c r="CA843" t="s">
        <v>109</v>
      </c>
      <c r="CB843" t="s">
        <v>110</v>
      </c>
      <c r="CC843">
        <v>157500</v>
      </c>
    </row>
    <row r="844" spans="1:81" x14ac:dyDescent="0.3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H844" t="s">
        <v>83</v>
      </c>
      <c r="I844" t="s">
        <v>84</v>
      </c>
      <c r="J844" t="s">
        <v>85</v>
      </c>
      <c r="K844" t="s">
        <v>86</v>
      </c>
      <c r="L844" t="s">
        <v>87</v>
      </c>
      <c r="M844" t="s">
        <v>270</v>
      </c>
      <c r="N844" t="s">
        <v>89</v>
      </c>
      <c r="O844" t="s">
        <v>89</v>
      </c>
      <c r="P844" t="s">
        <v>90</v>
      </c>
      <c r="Q844" t="s">
        <v>196</v>
      </c>
      <c r="R844">
        <v>6</v>
      </c>
      <c r="S844">
        <v>7</v>
      </c>
      <c r="T844">
        <v>1966</v>
      </c>
      <c r="U844">
        <v>1966</v>
      </c>
      <c r="V844" t="s">
        <v>92</v>
      </c>
      <c r="W844" t="s">
        <v>93</v>
      </c>
      <c r="X844" t="s">
        <v>139</v>
      </c>
      <c r="Y844" t="s">
        <v>139</v>
      </c>
      <c r="Z844" t="s">
        <v>95</v>
      </c>
      <c r="AA844">
        <v>183</v>
      </c>
      <c r="AB844" t="s">
        <v>97</v>
      </c>
      <c r="AC844" t="s">
        <v>97</v>
      </c>
      <c r="AD844" t="s">
        <v>117</v>
      </c>
      <c r="AE844" t="s">
        <v>97</v>
      </c>
      <c r="AF844" t="s">
        <v>97</v>
      </c>
      <c r="AG844" t="s">
        <v>96</v>
      </c>
      <c r="AH844" t="s">
        <v>152</v>
      </c>
      <c r="AI844">
        <v>312</v>
      </c>
      <c r="AJ844" t="s">
        <v>118</v>
      </c>
      <c r="AK844">
        <v>539</v>
      </c>
      <c r="AL844">
        <v>276</v>
      </c>
      <c r="AM844">
        <v>1127</v>
      </c>
      <c r="AN844" t="s">
        <v>102</v>
      </c>
      <c r="AO844" t="s">
        <v>97</v>
      </c>
      <c r="AP844" t="s">
        <v>104</v>
      </c>
      <c r="AQ844" t="s">
        <v>105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97</v>
      </c>
      <c r="BC844">
        <v>6</v>
      </c>
      <c r="BD844" t="s">
        <v>106</v>
      </c>
      <c r="BE844">
        <v>0</v>
      </c>
      <c r="BG844" t="s">
        <v>107</v>
      </c>
      <c r="BH844">
        <v>1966</v>
      </c>
      <c r="BI844" t="s">
        <v>108</v>
      </c>
      <c r="BJ844">
        <v>2</v>
      </c>
      <c r="BK844">
        <v>490</v>
      </c>
      <c r="BL844" t="s">
        <v>96</v>
      </c>
      <c r="BM844" t="s">
        <v>96</v>
      </c>
      <c r="BN844" t="s">
        <v>104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V844" t="s">
        <v>164</v>
      </c>
      <c r="BX844">
        <v>0</v>
      </c>
      <c r="BY844">
        <v>5</v>
      </c>
      <c r="BZ844">
        <v>2008</v>
      </c>
      <c r="CA844" t="s">
        <v>109</v>
      </c>
      <c r="CB844" t="s">
        <v>110</v>
      </c>
      <c r="CC844">
        <v>174900</v>
      </c>
    </row>
    <row r="845" spans="1:81" x14ac:dyDescent="0.3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H845" t="s">
        <v>83</v>
      </c>
      <c r="I845" t="s">
        <v>84</v>
      </c>
      <c r="J845" t="s">
        <v>85</v>
      </c>
      <c r="K845" t="s">
        <v>121</v>
      </c>
      <c r="L845" t="s">
        <v>87</v>
      </c>
      <c r="M845" t="s">
        <v>270</v>
      </c>
      <c r="N845" t="s">
        <v>143</v>
      </c>
      <c r="O845" t="s">
        <v>89</v>
      </c>
      <c r="P845" t="s">
        <v>166</v>
      </c>
      <c r="Q845" t="s">
        <v>114</v>
      </c>
      <c r="R845">
        <v>5</v>
      </c>
      <c r="S845">
        <v>4</v>
      </c>
      <c r="T845">
        <v>1961</v>
      </c>
      <c r="U845">
        <v>1961</v>
      </c>
      <c r="V845" t="s">
        <v>92</v>
      </c>
      <c r="W845" t="s">
        <v>93</v>
      </c>
      <c r="X845" t="s">
        <v>95</v>
      </c>
      <c r="Y845" t="s">
        <v>95</v>
      </c>
      <c r="Z845" t="s">
        <v>116</v>
      </c>
      <c r="AA845">
        <v>0</v>
      </c>
      <c r="AB845" t="s">
        <v>97</v>
      </c>
      <c r="AC845" t="s">
        <v>97</v>
      </c>
      <c r="AD845" t="s">
        <v>117</v>
      </c>
      <c r="AE845" t="s">
        <v>97</v>
      </c>
      <c r="AF845" t="s">
        <v>97</v>
      </c>
      <c r="AG845" t="s">
        <v>99</v>
      </c>
      <c r="AH845" t="s">
        <v>101</v>
      </c>
      <c r="AI845">
        <v>0</v>
      </c>
      <c r="AJ845" t="s">
        <v>101</v>
      </c>
      <c r="AK845">
        <v>0</v>
      </c>
      <c r="AL845">
        <v>1800</v>
      </c>
      <c r="AM845">
        <v>1800</v>
      </c>
      <c r="AN845" t="s">
        <v>102</v>
      </c>
      <c r="AO845" t="s">
        <v>103</v>
      </c>
      <c r="AP845" t="s">
        <v>176</v>
      </c>
      <c r="AQ845" t="s">
        <v>105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97</v>
      </c>
      <c r="BC845">
        <v>10</v>
      </c>
      <c r="BD845" t="s">
        <v>106</v>
      </c>
      <c r="BE845">
        <v>0</v>
      </c>
      <c r="BJ845">
        <v>0</v>
      </c>
      <c r="BK845">
        <v>0</v>
      </c>
      <c r="BN845" t="s">
        <v>104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X845">
        <v>0</v>
      </c>
      <c r="BY845">
        <v>7</v>
      </c>
      <c r="BZ845">
        <v>2007</v>
      </c>
      <c r="CA845" t="s">
        <v>109</v>
      </c>
      <c r="CB845" t="s">
        <v>110</v>
      </c>
      <c r="CC845">
        <v>141000</v>
      </c>
    </row>
    <row r="846" spans="1:81" x14ac:dyDescent="0.3">
      <c r="A846">
        <v>845</v>
      </c>
      <c r="B846">
        <v>50</v>
      </c>
      <c r="C846" t="s">
        <v>141</v>
      </c>
      <c r="D846">
        <v>100</v>
      </c>
      <c r="E846">
        <v>12665</v>
      </c>
      <c r="F846" t="s">
        <v>82</v>
      </c>
      <c r="G846" t="s">
        <v>173</v>
      </c>
      <c r="H846" t="s">
        <v>119</v>
      </c>
      <c r="I846" t="s">
        <v>84</v>
      </c>
      <c r="J846" t="s">
        <v>85</v>
      </c>
      <c r="K846" t="s">
        <v>86</v>
      </c>
      <c r="L846" t="s">
        <v>87</v>
      </c>
      <c r="M846" t="s">
        <v>142</v>
      </c>
      <c r="N846" t="s">
        <v>143</v>
      </c>
      <c r="O846" t="s">
        <v>89</v>
      </c>
      <c r="P846" t="s">
        <v>90</v>
      </c>
      <c r="Q846" t="s">
        <v>131</v>
      </c>
      <c r="R846">
        <v>5</v>
      </c>
      <c r="S846">
        <v>8</v>
      </c>
      <c r="T846">
        <v>1915</v>
      </c>
      <c r="U846">
        <v>1950</v>
      </c>
      <c r="V846" t="s">
        <v>92</v>
      </c>
      <c r="W846" t="s">
        <v>93</v>
      </c>
      <c r="X846" t="s">
        <v>123</v>
      </c>
      <c r="Y846" t="s">
        <v>123</v>
      </c>
      <c r="Z846" t="s">
        <v>116</v>
      </c>
      <c r="AA846">
        <v>0</v>
      </c>
      <c r="AB846" t="s">
        <v>97</v>
      </c>
      <c r="AC846" t="s">
        <v>97</v>
      </c>
      <c r="AD846" t="s">
        <v>125</v>
      </c>
      <c r="AE846" t="s">
        <v>97</v>
      </c>
      <c r="AF846" t="s">
        <v>97</v>
      </c>
      <c r="AG846" t="s">
        <v>120</v>
      </c>
      <c r="AH846" t="s">
        <v>101</v>
      </c>
      <c r="AI846">
        <v>0</v>
      </c>
      <c r="AJ846" t="s">
        <v>101</v>
      </c>
      <c r="AK846">
        <v>0</v>
      </c>
      <c r="AL846">
        <v>876</v>
      </c>
      <c r="AM846">
        <v>876</v>
      </c>
      <c r="AN846" t="s">
        <v>102</v>
      </c>
      <c r="AO846" t="s">
        <v>96</v>
      </c>
      <c r="AP846" t="s">
        <v>104</v>
      </c>
      <c r="AQ846" t="s">
        <v>105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97</v>
      </c>
      <c r="BC846">
        <v>7</v>
      </c>
      <c r="BD846" t="s">
        <v>106</v>
      </c>
      <c r="BE846">
        <v>1</v>
      </c>
      <c r="BF846" t="s">
        <v>96</v>
      </c>
      <c r="BG846" t="s">
        <v>126</v>
      </c>
      <c r="BH846">
        <v>1949</v>
      </c>
      <c r="BI846" t="s">
        <v>101</v>
      </c>
      <c r="BJ846">
        <v>3</v>
      </c>
      <c r="BK846">
        <v>720</v>
      </c>
      <c r="BL846" t="s">
        <v>97</v>
      </c>
      <c r="BM846" t="s">
        <v>97</v>
      </c>
      <c r="BN846" t="s">
        <v>104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X846">
        <v>0</v>
      </c>
      <c r="BY846">
        <v>6</v>
      </c>
      <c r="BZ846">
        <v>2008</v>
      </c>
      <c r="CA846" t="s">
        <v>109</v>
      </c>
      <c r="CB846" t="s">
        <v>110</v>
      </c>
      <c r="CC846">
        <v>153900</v>
      </c>
    </row>
    <row r="847" spans="1:81" x14ac:dyDescent="0.3">
      <c r="A847">
        <v>846</v>
      </c>
      <c r="B847">
        <v>85</v>
      </c>
      <c r="C847" t="s">
        <v>81</v>
      </c>
      <c r="E847">
        <v>16647</v>
      </c>
      <c r="F847" t="s">
        <v>82</v>
      </c>
      <c r="H847" t="s">
        <v>119</v>
      </c>
      <c r="I847" t="s">
        <v>84</v>
      </c>
      <c r="J847" t="s">
        <v>85</v>
      </c>
      <c r="K847" t="s">
        <v>165</v>
      </c>
      <c r="L847" t="s">
        <v>87</v>
      </c>
      <c r="M847" t="s">
        <v>150</v>
      </c>
      <c r="N847" t="s">
        <v>170</v>
      </c>
      <c r="O847" t="s">
        <v>89</v>
      </c>
      <c r="P847" t="s">
        <v>90</v>
      </c>
      <c r="Q847" t="s">
        <v>190</v>
      </c>
      <c r="R847">
        <v>5</v>
      </c>
      <c r="S847">
        <v>5</v>
      </c>
      <c r="T847">
        <v>1975</v>
      </c>
      <c r="U847">
        <v>1981</v>
      </c>
      <c r="V847" t="s">
        <v>92</v>
      </c>
      <c r="W847" t="s">
        <v>93</v>
      </c>
      <c r="X847" t="s">
        <v>139</v>
      </c>
      <c r="Y847" t="s">
        <v>139</v>
      </c>
      <c r="Z847" t="s">
        <v>116</v>
      </c>
      <c r="AA847">
        <v>0</v>
      </c>
      <c r="AB847" t="s">
        <v>97</v>
      </c>
      <c r="AC847" t="s">
        <v>97</v>
      </c>
      <c r="AD847" t="s">
        <v>117</v>
      </c>
      <c r="AE847" t="s">
        <v>96</v>
      </c>
      <c r="AF847" t="s">
        <v>97</v>
      </c>
      <c r="AG847" t="s">
        <v>96</v>
      </c>
      <c r="AH847" t="s">
        <v>118</v>
      </c>
      <c r="AI847">
        <v>1390</v>
      </c>
      <c r="AJ847" t="s">
        <v>101</v>
      </c>
      <c r="AK847">
        <v>0</v>
      </c>
      <c r="AL847">
        <v>0</v>
      </c>
      <c r="AM847">
        <v>1390</v>
      </c>
      <c r="AN847" t="s">
        <v>102</v>
      </c>
      <c r="AO847" t="s">
        <v>97</v>
      </c>
      <c r="AP847" t="s">
        <v>104</v>
      </c>
      <c r="AQ847" t="s">
        <v>105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97</v>
      </c>
      <c r="BC847">
        <v>6</v>
      </c>
      <c r="BD847" t="s">
        <v>223</v>
      </c>
      <c r="BE847">
        <v>2</v>
      </c>
      <c r="BF847" t="s">
        <v>97</v>
      </c>
      <c r="BG847" t="s">
        <v>208</v>
      </c>
      <c r="BH847">
        <v>1975</v>
      </c>
      <c r="BI847" t="s">
        <v>156</v>
      </c>
      <c r="BJ847">
        <v>2</v>
      </c>
      <c r="BK847">
        <v>611</v>
      </c>
      <c r="BL847" t="s">
        <v>97</v>
      </c>
      <c r="BM847" t="s">
        <v>97</v>
      </c>
      <c r="BN847" t="s">
        <v>104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X847">
        <v>0</v>
      </c>
      <c r="BY847">
        <v>1</v>
      </c>
      <c r="BZ847">
        <v>2007</v>
      </c>
      <c r="CA847" t="s">
        <v>109</v>
      </c>
      <c r="CB847" t="s">
        <v>110</v>
      </c>
      <c r="CC847">
        <v>171000</v>
      </c>
    </row>
    <row r="848" spans="1:81" x14ac:dyDescent="0.3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H848" t="s">
        <v>83</v>
      </c>
      <c r="I848" t="s">
        <v>84</v>
      </c>
      <c r="J848" t="s">
        <v>85</v>
      </c>
      <c r="K848" t="s">
        <v>86</v>
      </c>
      <c r="L848" t="s">
        <v>87</v>
      </c>
      <c r="M848" t="s">
        <v>169</v>
      </c>
      <c r="N848" t="s">
        <v>89</v>
      </c>
      <c r="O848" t="s">
        <v>89</v>
      </c>
      <c r="P848" t="s">
        <v>90</v>
      </c>
      <c r="Q848" t="s">
        <v>91</v>
      </c>
      <c r="R848">
        <v>7</v>
      </c>
      <c r="S848">
        <v>5</v>
      </c>
      <c r="T848">
        <v>1993</v>
      </c>
      <c r="U848">
        <v>1993</v>
      </c>
      <c r="V848" t="s">
        <v>92</v>
      </c>
      <c r="W848" t="s">
        <v>93</v>
      </c>
      <c r="X848" t="s">
        <v>139</v>
      </c>
      <c r="Y848" t="s">
        <v>139</v>
      </c>
      <c r="Z848" t="s">
        <v>95</v>
      </c>
      <c r="AA848">
        <v>137</v>
      </c>
      <c r="AB848" t="s">
        <v>96</v>
      </c>
      <c r="AC848" t="s">
        <v>97</v>
      </c>
      <c r="AD848" t="s">
        <v>98</v>
      </c>
      <c r="AE848" t="s">
        <v>96</v>
      </c>
      <c r="AF848" t="s">
        <v>97</v>
      </c>
      <c r="AG848" t="s">
        <v>99</v>
      </c>
      <c r="AH848" t="s">
        <v>118</v>
      </c>
      <c r="AI848">
        <v>513</v>
      </c>
      <c r="AJ848" t="s">
        <v>101</v>
      </c>
      <c r="AK848">
        <v>0</v>
      </c>
      <c r="AL848">
        <v>227</v>
      </c>
      <c r="AM848">
        <v>740</v>
      </c>
      <c r="AN848" t="s">
        <v>102</v>
      </c>
      <c r="AO848" t="s">
        <v>103</v>
      </c>
      <c r="AP848" t="s">
        <v>104</v>
      </c>
      <c r="AQ848" t="s">
        <v>105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96</v>
      </c>
      <c r="BC848">
        <v>7</v>
      </c>
      <c r="BD848" t="s">
        <v>106</v>
      </c>
      <c r="BE848">
        <v>1</v>
      </c>
      <c r="BF848" t="s">
        <v>97</v>
      </c>
      <c r="BG848" t="s">
        <v>107</v>
      </c>
      <c r="BH848">
        <v>1993</v>
      </c>
      <c r="BI848" t="s">
        <v>101</v>
      </c>
      <c r="BJ848">
        <v>2</v>
      </c>
      <c r="BK848">
        <v>425</v>
      </c>
      <c r="BL848" t="s">
        <v>97</v>
      </c>
      <c r="BM848" t="s">
        <v>97</v>
      </c>
      <c r="BN848" t="s">
        <v>104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X848">
        <v>0</v>
      </c>
      <c r="BY848">
        <v>7</v>
      </c>
      <c r="BZ848">
        <v>2009</v>
      </c>
      <c r="CA848" t="s">
        <v>109</v>
      </c>
      <c r="CB848" t="s">
        <v>110</v>
      </c>
      <c r="CC848">
        <v>213000</v>
      </c>
    </row>
    <row r="849" spans="1:81" x14ac:dyDescent="0.3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H849" t="s">
        <v>119</v>
      </c>
      <c r="I849" t="s">
        <v>84</v>
      </c>
      <c r="J849" t="s">
        <v>85</v>
      </c>
      <c r="K849" t="s">
        <v>165</v>
      </c>
      <c r="L849" t="s">
        <v>87</v>
      </c>
      <c r="M849" t="s">
        <v>88</v>
      </c>
      <c r="N849" t="s">
        <v>89</v>
      </c>
      <c r="O849" t="s">
        <v>89</v>
      </c>
      <c r="P849" t="s">
        <v>90</v>
      </c>
      <c r="Q849" t="s">
        <v>114</v>
      </c>
      <c r="R849">
        <v>5</v>
      </c>
      <c r="S849">
        <v>6</v>
      </c>
      <c r="T849">
        <v>1972</v>
      </c>
      <c r="U849">
        <v>1972</v>
      </c>
      <c r="V849" t="s">
        <v>92</v>
      </c>
      <c r="W849" t="s">
        <v>93</v>
      </c>
      <c r="X849" t="s">
        <v>139</v>
      </c>
      <c r="Y849" t="s">
        <v>160</v>
      </c>
      <c r="Z849" t="s">
        <v>116</v>
      </c>
      <c r="AA849">
        <v>0</v>
      </c>
      <c r="AB849" t="s">
        <v>97</v>
      </c>
      <c r="AC849" t="s">
        <v>97</v>
      </c>
      <c r="AD849" t="s">
        <v>117</v>
      </c>
      <c r="AE849" t="s">
        <v>97</v>
      </c>
      <c r="AF849" t="s">
        <v>97</v>
      </c>
      <c r="AG849" t="s">
        <v>129</v>
      </c>
      <c r="AH849" t="s">
        <v>140</v>
      </c>
      <c r="AI849">
        <v>460</v>
      </c>
      <c r="AJ849" t="s">
        <v>101</v>
      </c>
      <c r="AK849">
        <v>0</v>
      </c>
      <c r="AL849">
        <v>404</v>
      </c>
      <c r="AM849">
        <v>864</v>
      </c>
      <c r="AN849" t="s">
        <v>102</v>
      </c>
      <c r="AO849" t="s">
        <v>103</v>
      </c>
      <c r="AP849" t="s">
        <v>104</v>
      </c>
      <c r="AQ849" t="s">
        <v>105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97</v>
      </c>
      <c r="BC849">
        <v>5</v>
      </c>
      <c r="BD849" t="s">
        <v>106</v>
      </c>
      <c r="BE849">
        <v>1</v>
      </c>
      <c r="BF849" t="s">
        <v>146</v>
      </c>
      <c r="BG849" t="s">
        <v>107</v>
      </c>
      <c r="BH849">
        <v>1972</v>
      </c>
      <c r="BI849" t="s">
        <v>101</v>
      </c>
      <c r="BJ849">
        <v>1</v>
      </c>
      <c r="BK849">
        <v>338</v>
      </c>
      <c r="BL849" t="s">
        <v>97</v>
      </c>
      <c r="BM849" t="s">
        <v>97</v>
      </c>
      <c r="BN849" t="s">
        <v>104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X849">
        <v>0</v>
      </c>
      <c r="BY849">
        <v>8</v>
      </c>
      <c r="BZ849">
        <v>2009</v>
      </c>
      <c r="CA849" t="s">
        <v>109</v>
      </c>
      <c r="CB849" t="s">
        <v>110</v>
      </c>
      <c r="CC849">
        <v>133500</v>
      </c>
    </row>
    <row r="850" spans="1:81" x14ac:dyDescent="0.3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H850" t="s">
        <v>159</v>
      </c>
      <c r="I850" t="s">
        <v>174</v>
      </c>
      <c r="J850" t="s">
        <v>85</v>
      </c>
      <c r="K850" t="s">
        <v>86</v>
      </c>
      <c r="L850" t="s">
        <v>87</v>
      </c>
      <c r="M850" t="s">
        <v>204</v>
      </c>
      <c r="N850" t="s">
        <v>89</v>
      </c>
      <c r="O850" t="s">
        <v>89</v>
      </c>
      <c r="P850" t="s">
        <v>90</v>
      </c>
      <c r="Q850" t="s">
        <v>131</v>
      </c>
      <c r="R850">
        <v>6</v>
      </c>
      <c r="S850">
        <v>8</v>
      </c>
      <c r="T850">
        <v>1908</v>
      </c>
      <c r="U850">
        <v>1997</v>
      </c>
      <c r="V850" t="s">
        <v>92</v>
      </c>
      <c r="W850" t="s">
        <v>93</v>
      </c>
      <c r="X850" t="s">
        <v>123</v>
      </c>
      <c r="Y850" t="s">
        <v>123</v>
      </c>
      <c r="Z850" t="s">
        <v>116</v>
      </c>
      <c r="AA850">
        <v>0</v>
      </c>
      <c r="AB850" t="s">
        <v>97</v>
      </c>
      <c r="AC850" t="s">
        <v>97</v>
      </c>
      <c r="AD850" t="s">
        <v>125</v>
      </c>
      <c r="AE850" t="s">
        <v>97</v>
      </c>
      <c r="AF850" t="s">
        <v>97</v>
      </c>
      <c r="AG850" t="s">
        <v>99</v>
      </c>
      <c r="AH850" t="s">
        <v>101</v>
      </c>
      <c r="AI850">
        <v>0</v>
      </c>
      <c r="AJ850" t="s">
        <v>101</v>
      </c>
      <c r="AK850">
        <v>0</v>
      </c>
      <c r="AL850">
        <v>907</v>
      </c>
      <c r="AM850">
        <v>907</v>
      </c>
      <c r="AN850" t="s">
        <v>102</v>
      </c>
      <c r="AO850" t="s">
        <v>97</v>
      </c>
      <c r="AP850" t="s">
        <v>104</v>
      </c>
      <c r="AQ850" t="s">
        <v>105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97</v>
      </c>
      <c r="BC850">
        <v>10</v>
      </c>
      <c r="BD850" t="s">
        <v>106</v>
      </c>
      <c r="BE850">
        <v>1</v>
      </c>
      <c r="BF850" t="s">
        <v>96</v>
      </c>
      <c r="BG850" t="s">
        <v>126</v>
      </c>
      <c r="BH850">
        <v>1908</v>
      </c>
      <c r="BI850" t="s">
        <v>101</v>
      </c>
      <c r="BJ850">
        <v>2</v>
      </c>
      <c r="BK850">
        <v>360</v>
      </c>
      <c r="BL850" t="s">
        <v>146</v>
      </c>
      <c r="BM850" t="s">
        <v>97</v>
      </c>
      <c r="BN850" t="s">
        <v>104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X850">
        <v>0</v>
      </c>
      <c r="BY850">
        <v>9</v>
      </c>
      <c r="BZ850">
        <v>2008</v>
      </c>
      <c r="CA850" t="s">
        <v>109</v>
      </c>
      <c r="CB850" t="s">
        <v>110</v>
      </c>
      <c r="CC850">
        <v>240000</v>
      </c>
    </row>
    <row r="851" spans="1:81" x14ac:dyDescent="0.3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H851" t="s">
        <v>83</v>
      </c>
      <c r="I851" t="s">
        <v>84</v>
      </c>
      <c r="J851" t="s">
        <v>85</v>
      </c>
      <c r="K851" t="s">
        <v>111</v>
      </c>
      <c r="L851" t="s">
        <v>87</v>
      </c>
      <c r="M851" t="s">
        <v>112</v>
      </c>
      <c r="N851" t="s">
        <v>113</v>
      </c>
      <c r="O851" t="s">
        <v>89</v>
      </c>
      <c r="P851" t="s">
        <v>90</v>
      </c>
      <c r="Q851" t="s">
        <v>196</v>
      </c>
      <c r="R851">
        <v>6</v>
      </c>
      <c r="S851">
        <v>7</v>
      </c>
      <c r="T851">
        <v>1976</v>
      </c>
      <c r="U851">
        <v>1994</v>
      </c>
      <c r="V851" t="s">
        <v>151</v>
      </c>
      <c r="W851" t="s">
        <v>93</v>
      </c>
      <c r="X851" t="s">
        <v>160</v>
      </c>
      <c r="Y851" t="s">
        <v>160</v>
      </c>
      <c r="Z851" t="s">
        <v>95</v>
      </c>
      <c r="AA851">
        <v>360</v>
      </c>
      <c r="AB851" t="s">
        <v>96</v>
      </c>
      <c r="AC851" t="s">
        <v>96</v>
      </c>
      <c r="AD851" t="s">
        <v>117</v>
      </c>
      <c r="AE851" t="s">
        <v>97</v>
      </c>
      <c r="AF851" t="s">
        <v>97</v>
      </c>
      <c r="AG851" t="s">
        <v>99</v>
      </c>
      <c r="AH851" t="s">
        <v>101</v>
      </c>
      <c r="AI851">
        <v>0</v>
      </c>
      <c r="AJ851" t="s">
        <v>101</v>
      </c>
      <c r="AK851">
        <v>0</v>
      </c>
      <c r="AL851">
        <v>528</v>
      </c>
      <c r="AM851">
        <v>528</v>
      </c>
      <c r="AN851" t="s">
        <v>102</v>
      </c>
      <c r="AO851" t="s">
        <v>103</v>
      </c>
      <c r="AP851" t="s">
        <v>104</v>
      </c>
      <c r="AQ851" t="s">
        <v>105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97</v>
      </c>
      <c r="BC851">
        <v>7</v>
      </c>
      <c r="BD851" t="s">
        <v>106</v>
      </c>
      <c r="BE851">
        <v>1</v>
      </c>
      <c r="BF851" t="s">
        <v>97</v>
      </c>
      <c r="BG851" t="s">
        <v>107</v>
      </c>
      <c r="BH851">
        <v>1976</v>
      </c>
      <c r="BI851" t="s">
        <v>108</v>
      </c>
      <c r="BJ851">
        <v>2</v>
      </c>
      <c r="BK851">
        <v>512</v>
      </c>
      <c r="BL851" t="s">
        <v>97</v>
      </c>
      <c r="BM851" t="s">
        <v>97</v>
      </c>
      <c r="BN851" t="s">
        <v>104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X851">
        <v>0</v>
      </c>
      <c r="BY851">
        <v>8</v>
      </c>
      <c r="BZ851">
        <v>2007</v>
      </c>
      <c r="CA851" t="s">
        <v>109</v>
      </c>
      <c r="CB851" t="s">
        <v>110</v>
      </c>
      <c r="CC851">
        <v>187000</v>
      </c>
    </row>
    <row r="852" spans="1:81" x14ac:dyDescent="0.3">
      <c r="A852">
        <v>851</v>
      </c>
      <c r="B852">
        <v>120</v>
      </c>
      <c r="C852" t="s">
        <v>141</v>
      </c>
      <c r="D852">
        <v>36</v>
      </c>
      <c r="E852">
        <v>4435</v>
      </c>
      <c r="F852" t="s">
        <v>82</v>
      </c>
      <c r="H852" t="s">
        <v>83</v>
      </c>
      <c r="I852" t="s">
        <v>84</v>
      </c>
      <c r="J852" t="s">
        <v>85</v>
      </c>
      <c r="K852" t="s">
        <v>86</v>
      </c>
      <c r="L852" t="s">
        <v>87</v>
      </c>
      <c r="M852" t="s">
        <v>88</v>
      </c>
      <c r="N852" t="s">
        <v>89</v>
      </c>
      <c r="O852" t="s">
        <v>89</v>
      </c>
      <c r="P852" t="s">
        <v>178</v>
      </c>
      <c r="Q852" t="s">
        <v>114</v>
      </c>
      <c r="R852">
        <v>6</v>
      </c>
      <c r="S852">
        <v>5</v>
      </c>
      <c r="T852">
        <v>2003</v>
      </c>
      <c r="U852">
        <v>2003</v>
      </c>
      <c r="V852" t="s">
        <v>92</v>
      </c>
      <c r="W852" t="s">
        <v>93</v>
      </c>
      <c r="X852" t="s">
        <v>94</v>
      </c>
      <c r="Y852" t="s">
        <v>94</v>
      </c>
      <c r="Z852" t="s">
        <v>95</v>
      </c>
      <c r="AA852">
        <v>170</v>
      </c>
      <c r="AB852" t="s">
        <v>96</v>
      </c>
      <c r="AC852" t="s">
        <v>97</v>
      </c>
      <c r="AD852" t="s">
        <v>98</v>
      </c>
      <c r="AE852" t="s">
        <v>96</v>
      </c>
      <c r="AF852" t="s">
        <v>97</v>
      </c>
      <c r="AG852" t="s">
        <v>129</v>
      </c>
      <c r="AH852" t="s">
        <v>100</v>
      </c>
      <c r="AI852">
        <v>659</v>
      </c>
      <c r="AJ852" t="s">
        <v>101</v>
      </c>
      <c r="AK852">
        <v>0</v>
      </c>
      <c r="AL852">
        <v>189</v>
      </c>
      <c r="AM852">
        <v>848</v>
      </c>
      <c r="AN852" t="s">
        <v>102</v>
      </c>
      <c r="AO852" t="s">
        <v>103</v>
      </c>
      <c r="AP852" t="s">
        <v>104</v>
      </c>
      <c r="AQ852" t="s">
        <v>105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96</v>
      </c>
      <c r="BC852">
        <v>3</v>
      </c>
      <c r="BD852" t="s">
        <v>106</v>
      </c>
      <c r="BE852">
        <v>0</v>
      </c>
      <c r="BG852" t="s">
        <v>107</v>
      </c>
      <c r="BH852">
        <v>2003</v>
      </c>
      <c r="BI852" t="s">
        <v>156</v>
      </c>
      <c r="BJ852">
        <v>2</v>
      </c>
      <c r="BK852">
        <v>420</v>
      </c>
      <c r="BL852" t="s">
        <v>97</v>
      </c>
      <c r="BM852" t="s">
        <v>97</v>
      </c>
      <c r="BN852" t="s">
        <v>104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X852">
        <v>0</v>
      </c>
      <c r="BY852">
        <v>11</v>
      </c>
      <c r="BZ852">
        <v>2007</v>
      </c>
      <c r="CA852" t="s">
        <v>109</v>
      </c>
      <c r="CB852" t="s">
        <v>110</v>
      </c>
      <c r="CC852">
        <v>131500</v>
      </c>
    </row>
    <row r="853" spans="1:81" x14ac:dyDescent="0.3">
      <c r="A853">
        <v>852</v>
      </c>
      <c r="B853">
        <v>120</v>
      </c>
      <c r="C853" t="s">
        <v>81</v>
      </c>
      <c r="E853">
        <v>3196</v>
      </c>
      <c r="F853" t="s">
        <v>82</v>
      </c>
      <c r="H853" t="s">
        <v>83</v>
      </c>
      <c r="I853" t="s">
        <v>84</v>
      </c>
      <c r="J853" t="s">
        <v>85</v>
      </c>
      <c r="K853" t="s">
        <v>86</v>
      </c>
      <c r="L853" t="s">
        <v>87</v>
      </c>
      <c r="M853" t="s">
        <v>226</v>
      </c>
      <c r="N853" t="s">
        <v>89</v>
      </c>
      <c r="O853" t="s">
        <v>89</v>
      </c>
      <c r="P853" t="s">
        <v>178</v>
      </c>
      <c r="Q853" t="s">
        <v>114</v>
      </c>
      <c r="R853">
        <v>8</v>
      </c>
      <c r="S853">
        <v>5</v>
      </c>
      <c r="T853">
        <v>2003</v>
      </c>
      <c r="U853">
        <v>2003</v>
      </c>
      <c r="V853" t="s">
        <v>92</v>
      </c>
      <c r="W853" t="s">
        <v>93</v>
      </c>
      <c r="X853" t="s">
        <v>94</v>
      </c>
      <c r="Y853" t="s">
        <v>94</v>
      </c>
      <c r="Z853" t="s">
        <v>95</v>
      </c>
      <c r="AA853">
        <v>40</v>
      </c>
      <c r="AB853" t="s">
        <v>96</v>
      </c>
      <c r="AC853" t="s">
        <v>97</v>
      </c>
      <c r="AD853" t="s">
        <v>98</v>
      </c>
      <c r="AE853" t="s">
        <v>96</v>
      </c>
      <c r="AF853" t="s">
        <v>97</v>
      </c>
      <c r="AG853" t="s">
        <v>96</v>
      </c>
      <c r="AH853" t="s">
        <v>101</v>
      </c>
      <c r="AI853">
        <v>0</v>
      </c>
      <c r="AJ853" t="s">
        <v>101</v>
      </c>
      <c r="AK853">
        <v>0</v>
      </c>
      <c r="AL853">
        <v>1273</v>
      </c>
      <c r="AM853">
        <v>1273</v>
      </c>
      <c r="AN853" t="s">
        <v>102</v>
      </c>
      <c r="AO853" t="s">
        <v>103</v>
      </c>
      <c r="AP853" t="s">
        <v>104</v>
      </c>
      <c r="AQ853" t="s">
        <v>105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96</v>
      </c>
      <c r="BC853">
        <v>7</v>
      </c>
      <c r="BD853" t="s">
        <v>106</v>
      </c>
      <c r="BE853">
        <v>1</v>
      </c>
      <c r="BF853" t="s">
        <v>97</v>
      </c>
      <c r="BG853" t="s">
        <v>107</v>
      </c>
      <c r="BH853">
        <v>2003</v>
      </c>
      <c r="BI853" t="s">
        <v>156</v>
      </c>
      <c r="BJ853">
        <v>2</v>
      </c>
      <c r="BK853">
        <v>400</v>
      </c>
      <c r="BL853" t="s">
        <v>97</v>
      </c>
      <c r="BM853" t="s">
        <v>97</v>
      </c>
      <c r="BN853" t="s">
        <v>104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X853">
        <v>0</v>
      </c>
      <c r="BY853">
        <v>5</v>
      </c>
      <c r="BZ853">
        <v>2006</v>
      </c>
      <c r="CA853" t="s">
        <v>109</v>
      </c>
      <c r="CB853" t="s">
        <v>110</v>
      </c>
      <c r="CC853">
        <v>215000</v>
      </c>
    </row>
    <row r="854" spans="1:81" x14ac:dyDescent="0.3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H854" t="s">
        <v>83</v>
      </c>
      <c r="I854" t="s">
        <v>84</v>
      </c>
      <c r="J854" t="s">
        <v>85</v>
      </c>
      <c r="K854" t="s">
        <v>86</v>
      </c>
      <c r="L854" t="s">
        <v>87</v>
      </c>
      <c r="M854" t="s">
        <v>122</v>
      </c>
      <c r="N854" t="s">
        <v>89</v>
      </c>
      <c r="O854" t="s">
        <v>89</v>
      </c>
      <c r="P854" t="s">
        <v>90</v>
      </c>
      <c r="Q854" t="s">
        <v>200</v>
      </c>
      <c r="R854">
        <v>7</v>
      </c>
      <c r="S854">
        <v>5</v>
      </c>
      <c r="T854">
        <v>1941</v>
      </c>
      <c r="U854">
        <v>1950</v>
      </c>
      <c r="V854" t="s">
        <v>92</v>
      </c>
      <c r="W854" t="s">
        <v>93</v>
      </c>
      <c r="X854" t="s">
        <v>115</v>
      </c>
      <c r="Y854" t="s">
        <v>115</v>
      </c>
      <c r="Z854" t="s">
        <v>116</v>
      </c>
      <c r="AA854">
        <v>0</v>
      </c>
      <c r="AB854" t="s">
        <v>97</v>
      </c>
      <c r="AC854" t="s">
        <v>96</v>
      </c>
      <c r="AD854" t="s">
        <v>117</v>
      </c>
      <c r="AE854" t="s">
        <v>97</v>
      </c>
      <c r="AF854" t="s">
        <v>97</v>
      </c>
      <c r="AG854" t="s">
        <v>99</v>
      </c>
      <c r="AH854" t="s">
        <v>152</v>
      </c>
      <c r="AI854">
        <v>364</v>
      </c>
      <c r="AJ854" t="s">
        <v>101</v>
      </c>
      <c r="AK854">
        <v>0</v>
      </c>
      <c r="AL854">
        <v>554</v>
      </c>
      <c r="AM854">
        <v>918</v>
      </c>
      <c r="AN854" t="s">
        <v>102</v>
      </c>
      <c r="AO854" t="s">
        <v>96</v>
      </c>
      <c r="AP854" t="s">
        <v>104</v>
      </c>
      <c r="AQ854" t="s">
        <v>105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97</v>
      </c>
      <c r="BC854">
        <v>7</v>
      </c>
      <c r="BD854" t="s">
        <v>106</v>
      </c>
      <c r="BE854">
        <v>2</v>
      </c>
      <c r="BF854" t="s">
        <v>96</v>
      </c>
      <c r="BG854" t="s">
        <v>126</v>
      </c>
      <c r="BH854">
        <v>1941</v>
      </c>
      <c r="BI854" t="s">
        <v>101</v>
      </c>
      <c r="BJ854">
        <v>1</v>
      </c>
      <c r="BK854">
        <v>240</v>
      </c>
      <c r="BL854" t="s">
        <v>97</v>
      </c>
      <c r="BM854" t="s">
        <v>97</v>
      </c>
      <c r="BN854" t="s">
        <v>104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V854" t="s">
        <v>133</v>
      </c>
      <c r="BX854">
        <v>0</v>
      </c>
      <c r="BY854">
        <v>8</v>
      </c>
      <c r="BZ854">
        <v>2007</v>
      </c>
      <c r="CA854" t="s">
        <v>109</v>
      </c>
      <c r="CB854" t="s">
        <v>110</v>
      </c>
      <c r="CC854">
        <v>164000</v>
      </c>
    </row>
    <row r="855" spans="1:81" x14ac:dyDescent="0.3">
      <c r="A855">
        <v>854</v>
      </c>
      <c r="B855">
        <v>80</v>
      </c>
      <c r="C855" t="s">
        <v>81</v>
      </c>
      <c r="E855">
        <v>12095</v>
      </c>
      <c r="F855" t="s">
        <v>82</v>
      </c>
      <c r="H855" t="s">
        <v>119</v>
      </c>
      <c r="I855" t="s">
        <v>84</v>
      </c>
      <c r="J855" t="s">
        <v>85</v>
      </c>
      <c r="K855" t="s">
        <v>121</v>
      </c>
      <c r="L855" t="s">
        <v>87</v>
      </c>
      <c r="M855" t="s">
        <v>270</v>
      </c>
      <c r="N855" t="s">
        <v>89</v>
      </c>
      <c r="O855" t="s">
        <v>89</v>
      </c>
      <c r="P855" t="s">
        <v>90</v>
      </c>
      <c r="Q855" t="s">
        <v>196</v>
      </c>
      <c r="R855">
        <v>6</v>
      </c>
      <c r="S855">
        <v>6</v>
      </c>
      <c r="T855">
        <v>1964</v>
      </c>
      <c r="U855">
        <v>1964</v>
      </c>
      <c r="V855" t="s">
        <v>92</v>
      </c>
      <c r="W855" t="s">
        <v>93</v>
      </c>
      <c r="X855" t="s">
        <v>115</v>
      </c>
      <c r="Y855" t="s">
        <v>139</v>
      </c>
      <c r="Z855" t="s">
        <v>95</v>
      </c>
      <c r="AA855">
        <v>115</v>
      </c>
      <c r="AB855" t="s">
        <v>97</v>
      </c>
      <c r="AC855" t="s">
        <v>96</v>
      </c>
      <c r="AD855" t="s">
        <v>117</v>
      </c>
      <c r="AE855" t="s">
        <v>97</v>
      </c>
      <c r="AF855" t="s">
        <v>97</v>
      </c>
      <c r="AG855" t="s">
        <v>96</v>
      </c>
      <c r="AH855" t="s">
        <v>152</v>
      </c>
      <c r="AI855">
        <v>564</v>
      </c>
      <c r="AJ855" t="s">
        <v>101</v>
      </c>
      <c r="AK855">
        <v>0</v>
      </c>
      <c r="AL855">
        <v>563</v>
      </c>
      <c r="AM855">
        <v>1127</v>
      </c>
      <c r="AN855" t="s">
        <v>102</v>
      </c>
      <c r="AO855" t="s">
        <v>97</v>
      </c>
      <c r="AP855" t="s">
        <v>104</v>
      </c>
      <c r="AQ855" t="s">
        <v>105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97</v>
      </c>
      <c r="BC855">
        <v>7</v>
      </c>
      <c r="BD855" t="s">
        <v>106</v>
      </c>
      <c r="BE855">
        <v>1</v>
      </c>
      <c r="BF855" t="s">
        <v>146</v>
      </c>
      <c r="BG855" t="s">
        <v>107</v>
      </c>
      <c r="BH855">
        <v>1964</v>
      </c>
      <c r="BI855" t="s">
        <v>108</v>
      </c>
      <c r="BJ855">
        <v>2</v>
      </c>
      <c r="BK855">
        <v>645</v>
      </c>
      <c r="BL855" t="s">
        <v>97</v>
      </c>
      <c r="BM855" t="s">
        <v>97</v>
      </c>
      <c r="BN855" t="s">
        <v>104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V855" t="s">
        <v>133</v>
      </c>
      <c r="BX855">
        <v>0</v>
      </c>
      <c r="BY855">
        <v>8</v>
      </c>
      <c r="BZ855">
        <v>2009</v>
      </c>
      <c r="CA855" t="s">
        <v>109</v>
      </c>
      <c r="CB855" t="s">
        <v>110</v>
      </c>
      <c r="CC855">
        <v>158000</v>
      </c>
    </row>
    <row r="856" spans="1:81" x14ac:dyDescent="0.3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H856" t="s">
        <v>83</v>
      </c>
      <c r="I856" t="s">
        <v>84</v>
      </c>
      <c r="J856" t="s">
        <v>85</v>
      </c>
      <c r="K856" t="s">
        <v>86</v>
      </c>
      <c r="L856" t="s">
        <v>87</v>
      </c>
      <c r="M856" t="s">
        <v>150</v>
      </c>
      <c r="N856" t="s">
        <v>89</v>
      </c>
      <c r="O856" t="s">
        <v>89</v>
      </c>
      <c r="P856" t="s">
        <v>90</v>
      </c>
      <c r="Q856" t="s">
        <v>114</v>
      </c>
      <c r="R856">
        <v>5</v>
      </c>
      <c r="S856">
        <v>4</v>
      </c>
      <c r="T856">
        <v>1955</v>
      </c>
      <c r="U856">
        <v>1974</v>
      </c>
      <c r="V856" t="s">
        <v>151</v>
      </c>
      <c r="W856" t="s">
        <v>93</v>
      </c>
      <c r="X856" t="s">
        <v>123</v>
      </c>
      <c r="Y856" t="s">
        <v>160</v>
      </c>
      <c r="Z856" t="s">
        <v>116</v>
      </c>
      <c r="AA856">
        <v>0</v>
      </c>
      <c r="AB856" t="s">
        <v>97</v>
      </c>
      <c r="AC856" t="s">
        <v>97</v>
      </c>
      <c r="AD856" t="s">
        <v>117</v>
      </c>
      <c r="AE856" t="s">
        <v>97</v>
      </c>
      <c r="AF856" t="s">
        <v>97</v>
      </c>
      <c r="AG856" t="s">
        <v>120</v>
      </c>
      <c r="AH856" t="s">
        <v>118</v>
      </c>
      <c r="AI856">
        <v>306</v>
      </c>
      <c r="AJ856" t="s">
        <v>152</v>
      </c>
      <c r="AK856">
        <v>1085</v>
      </c>
      <c r="AL856">
        <v>372</v>
      </c>
      <c r="AM856">
        <v>1763</v>
      </c>
      <c r="AN856" t="s">
        <v>102</v>
      </c>
      <c r="AO856" t="s">
        <v>97</v>
      </c>
      <c r="AP856" t="s">
        <v>104</v>
      </c>
      <c r="AQ856" t="s">
        <v>105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97</v>
      </c>
      <c r="BC856">
        <v>6</v>
      </c>
      <c r="BD856" t="s">
        <v>106</v>
      </c>
      <c r="BE856">
        <v>1</v>
      </c>
      <c r="BF856" t="s">
        <v>96</v>
      </c>
      <c r="BG856" t="s">
        <v>107</v>
      </c>
      <c r="BH856">
        <v>1955</v>
      </c>
      <c r="BI856" t="s">
        <v>101</v>
      </c>
      <c r="BJ856">
        <v>2</v>
      </c>
      <c r="BK856">
        <v>454</v>
      </c>
      <c r="BL856" t="s">
        <v>97</v>
      </c>
      <c r="BM856" t="s">
        <v>97</v>
      </c>
      <c r="BN856" t="s">
        <v>104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X856">
        <v>0</v>
      </c>
      <c r="BY856">
        <v>7</v>
      </c>
      <c r="BZ856">
        <v>2006</v>
      </c>
      <c r="CA856" t="s">
        <v>109</v>
      </c>
      <c r="CB856" t="s">
        <v>127</v>
      </c>
      <c r="CC856">
        <v>170000</v>
      </c>
    </row>
    <row r="857" spans="1:81" x14ac:dyDescent="0.3">
      <c r="A857">
        <v>856</v>
      </c>
      <c r="B857">
        <v>20</v>
      </c>
      <c r="C857" t="s">
        <v>81</v>
      </c>
      <c r="E857">
        <v>6897</v>
      </c>
      <c r="F857" t="s">
        <v>82</v>
      </c>
      <c r="H857" t="s">
        <v>119</v>
      </c>
      <c r="I857" t="s">
        <v>84</v>
      </c>
      <c r="J857" t="s">
        <v>85</v>
      </c>
      <c r="K857" t="s">
        <v>121</v>
      </c>
      <c r="L857" t="s">
        <v>87</v>
      </c>
      <c r="M857" t="s">
        <v>150</v>
      </c>
      <c r="N857" t="s">
        <v>89</v>
      </c>
      <c r="O857" t="s">
        <v>89</v>
      </c>
      <c r="P857" t="s">
        <v>90</v>
      </c>
      <c r="Q857" t="s">
        <v>114</v>
      </c>
      <c r="R857">
        <v>5</v>
      </c>
      <c r="S857">
        <v>8</v>
      </c>
      <c r="T857">
        <v>1962</v>
      </c>
      <c r="U857">
        <v>2010</v>
      </c>
      <c r="V857" t="s">
        <v>92</v>
      </c>
      <c r="W857" t="s">
        <v>93</v>
      </c>
      <c r="X857" t="s">
        <v>139</v>
      </c>
      <c r="Y857" t="s">
        <v>139</v>
      </c>
      <c r="Z857" t="s">
        <v>116</v>
      </c>
      <c r="AA857">
        <v>0</v>
      </c>
      <c r="AB857" t="s">
        <v>97</v>
      </c>
      <c r="AC857" t="s">
        <v>96</v>
      </c>
      <c r="AD857" t="s">
        <v>117</v>
      </c>
      <c r="AE857" t="s">
        <v>97</v>
      </c>
      <c r="AF857" t="s">
        <v>97</v>
      </c>
      <c r="AG857" t="s">
        <v>99</v>
      </c>
      <c r="AH857" t="s">
        <v>118</v>
      </c>
      <c r="AI857">
        <v>659</v>
      </c>
      <c r="AJ857" t="s">
        <v>101</v>
      </c>
      <c r="AK857">
        <v>0</v>
      </c>
      <c r="AL857">
        <v>381</v>
      </c>
      <c r="AM857">
        <v>1040</v>
      </c>
      <c r="AN857" t="s">
        <v>102</v>
      </c>
      <c r="AO857" t="s">
        <v>103</v>
      </c>
      <c r="AP857" t="s">
        <v>104</v>
      </c>
      <c r="AQ857" t="s">
        <v>105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97</v>
      </c>
      <c r="BC857">
        <v>6</v>
      </c>
      <c r="BD857" t="s">
        <v>106</v>
      </c>
      <c r="BE857">
        <v>0</v>
      </c>
      <c r="BG857" t="s">
        <v>126</v>
      </c>
      <c r="BH857">
        <v>1962</v>
      </c>
      <c r="BI857" t="s">
        <v>101</v>
      </c>
      <c r="BJ857">
        <v>1</v>
      </c>
      <c r="BK857">
        <v>260</v>
      </c>
      <c r="BL857" t="s">
        <v>97</v>
      </c>
      <c r="BM857" t="s">
        <v>97</v>
      </c>
      <c r="BN857" t="s">
        <v>104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X857">
        <v>0</v>
      </c>
      <c r="BY857">
        <v>4</v>
      </c>
      <c r="BZ857">
        <v>2010</v>
      </c>
      <c r="CA857" t="s">
        <v>109</v>
      </c>
      <c r="CB857" t="s">
        <v>110</v>
      </c>
      <c r="CC857">
        <v>127000</v>
      </c>
    </row>
    <row r="858" spans="1:81" x14ac:dyDescent="0.3">
      <c r="A858">
        <v>857</v>
      </c>
      <c r="B858">
        <v>80</v>
      </c>
      <c r="C858" t="s">
        <v>81</v>
      </c>
      <c r="E858">
        <v>10970</v>
      </c>
      <c r="F858" t="s">
        <v>82</v>
      </c>
      <c r="H858" t="s">
        <v>119</v>
      </c>
      <c r="I858" t="s">
        <v>194</v>
      </c>
      <c r="J858" t="s">
        <v>85</v>
      </c>
      <c r="K858" t="s">
        <v>86</v>
      </c>
      <c r="L858" t="s">
        <v>193</v>
      </c>
      <c r="M858" t="s">
        <v>88</v>
      </c>
      <c r="N858" t="s">
        <v>89</v>
      </c>
      <c r="O858" t="s">
        <v>89</v>
      </c>
      <c r="P858" t="s">
        <v>90</v>
      </c>
      <c r="Q858" t="s">
        <v>196</v>
      </c>
      <c r="R858">
        <v>6</v>
      </c>
      <c r="S858">
        <v>6</v>
      </c>
      <c r="T858">
        <v>1978</v>
      </c>
      <c r="U858">
        <v>1978</v>
      </c>
      <c r="V858" t="s">
        <v>92</v>
      </c>
      <c r="W858" t="s">
        <v>93</v>
      </c>
      <c r="X858" t="s">
        <v>160</v>
      </c>
      <c r="Y858" t="s">
        <v>139</v>
      </c>
      <c r="Z858" t="s">
        <v>116</v>
      </c>
      <c r="AA858">
        <v>0</v>
      </c>
      <c r="AB858" t="s">
        <v>97</v>
      </c>
      <c r="AC858" t="s">
        <v>97</v>
      </c>
      <c r="AD858" t="s">
        <v>117</v>
      </c>
      <c r="AE858" t="s">
        <v>96</v>
      </c>
      <c r="AF858" t="s">
        <v>96</v>
      </c>
      <c r="AG858" t="s">
        <v>96</v>
      </c>
      <c r="AH858" t="s">
        <v>100</v>
      </c>
      <c r="AI858">
        <v>505</v>
      </c>
      <c r="AJ858" t="s">
        <v>171</v>
      </c>
      <c r="AK858">
        <v>435</v>
      </c>
      <c r="AL858">
        <v>0</v>
      </c>
      <c r="AM858">
        <v>940</v>
      </c>
      <c r="AN858" t="s">
        <v>102</v>
      </c>
      <c r="AO858" t="s">
        <v>97</v>
      </c>
      <c r="AP858" t="s">
        <v>104</v>
      </c>
      <c r="AQ858" t="s">
        <v>105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97</v>
      </c>
      <c r="BC858">
        <v>5</v>
      </c>
      <c r="BD858" t="s">
        <v>106</v>
      </c>
      <c r="BE858">
        <v>0</v>
      </c>
      <c r="BG858" t="s">
        <v>126</v>
      </c>
      <c r="BH858">
        <v>1981</v>
      </c>
      <c r="BI858" t="s">
        <v>101</v>
      </c>
      <c r="BJ858">
        <v>2</v>
      </c>
      <c r="BK858">
        <v>576</v>
      </c>
      <c r="BL858" t="s">
        <v>97</v>
      </c>
      <c r="BM858" t="s">
        <v>146</v>
      </c>
      <c r="BN858" t="s">
        <v>104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V858" t="s">
        <v>133</v>
      </c>
      <c r="BX858">
        <v>0</v>
      </c>
      <c r="BY858">
        <v>10</v>
      </c>
      <c r="BZ858">
        <v>2008</v>
      </c>
      <c r="CA858" t="s">
        <v>109</v>
      </c>
      <c r="CB858" t="s">
        <v>110</v>
      </c>
      <c r="CC858">
        <v>147000</v>
      </c>
    </row>
    <row r="859" spans="1:81" x14ac:dyDescent="0.3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H859" t="s">
        <v>83</v>
      </c>
      <c r="I859" t="s">
        <v>84</v>
      </c>
      <c r="J859" t="s">
        <v>85</v>
      </c>
      <c r="K859" t="s">
        <v>86</v>
      </c>
      <c r="L859" t="s">
        <v>87</v>
      </c>
      <c r="M859" t="s">
        <v>192</v>
      </c>
      <c r="N859" t="s">
        <v>89</v>
      </c>
      <c r="O859" t="s">
        <v>89</v>
      </c>
      <c r="P859" t="s">
        <v>90</v>
      </c>
      <c r="Q859" t="s">
        <v>91</v>
      </c>
      <c r="R859">
        <v>6</v>
      </c>
      <c r="S859">
        <v>5</v>
      </c>
      <c r="T859">
        <v>1994</v>
      </c>
      <c r="U859">
        <v>1995</v>
      </c>
      <c r="V859" t="s">
        <v>92</v>
      </c>
      <c r="W859" t="s">
        <v>93</v>
      </c>
      <c r="X859" t="s">
        <v>139</v>
      </c>
      <c r="Y859" t="s">
        <v>139</v>
      </c>
      <c r="Z859" t="s">
        <v>116</v>
      </c>
      <c r="AA859">
        <v>0</v>
      </c>
      <c r="AB859" t="s">
        <v>97</v>
      </c>
      <c r="AC859" t="s">
        <v>97</v>
      </c>
      <c r="AD859" t="s">
        <v>98</v>
      </c>
      <c r="AE859" t="s">
        <v>96</v>
      </c>
      <c r="AF859" t="s">
        <v>97</v>
      </c>
      <c r="AG859" t="s">
        <v>99</v>
      </c>
      <c r="AH859" t="s">
        <v>101</v>
      </c>
      <c r="AI859">
        <v>0</v>
      </c>
      <c r="AJ859" t="s">
        <v>101</v>
      </c>
      <c r="AK859">
        <v>0</v>
      </c>
      <c r="AL859">
        <v>702</v>
      </c>
      <c r="AM859">
        <v>702</v>
      </c>
      <c r="AN859" t="s">
        <v>102</v>
      </c>
      <c r="AO859" t="s">
        <v>96</v>
      </c>
      <c r="AP859" t="s">
        <v>104</v>
      </c>
      <c r="AQ859" t="s">
        <v>105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97</v>
      </c>
      <c r="BC859">
        <v>6</v>
      </c>
      <c r="BD859" t="s">
        <v>106</v>
      </c>
      <c r="BE859">
        <v>1</v>
      </c>
      <c r="BF859" t="s">
        <v>97</v>
      </c>
      <c r="BG859" t="s">
        <v>107</v>
      </c>
      <c r="BH859">
        <v>1994</v>
      </c>
      <c r="BI859" t="s">
        <v>156</v>
      </c>
      <c r="BJ859">
        <v>2</v>
      </c>
      <c r="BK859">
        <v>343</v>
      </c>
      <c r="BL859" t="s">
        <v>97</v>
      </c>
      <c r="BM859" t="s">
        <v>97</v>
      </c>
      <c r="BN859" t="s">
        <v>104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X859">
        <v>0</v>
      </c>
      <c r="BY859">
        <v>3</v>
      </c>
      <c r="BZ859">
        <v>2009</v>
      </c>
      <c r="CA859" t="s">
        <v>109</v>
      </c>
      <c r="CB859" t="s">
        <v>110</v>
      </c>
      <c r="CC859">
        <v>174000</v>
      </c>
    </row>
    <row r="860" spans="1:81" x14ac:dyDescent="0.3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H860" t="s">
        <v>83</v>
      </c>
      <c r="I860" t="s">
        <v>84</v>
      </c>
      <c r="J860" t="s">
        <v>85</v>
      </c>
      <c r="K860" t="s">
        <v>86</v>
      </c>
      <c r="L860" t="s">
        <v>87</v>
      </c>
      <c r="M860" t="s">
        <v>137</v>
      </c>
      <c r="N860" t="s">
        <v>89</v>
      </c>
      <c r="O860" t="s">
        <v>89</v>
      </c>
      <c r="P860" t="s">
        <v>90</v>
      </c>
      <c r="Q860" t="s">
        <v>114</v>
      </c>
      <c r="R860">
        <v>7</v>
      </c>
      <c r="S860">
        <v>5</v>
      </c>
      <c r="T860">
        <v>1976</v>
      </c>
      <c r="U860">
        <v>1976</v>
      </c>
      <c r="V860" t="s">
        <v>92</v>
      </c>
      <c r="W860" t="s">
        <v>93</v>
      </c>
      <c r="X860" t="s">
        <v>139</v>
      </c>
      <c r="Y860" t="s">
        <v>139</v>
      </c>
      <c r="Z860" t="s">
        <v>95</v>
      </c>
      <c r="AA860">
        <v>189</v>
      </c>
      <c r="AB860" t="s">
        <v>97</v>
      </c>
      <c r="AC860" t="s">
        <v>97</v>
      </c>
      <c r="AD860" t="s">
        <v>117</v>
      </c>
      <c r="AE860" t="s">
        <v>96</v>
      </c>
      <c r="AF860" t="s">
        <v>97</v>
      </c>
      <c r="AG860" t="s">
        <v>99</v>
      </c>
      <c r="AH860" t="s">
        <v>101</v>
      </c>
      <c r="AI860">
        <v>0</v>
      </c>
      <c r="AJ860" t="s">
        <v>101</v>
      </c>
      <c r="AK860">
        <v>0</v>
      </c>
      <c r="AL860">
        <v>1090</v>
      </c>
      <c r="AM860">
        <v>1090</v>
      </c>
      <c r="AN860" t="s">
        <v>102</v>
      </c>
      <c r="AO860" t="s">
        <v>97</v>
      </c>
      <c r="AP860" t="s">
        <v>104</v>
      </c>
      <c r="AQ860" t="s">
        <v>105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97</v>
      </c>
      <c r="BC860">
        <v>6</v>
      </c>
      <c r="BD860" t="s">
        <v>106</v>
      </c>
      <c r="BE860">
        <v>1</v>
      </c>
      <c r="BF860" t="s">
        <v>97</v>
      </c>
      <c r="BG860" t="s">
        <v>107</v>
      </c>
      <c r="BH860">
        <v>1976</v>
      </c>
      <c r="BI860" t="s">
        <v>108</v>
      </c>
      <c r="BJ860">
        <v>2</v>
      </c>
      <c r="BK860">
        <v>479</v>
      </c>
      <c r="BL860" t="s">
        <v>97</v>
      </c>
      <c r="BM860" t="s">
        <v>97</v>
      </c>
      <c r="BN860" t="s">
        <v>104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V860" t="s">
        <v>133</v>
      </c>
      <c r="BX860">
        <v>0</v>
      </c>
      <c r="BY860">
        <v>6</v>
      </c>
      <c r="BZ860">
        <v>2009</v>
      </c>
      <c r="CA860" t="s">
        <v>109</v>
      </c>
      <c r="CB860" t="s">
        <v>218</v>
      </c>
      <c r="CC860">
        <v>152000</v>
      </c>
    </row>
    <row r="861" spans="1:81" x14ac:dyDescent="0.3">
      <c r="A861">
        <v>860</v>
      </c>
      <c r="B861">
        <v>60</v>
      </c>
      <c r="C861" t="s">
        <v>81</v>
      </c>
      <c r="E861">
        <v>11029</v>
      </c>
      <c r="F861" t="s">
        <v>82</v>
      </c>
      <c r="H861" t="s">
        <v>119</v>
      </c>
      <c r="I861" t="s">
        <v>84</v>
      </c>
      <c r="J861" t="s">
        <v>85</v>
      </c>
      <c r="K861" t="s">
        <v>121</v>
      </c>
      <c r="L861" t="s">
        <v>87</v>
      </c>
      <c r="M861" t="s">
        <v>137</v>
      </c>
      <c r="N861" t="s">
        <v>203</v>
      </c>
      <c r="O861" t="s">
        <v>89</v>
      </c>
      <c r="P861" t="s">
        <v>90</v>
      </c>
      <c r="Q861" t="s">
        <v>91</v>
      </c>
      <c r="R861">
        <v>6</v>
      </c>
      <c r="S861">
        <v>7</v>
      </c>
      <c r="T861">
        <v>1968</v>
      </c>
      <c r="U861">
        <v>1984</v>
      </c>
      <c r="V861" t="s">
        <v>92</v>
      </c>
      <c r="W861" t="s">
        <v>93</v>
      </c>
      <c r="X861" t="s">
        <v>139</v>
      </c>
      <c r="Y861" t="s">
        <v>139</v>
      </c>
      <c r="Z861" t="s">
        <v>95</v>
      </c>
      <c r="AA861">
        <v>220</v>
      </c>
      <c r="AB861" t="s">
        <v>97</v>
      </c>
      <c r="AC861" t="s">
        <v>97</v>
      </c>
      <c r="AD861" t="s">
        <v>117</v>
      </c>
      <c r="AE861" t="s">
        <v>97</v>
      </c>
      <c r="AF861" t="s">
        <v>97</v>
      </c>
      <c r="AG861" t="s">
        <v>120</v>
      </c>
      <c r="AH861" t="s">
        <v>140</v>
      </c>
      <c r="AI861">
        <v>619</v>
      </c>
      <c r="AJ861" t="s">
        <v>101</v>
      </c>
      <c r="AK861">
        <v>0</v>
      </c>
      <c r="AL861">
        <v>435</v>
      </c>
      <c r="AM861">
        <v>1054</v>
      </c>
      <c r="AN861" t="s">
        <v>102</v>
      </c>
      <c r="AO861" t="s">
        <v>97</v>
      </c>
      <c r="AP861" t="s">
        <v>104</v>
      </c>
      <c r="AQ861" t="s">
        <v>105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96</v>
      </c>
      <c r="BC861">
        <v>9</v>
      </c>
      <c r="BD861" t="s">
        <v>106</v>
      </c>
      <c r="BE861">
        <v>1</v>
      </c>
      <c r="BF861" t="s">
        <v>96</v>
      </c>
      <c r="BG861" t="s">
        <v>107</v>
      </c>
      <c r="BH861">
        <v>1968</v>
      </c>
      <c r="BI861" t="s">
        <v>101</v>
      </c>
      <c r="BJ861">
        <v>2</v>
      </c>
      <c r="BK861">
        <v>619</v>
      </c>
      <c r="BL861" t="s">
        <v>97</v>
      </c>
      <c r="BM861" t="s">
        <v>97</v>
      </c>
      <c r="BN861" t="s">
        <v>104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X861">
        <v>0</v>
      </c>
      <c r="BY861">
        <v>8</v>
      </c>
      <c r="BZ861">
        <v>2006</v>
      </c>
      <c r="CA861" t="s">
        <v>109</v>
      </c>
      <c r="CB861" t="s">
        <v>110</v>
      </c>
      <c r="CC861">
        <v>250000</v>
      </c>
    </row>
    <row r="862" spans="1:81" x14ac:dyDescent="0.3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H862" t="s">
        <v>83</v>
      </c>
      <c r="I862" t="s">
        <v>84</v>
      </c>
      <c r="J862" t="s">
        <v>85</v>
      </c>
      <c r="K862" t="s">
        <v>121</v>
      </c>
      <c r="L862" t="s">
        <v>87</v>
      </c>
      <c r="M862" t="s">
        <v>122</v>
      </c>
      <c r="N862" t="s">
        <v>89</v>
      </c>
      <c r="O862" t="s">
        <v>89</v>
      </c>
      <c r="P862" t="s">
        <v>90</v>
      </c>
      <c r="Q862" t="s">
        <v>131</v>
      </c>
      <c r="R862">
        <v>7</v>
      </c>
      <c r="S862">
        <v>8</v>
      </c>
      <c r="T862">
        <v>1918</v>
      </c>
      <c r="U862">
        <v>1998</v>
      </c>
      <c r="V862" t="s">
        <v>92</v>
      </c>
      <c r="W862" t="s">
        <v>93</v>
      </c>
      <c r="X862" t="s">
        <v>123</v>
      </c>
      <c r="Y862" t="s">
        <v>123</v>
      </c>
      <c r="Z862" t="s">
        <v>116</v>
      </c>
      <c r="AA862">
        <v>0</v>
      </c>
      <c r="AB862" t="s">
        <v>96</v>
      </c>
      <c r="AC862" t="s">
        <v>97</v>
      </c>
      <c r="AD862" t="s">
        <v>125</v>
      </c>
      <c r="AE862" t="s">
        <v>97</v>
      </c>
      <c r="AF862" t="s">
        <v>97</v>
      </c>
      <c r="AG862" t="s">
        <v>99</v>
      </c>
      <c r="AH862" t="s">
        <v>101</v>
      </c>
      <c r="AI862">
        <v>0</v>
      </c>
      <c r="AJ862" t="s">
        <v>101</v>
      </c>
      <c r="AK862">
        <v>0</v>
      </c>
      <c r="AL862">
        <v>912</v>
      </c>
      <c r="AM862">
        <v>912</v>
      </c>
      <c r="AN862" t="s">
        <v>102</v>
      </c>
      <c r="AO862" t="s">
        <v>96</v>
      </c>
      <c r="AP862" t="s">
        <v>104</v>
      </c>
      <c r="AQ862" t="s">
        <v>105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96</v>
      </c>
      <c r="BC862">
        <v>7</v>
      </c>
      <c r="BD862" t="s">
        <v>106</v>
      </c>
      <c r="BE862">
        <v>1</v>
      </c>
      <c r="BF862" t="s">
        <v>96</v>
      </c>
      <c r="BG862" t="s">
        <v>126</v>
      </c>
      <c r="BH862">
        <v>1925</v>
      </c>
      <c r="BI862" t="s">
        <v>101</v>
      </c>
      <c r="BJ862">
        <v>1</v>
      </c>
      <c r="BK862">
        <v>216</v>
      </c>
      <c r="BL862" t="s">
        <v>97</v>
      </c>
      <c r="BM862" t="s">
        <v>97</v>
      </c>
      <c r="BN862" t="s">
        <v>104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V862" t="s">
        <v>164</v>
      </c>
      <c r="BX862">
        <v>0</v>
      </c>
      <c r="BY862">
        <v>6</v>
      </c>
      <c r="BZ862">
        <v>2007</v>
      </c>
      <c r="CA862" t="s">
        <v>109</v>
      </c>
      <c r="CB862" t="s">
        <v>110</v>
      </c>
      <c r="CC862">
        <v>189950</v>
      </c>
    </row>
    <row r="863" spans="1:81" x14ac:dyDescent="0.3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H863" t="s">
        <v>83</v>
      </c>
      <c r="I863" t="s">
        <v>84</v>
      </c>
      <c r="J863" t="s">
        <v>85</v>
      </c>
      <c r="K863" t="s">
        <v>86</v>
      </c>
      <c r="L863" t="s">
        <v>87</v>
      </c>
      <c r="M863" t="s">
        <v>150</v>
      </c>
      <c r="N863" t="s">
        <v>89</v>
      </c>
      <c r="O863" t="s">
        <v>89</v>
      </c>
      <c r="P863" t="s">
        <v>148</v>
      </c>
      <c r="Q863" t="s">
        <v>114</v>
      </c>
      <c r="R863">
        <v>5</v>
      </c>
      <c r="S863">
        <v>4</v>
      </c>
      <c r="T863">
        <v>1965</v>
      </c>
      <c r="U863">
        <v>1965</v>
      </c>
      <c r="V863" t="s">
        <v>151</v>
      </c>
      <c r="W863" t="s">
        <v>93</v>
      </c>
      <c r="X863" t="s">
        <v>160</v>
      </c>
      <c r="Y863" t="s">
        <v>139</v>
      </c>
      <c r="Z863" t="s">
        <v>116</v>
      </c>
      <c r="AA863">
        <v>0</v>
      </c>
      <c r="AB863" t="s">
        <v>97</v>
      </c>
      <c r="AC863" t="s">
        <v>97</v>
      </c>
      <c r="AD863" t="s">
        <v>98</v>
      </c>
      <c r="AE863" t="s">
        <v>97</v>
      </c>
      <c r="AF863" t="s">
        <v>97</v>
      </c>
      <c r="AG863" t="s">
        <v>120</v>
      </c>
      <c r="AH863" t="s">
        <v>140</v>
      </c>
      <c r="AI863">
        <v>841</v>
      </c>
      <c r="AJ863" t="s">
        <v>101</v>
      </c>
      <c r="AK863">
        <v>0</v>
      </c>
      <c r="AL863">
        <v>198</v>
      </c>
      <c r="AM863">
        <v>1039</v>
      </c>
      <c r="AN863" t="s">
        <v>102</v>
      </c>
      <c r="AO863" t="s">
        <v>103</v>
      </c>
      <c r="AP863" t="s">
        <v>104</v>
      </c>
      <c r="AQ863" t="s">
        <v>105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97</v>
      </c>
      <c r="BC863">
        <v>6</v>
      </c>
      <c r="BD863" t="s">
        <v>106</v>
      </c>
      <c r="BE863">
        <v>0</v>
      </c>
      <c r="BG863" t="s">
        <v>107</v>
      </c>
      <c r="BH863">
        <v>1965</v>
      </c>
      <c r="BI863" t="s">
        <v>101</v>
      </c>
      <c r="BJ863">
        <v>2</v>
      </c>
      <c r="BK863">
        <v>504</v>
      </c>
      <c r="BL863" t="s">
        <v>97</v>
      </c>
      <c r="BM863" t="s">
        <v>97</v>
      </c>
      <c r="BN863" t="s">
        <v>104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X863">
        <v>0</v>
      </c>
      <c r="BY863">
        <v>4</v>
      </c>
      <c r="BZ863">
        <v>2010</v>
      </c>
      <c r="CA863" t="s">
        <v>109</v>
      </c>
      <c r="CB863" t="s">
        <v>110</v>
      </c>
      <c r="CC863">
        <v>131500</v>
      </c>
    </row>
    <row r="864" spans="1:81" x14ac:dyDescent="0.3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H864" t="s">
        <v>83</v>
      </c>
      <c r="I864" t="s">
        <v>84</v>
      </c>
      <c r="J864" t="s">
        <v>85</v>
      </c>
      <c r="K864" t="s">
        <v>121</v>
      </c>
      <c r="L864" t="s">
        <v>87</v>
      </c>
      <c r="M864" t="s">
        <v>169</v>
      </c>
      <c r="N864" t="s">
        <v>89</v>
      </c>
      <c r="O864" t="s">
        <v>89</v>
      </c>
      <c r="P864" t="s">
        <v>90</v>
      </c>
      <c r="Q864" t="s">
        <v>114</v>
      </c>
      <c r="R864">
        <v>6</v>
      </c>
      <c r="S864">
        <v>5</v>
      </c>
      <c r="T864">
        <v>1984</v>
      </c>
      <c r="U864">
        <v>1985</v>
      </c>
      <c r="V864" t="s">
        <v>151</v>
      </c>
      <c r="W864" t="s">
        <v>93</v>
      </c>
      <c r="X864" t="s">
        <v>139</v>
      </c>
      <c r="Y864" t="s">
        <v>160</v>
      </c>
      <c r="Z864" t="s">
        <v>116</v>
      </c>
      <c r="AA864">
        <v>0</v>
      </c>
      <c r="AB864" t="s">
        <v>97</v>
      </c>
      <c r="AC864" t="s">
        <v>97</v>
      </c>
      <c r="AD864" t="s">
        <v>98</v>
      </c>
      <c r="AE864" t="s">
        <v>96</v>
      </c>
      <c r="AF864" t="s">
        <v>97</v>
      </c>
      <c r="AG864" t="s">
        <v>99</v>
      </c>
      <c r="AH864" t="s">
        <v>100</v>
      </c>
      <c r="AI864">
        <v>338</v>
      </c>
      <c r="AJ864" t="s">
        <v>101</v>
      </c>
      <c r="AK864">
        <v>0</v>
      </c>
      <c r="AL864">
        <v>702</v>
      </c>
      <c r="AM864">
        <v>1040</v>
      </c>
      <c r="AN864" t="s">
        <v>102</v>
      </c>
      <c r="AO864" t="s">
        <v>97</v>
      </c>
      <c r="AP864" t="s">
        <v>104</v>
      </c>
      <c r="AQ864" t="s">
        <v>105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97</v>
      </c>
      <c r="BC864">
        <v>6</v>
      </c>
      <c r="BD864" t="s">
        <v>106</v>
      </c>
      <c r="BE864">
        <v>0</v>
      </c>
      <c r="BG864" t="s">
        <v>107</v>
      </c>
      <c r="BH864">
        <v>1986</v>
      </c>
      <c r="BI864" t="s">
        <v>101</v>
      </c>
      <c r="BJ864">
        <v>2</v>
      </c>
      <c r="BK864">
        <v>480</v>
      </c>
      <c r="BL864" t="s">
        <v>97</v>
      </c>
      <c r="BM864" t="s">
        <v>97</v>
      </c>
      <c r="BN864" t="s">
        <v>104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V864" t="s">
        <v>164</v>
      </c>
      <c r="BX864">
        <v>0</v>
      </c>
      <c r="BY864">
        <v>5</v>
      </c>
      <c r="BZ864">
        <v>2010</v>
      </c>
      <c r="CA864" t="s">
        <v>109</v>
      </c>
      <c r="CB864" t="s">
        <v>110</v>
      </c>
      <c r="CC864">
        <v>152000</v>
      </c>
    </row>
    <row r="865" spans="1:81" x14ac:dyDescent="0.3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H865" t="s">
        <v>83</v>
      </c>
      <c r="I865" t="s">
        <v>84</v>
      </c>
      <c r="J865" t="s">
        <v>85</v>
      </c>
      <c r="K865" t="s">
        <v>86</v>
      </c>
      <c r="L865" t="s">
        <v>87</v>
      </c>
      <c r="M865" t="s">
        <v>270</v>
      </c>
      <c r="N865" t="s">
        <v>89</v>
      </c>
      <c r="O865" t="s">
        <v>89</v>
      </c>
      <c r="P865" t="s">
        <v>90</v>
      </c>
      <c r="Q865" t="s">
        <v>114</v>
      </c>
      <c r="R865">
        <v>5</v>
      </c>
      <c r="S865">
        <v>5</v>
      </c>
      <c r="T865">
        <v>1959</v>
      </c>
      <c r="U865">
        <v>1959</v>
      </c>
      <c r="V865" t="s">
        <v>151</v>
      </c>
      <c r="W865" t="s">
        <v>93</v>
      </c>
      <c r="X865" t="s">
        <v>95</v>
      </c>
      <c r="Y865" t="s">
        <v>160</v>
      </c>
      <c r="Z865" t="s">
        <v>116</v>
      </c>
      <c r="AA865">
        <v>0</v>
      </c>
      <c r="AB865" t="s">
        <v>97</v>
      </c>
      <c r="AC865" t="s">
        <v>97</v>
      </c>
      <c r="AD865" t="s">
        <v>117</v>
      </c>
      <c r="AE865" t="s">
        <v>97</v>
      </c>
      <c r="AF865" t="s">
        <v>97</v>
      </c>
      <c r="AG865" t="s">
        <v>99</v>
      </c>
      <c r="AH865" t="s">
        <v>140</v>
      </c>
      <c r="AI865">
        <v>1148</v>
      </c>
      <c r="AJ865" t="s">
        <v>101</v>
      </c>
      <c r="AK865">
        <v>0</v>
      </c>
      <c r="AL865">
        <v>0</v>
      </c>
      <c r="AM865">
        <v>1148</v>
      </c>
      <c r="AN865" t="s">
        <v>102</v>
      </c>
      <c r="AO865" t="s">
        <v>97</v>
      </c>
      <c r="AP865" t="s">
        <v>104</v>
      </c>
      <c r="AQ865" t="s">
        <v>105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97</v>
      </c>
      <c r="BC865">
        <v>6</v>
      </c>
      <c r="BD865" t="s">
        <v>106</v>
      </c>
      <c r="BE865">
        <v>0</v>
      </c>
      <c r="BG865" t="s">
        <v>107</v>
      </c>
      <c r="BH865">
        <v>1959</v>
      </c>
      <c r="BI865" t="s">
        <v>101</v>
      </c>
      <c r="BJ865">
        <v>1</v>
      </c>
      <c r="BK865">
        <v>672</v>
      </c>
      <c r="BL865" t="s">
        <v>97</v>
      </c>
      <c r="BM865" t="s">
        <v>97</v>
      </c>
      <c r="BN865" t="s">
        <v>104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V865" t="s">
        <v>164</v>
      </c>
      <c r="BX865">
        <v>0</v>
      </c>
      <c r="BY865">
        <v>7</v>
      </c>
      <c r="BZ865">
        <v>2009</v>
      </c>
      <c r="CA865" t="s">
        <v>109</v>
      </c>
      <c r="CB865" t="s">
        <v>110</v>
      </c>
      <c r="CC865">
        <v>132500</v>
      </c>
    </row>
    <row r="866" spans="1:81" x14ac:dyDescent="0.3">
      <c r="A866">
        <v>865</v>
      </c>
      <c r="B866">
        <v>20</v>
      </c>
      <c r="C866" t="s">
        <v>191</v>
      </c>
      <c r="D866">
        <v>72</v>
      </c>
      <c r="E866">
        <v>8640</v>
      </c>
      <c r="F866" t="s">
        <v>82</v>
      </c>
      <c r="H866" t="s">
        <v>83</v>
      </c>
      <c r="I866" t="s">
        <v>84</v>
      </c>
      <c r="J866" t="s">
        <v>85</v>
      </c>
      <c r="K866" t="s">
        <v>86</v>
      </c>
      <c r="L866" t="s">
        <v>87</v>
      </c>
      <c r="M866" t="s">
        <v>135</v>
      </c>
      <c r="N866" t="s">
        <v>89</v>
      </c>
      <c r="O866" t="s">
        <v>89</v>
      </c>
      <c r="P866" t="s">
        <v>90</v>
      </c>
      <c r="Q866" t="s">
        <v>114</v>
      </c>
      <c r="R866">
        <v>7</v>
      </c>
      <c r="S866">
        <v>5</v>
      </c>
      <c r="T866">
        <v>2007</v>
      </c>
      <c r="U866">
        <v>2008</v>
      </c>
      <c r="V866" t="s">
        <v>92</v>
      </c>
      <c r="W866" t="s">
        <v>93</v>
      </c>
      <c r="X866" t="s">
        <v>94</v>
      </c>
      <c r="Y866" t="s">
        <v>94</v>
      </c>
      <c r="Z866" t="s">
        <v>116</v>
      </c>
      <c r="AA866">
        <v>0</v>
      </c>
      <c r="AB866" t="s">
        <v>96</v>
      </c>
      <c r="AC866" t="s">
        <v>97</v>
      </c>
      <c r="AD866" t="s">
        <v>98</v>
      </c>
      <c r="AE866" t="s">
        <v>103</v>
      </c>
      <c r="AF866" t="s">
        <v>97</v>
      </c>
      <c r="AG866" t="s">
        <v>99</v>
      </c>
      <c r="AH866" t="s">
        <v>101</v>
      </c>
      <c r="AI866">
        <v>0</v>
      </c>
      <c r="AJ866" t="s">
        <v>101</v>
      </c>
      <c r="AK866">
        <v>0</v>
      </c>
      <c r="AL866">
        <v>1372</v>
      </c>
      <c r="AM866">
        <v>1372</v>
      </c>
      <c r="AN866" t="s">
        <v>102</v>
      </c>
      <c r="AO866" t="s">
        <v>103</v>
      </c>
      <c r="AP866" t="s">
        <v>104</v>
      </c>
      <c r="AQ866" t="s">
        <v>105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96</v>
      </c>
      <c r="BC866">
        <v>6</v>
      </c>
      <c r="BD866" t="s">
        <v>106</v>
      </c>
      <c r="BE866">
        <v>0</v>
      </c>
      <c r="BG866" t="s">
        <v>107</v>
      </c>
      <c r="BH866">
        <v>2008</v>
      </c>
      <c r="BI866" t="s">
        <v>156</v>
      </c>
      <c r="BJ866">
        <v>2</v>
      </c>
      <c r="BK866">
        <v>529</v>
      </c>
      <c r="BL866" t="s">
        <v>97</v>
      </c>
      <c r="BM866" t="s">
        <v>97</v>
      </c>
      <c r="BN866" t="s">
        <v>104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X866">
        <v>0</v>
      </c>
      <c r="BY866">
        <v>5</v>
      </c>
      <c r="BZ866">
        <v>2008</v>
      </c>
      <c r="CA866" t="s">
        <v>157</v>
      </c>
      <c r="CB866" t="s">
        <v>158</v>
      </c>
      <c r="CC866">
        <v>250580</v>
      </c>
    </row>
    <row r="867" spans="1:81" x14ac:dyDescent="0.3">
      <c r="A867">
        <v>866</v>
      </c>
      <c r="B867">
        <v>20</v>
      </c>
      <c r="C867" t="s">
        <v>81</v>
      </c>
      <c r="E867">
        <v>8750</v>
      </c>
      <c r="F867" t="s">
        <v>82</v>
      </c>
      <c r="H867" t="s">
        <v>119</v>
      </c>
      <c r="I867" t="s">
        <v>84</v>
      </c>
      <c r="J867" t="s">
        <v>85</v>
      </c>
      <c r="K867" t="s">
        <v>86</v>
      </c>
      <c r="L867" t="s">
        <v>87</v>
      </c>
      <c r="M867" t="s">
        <v>270</v>
      </c>
      <c r="N867" t="s">
        <v>89</v>
      </c>
      <c r="O867" t="s">
        <v>89</v>
      </c>
      <c r="P867" t="s">
        <v>90</v>
      </c>
      <c r="Q867" t="s">
        <v>114</v>
      </c>
      <c r="R867">
        <v>5</v>
      </c>
      <c r="S867">
        <v>6</v>
      </c>
      <c r="T867">
        <v>1970</v>
      </c>
      <c r="U867">
        <v>1970</v>
      </c>
      <c r="V867" t="s">
        <v>92</v>
      </c>
      <c r="W867" t="s">
        <v>93</v>
      </c>
      <c r="X867" t="s">
        <v>115</v>
      </c>
      <c r="Y867" t="s">
        <v>115</v>
      </c>
      <c r="Z867" t="s">
        <v>95</v>
      </c>
      <c r="AA867">
        <v>76</v>
      </c>
      <c r="AB867" t="s">
        <v>97</v>
      </c>
      <c r="AC867" t="s">
        <v>97</v>
      </c>
      <c r="AD867" t="s">
        <v>117</v>
      </c>
      <c r="AE867" t="s">
        <v>97</v>
      </c>
      <c r="AF867" t="s">
        <v>97</v>
      </c>
      <c r="AG867" t="s">
        <v>99</v>
      </c>
      <c r="AH867" t="s">
        <v>140</v>
      </c>
      <c r="AI867">
        <v>828</v>
      </c>
      <c r="AJ867" t="s">
        <v>101</v>
      </c>
      <c r="AK867">
        <v>0</v>
      </c>
      <c r="AL867">
        <v>174</v>
      </c>
      <c r="AM867">
        <v>1002</v>
      </c>
      <c r="AN867" t="s">
        <v>102</v>
      </c>
      <c r="AO867" t="s">
        <v>97</v>
      </c>
      <c r="AP867" t="s">
        <v>104</v>
      </c>
      <c r="AQ867" t="s">
        <v>105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97</v>
      </c>
      <c r="BC867">
        <v>5</v>
      </c>
      <c r="BD867" t="s">
        <v>106</v>
      </c>
      <c r="BE867">
        <v>0</v>
      </c>
      <c r="BG867" t="s">
        <v>126</v>
      </c>
      <c r="BH867">
        <v>1973</v>
      </c>
      <c r="BI867" t="s">
        <v>101</v>
      </c>
      <c r="BJ867">
        <v>2</v>
      </c>
      <c r="BK867">
        <v>902</v>
      </c>
      <c r="BL867" t="s">
        <v>97</v>
      </c>
      <c r="BM867" t="s">
        <v>97</v>
      </c>
      <c r="BN867" t="s">
        <v>104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V867" t="s">
        <v>133</v>
      </c>
      <c r="BX867">
        <v>0</v>
      </c>
      <c r="BY867">
        <v>8</v>
      </c>
      <c r="BZ867">
        <v>2009</v>
      </c>
      <c r="CA867" t="s">
        <v>109</v>
      </c>
      <c r="CB867" t="s">
        <v>110</v>
      </c>
      <c r="CC867">
        <v>148500</v>
      </c>
    </row>
    <row r="868" spans="1:81" x14ac:dyDescent="0.3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H868" t="s">
        <v>119</v>
      </c>
      <c r="I868" t="s">
        <v>198</v>
      </c>
      <c r="J868" t="s">
        <v>85</v>
      </c>
      <c r="K868" t="s">
        <v>86</v>
      </c>
      <c r="L868" t="s">
        <v>87</v>
      </c>
      <c r="M868" t="s">
        <v>188</v>
      </c>
      <c r="N868" t="s">
        <v>89</v>
      </c>
      <c r="O868" t="s">
        <v>89</v>
      </c>
      <c r="P868" t="s">
        <v>90</v>
      </c>
      <c r="Q868" t="s">
        <v>114</v>
      </c>
      <c r="R868">
        <v>8</v>
      </c>
      <c r="S868">
        <v>5</v>
      </c>
      <c r="T868">
        <v>2006</v>
      </c>
      <c r="U868">
        <v>2007</v>
      </c>
      <c r="V868" t="s">
        <v>92</v>
      </c>
      <c r="W868" t="s">
        <v>93</v>
      </c>
      <c r="X868" t="s">
        <v>94</v>
      </c>
      <c r="Y868" t="s">
        <v>94</v>
      </c>
      <c r="Z868" t="s">
        <v>136</v>
      </c>
      <c r="AA868">
        <v>274</v>
      </c>
      <c r="AB868" t="s">
        <v>96</v>
      </c>
      <c r="AC868" t="s">
        <v>97</v>
      </c>
      <c r="AD868" t="s">
        <v>98</v>
      </c>
      <c r="AE868" t="s">
        <v>96</v>
      </c>
      <c r="AF868" t="s">
        <v>97</v>
      </c>
      <c r="AG868" t="s">
        <v>129</v>
      </c>
      <c r="AH868" t="s">
        <v>101</v>
      </c>
      <c r="AI868">
        <v>0</v>
      </c>
      <c r="AJ868" t="s">
        <v>101</v>
      </c>
      <c r="AK868">
        <v>0</v>
      </c>
      <c r="AL868">
        <v>1638</v>
      </c>
      <c r="AM868">
        <v>1638</v>
      </c>
      <c r="AN868" t="s">
        <v>102</v>
      </c>
      <c r="AO868" t="s">
        <v>103</v>
      </c>
      <c r="AP868" t="s">
        <v>104</v>
      </c>
      <c r="AQ868" t="s">
        <v>105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96</v>
      </c>
      <c r="BC868">
        <v>6</v>
      </c>
      <c r="BD868" t="s">
        <v>106</v>
      </c>
      <c r="BE868">
        <v>1</v>
      </c>
      <c r="BF868" t="s">
        <v>96</v>
      </c>
      <c r="BG868" t="s">
        <v>107</v>
      </c>
      <c r="BH868">
        <v>2007</v>
      </c>
      <c r="BI868" t="s">
        <v>108</v>
      </c>
      <c r="BJ868">
        <v>3</v>
      </c>
      <c r="BK868">
        <v>870</v>
      </c>
      <c r="BL868" t="s">
        <v>97</v>
      </c>
      <c r="BM868" t="s">
        <v>97</v>
      </c>
      <c r="BN868" t="s">
        <v>104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X868">
        <v>0</v>
      </c>
      <c r="BY868">
        <v>11</v>
      </c>
      <c r="BZ868">
        <v>2007</v>
      </c>
      <c r="CA868" t="s">
        <v>157</v>
      </c>
      <c r="CB868" t="s">
        <v>158</v>
      </c>
      <c r="CC868">
        <v>248900</v>
      </c>
    </row>
    <row r="869" spans="1:81" x14ac:dyDescent="0.3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H869" t="s">
        <v>83</v>
      </c>
      <c r="I869" t="s">
        <v>84</v>
      </c>
      <c r="J869" t="s">
        <v>85</v>
      </c>
      <c r="K869" t="s">
        <v>121</v>
      </c>
      <c r="L869" t="s">
        <v>87</v>
      </c>
      <c r="M869" t="s">
        <v>150</v>
      </c>
      <c r="N869" t="s">
        <v>113</v>
      </c>
      <c r="O869" t="s">
        <v>89</v>
      </c>
      <c r="P869" t="s">
        <v>90</v>
      </c>
      <c r="Q869" t="s">
        <v>114</v>
      </c>
      <c r="R869">
        <v>4</v>
      </c>
      <c r="S869">
        <v>5</v>
      </c>
      <c r="T869">
        <v>1961</v>
      </c>
      <c r="U869">
        <v>1961</v>
      </c>
      <c r="V869" t="s">
        <v>92</v>
      </c>
      <c r="W869" t="s">
        <v>93</v>
      </c>
      <c r="X869" t="s">
        <v>94</v>
      </c>
      <c r="Y869" t="s">
        <v>94</v>
      </c>
      <c r="Z869" t="s">
        <v>116</v>
      </c>
      <c r="AA869">
        <v>0</v>
      </c>
      <c r="AB869" t="s">
        <v>97</v>
      </c>
      <c r="AC869" t="s">
        <v>97</v>
      </c>
      <c r="AD869" t="s">
        <v>117</v>
      </c>
      <c r="AE869" t="s">
        <v>97</v>
      </c>
      <c r="AF869" t="s">
        <v>97</v>
      </c>
      <c r="AG869" t="s">
        <v>99</v>
      </c>
      <c r="AH869" t="s">
        <v>118</v>
      </c>
      <c r="AI869">
        <v>932</v>
      </c>
      <c r="AJ869" t="s">
        <v>101</v>
      </c>
      <c r="AK869">
        <v>0</v>
      </c>
      <c r="AL869">
        <v>108</v>
      </c>
      <c r="AM869">
        <v>1040</v>
      </c>
      <c r="AN869" t="s">
        <v>102</v>
      </c>
      <c r="AO869" t="s">
        <v>97</v>
      </c>
      <c r="AP869" t="s">
        <v>104</v>
      </c>
      <c r="AQ869" t="s">
        <v>105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146</v>
      </c>
      <c r="BC869">
        <v>5</v>
      </c>
      <c r="BD869" t="s">
        <v>106</v>
      </c>
      <c r="BE869">
        <v>0</v>
      </c>
      <c r="BG869" t="s">
        <v>107</v>
      </c>
      <c r="BH869">
        <v>1961</v>
      </c>
      <c r="BI869" t="s">
        <v>108</v>
      </c>
      <c r="BJ869">
        <v>2</v>
      </c>
      <c r="BK869">
        <v>544</v>
      </c>
      <c r="BL869" t="s">
        <v>97</v>
      </c>
      <c r="BM869" t="s">
        <v>97</v>
      </c>
      <c r="BN869" t="s">
        <v>104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W869" t="s">
        <v>134</v>
      </c>
      <c r="BX869">
        <v>400</v>
      </c>
      <c r="BY869">
        <v>5</v>
      </c>
      <c r="BZ869">
        <v>2007</v>
      </c>
      <c r="CA869" t="s">
        <v>109</v>
      </c>
      <c r="CB869" t="s">
        <v>110</v>
      </c>
      <c r="CC869">
        <v>129000</v>
      </c>
    </row>
    <row r="870" spans="1:81" x14ac:dyDescent="0.3">
      <c r="A870">
        <v>869</v>
      </c>
      <c r="B870">
        <v>60</v>
      </c>
      <c r="C870" t="s">
        <v>81</v>
      </c>
      <c r="E870">
        <v>14762</v>
      </c>
      <c r="F870" t="s">
        <v>82</v>
      </c>
      <c r="H870" t="s">
        <v>159</v>
      </c>
      <c r="I870" t="s">
        <v>84</v>
      </c>
      <c r="J870" t="s">
        <v>85</v>
      </c>
      <c r="K870" t="s">
        <v>121</v>
      </c>
      <c r="L870" t="s">
        <v>87</v>
      </c>
      <c r="M870" t="s">
        <v>192</v>
      </c>
      <c r="N870" t="s">
        <v>113</v>
      </c>
      <c r="O870" t="s">
        <v>89</v>
      </c>
      <c r="P870" t="s">
        <v>90</v>
      </c>
      <c r="Q870" t="s">
        <v>91</v>
      </c>
      <c r="R870">
        <v>5</v>
      </c>
      <c r="S870">
        <v>6</v>
      </c>
      <c r="T870">
        <v>1948</v>
      </c>
      <c r="U870">
        <v>1950</v>
      </c>
      <c r="V870" t="s">
        <v>92</v>
      </c>
      <c r="W870" t="s">
        <v>93</v>
      </c>
      <c r="X870" t="s">
        <v>160</v>
      </c>
      <c r="Y870" t="s">
        <v>160</v>
      </c>
      <c r="Z870" t="s">
        <v>116</v>
      </c>
      <c r="AA870">
        <v>0</v>
      </c>
      <c r="AB870" t="s">
        <v>97</v>
      </c>
      <c r="AC870" t="s">
        <v>97</v>
      </c>
      <c r="AD870" t="s">
        <v>167</v>
      </c>
      <c r="AI870">
        <v>0</v>
      </c>
      <c r="AK870">
        <v>0</v>
      </c>
      <c r="AL870">
        <v>0</v>
      </c>
      <c r="AM870">
        <v>0</v>
      </c>
      <c r="AN870" t="s">
        <v>102</v>
      </c>
      <c r="AO870" t="s">
        <v>96</v>
      </c>
      <c r="AP870" t="s">
        <v>104</v>
      </c>
      <c r="AQ870" t="s">
        <v>105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97</v>
      </c>
      <c r="BC870">
        <v>7</v>
      </c>
      <c r="BD870" t="s">
        <v>106</v>
      </c>
      <c r="BE870">
        <v>1</v>
      </c>
      <c r="BF870" t="s">
        <v>97</v>
      </c>
      <c r="BG870" t="s">
        <v>107</v>
      </c>
      <c r="BH870">
        <v>1979</v>
      </c>
      <c r="BI870" t="s">
        <v>101</v>
      </c>
      <c r="BJ870">
        <v>2</v>
      </c>
      <c r="BK870">
        <v>672</v>
      </c>
      <c r="BL870" t="s">
        <v>97</v>
      </c>
      <c r="BM870" t="s">
        <v>97</v>
      </c>
      <c r="BN870" t="s">
        <v>189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X870">
        <v>0</v>
      </c>
      <c r="BY870">
        <v>5</v>
      </c>
      <c r="BZ870">
        <v>2006</v>
      </c>
      <c r="CA870" t="s">
        <v>109</v>
      </c>
      <c r="CB870" t="s">
        <v>110</v>
      </c>
      <c r="CC870">
        <v>169000</v>
      </c>
    </row>
    <row r="871" spans="1:81" x14ac:dyDescent="0.3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H871" t="s">
        <v>83</v>
      </c>
      <c r="I871" t="s">
        <v>84</v>
      </c>
      <c r="J871" t="s">
        <v>85</v>
      </c>
      <c r="K871" t="s">
        <v>86</v>
      </c>
      <c r="L871" t="s">
        <v>87</v>
      </c>
      <c r="M871" t="s">
        <v>169</v>
      </c>
      <c r="N871" t="s">
        <v>89</v>
      </c>
      <c r="O871" t="s">
        <v>89</v>
      </c>
      <c r="P871" t="s">
        <v>90</v>
      </c>
      <c r="Q871" t="s">
        <v>91</v>
      </c>
      <c r="R871">
        <v>7</v>
      </c>
      <c r="S871">
        <v>5</v>
      </c>
      <c r="T871">
        <v>1993</v>
      </c>
      <c r="U871">
        <v>1994</v>
      </c>
      <c r="V871" t="s">
        <v>92</v>
      </c>
      <c r="W871" t="s">
        <v>93</v>
      </c>
      <c r="X871" t="s">
        <v>115</v>
      </c>
      <c r="Y871" t="s">
        <v>115</v>
      </c>
      <c r="Z871" t="s">
        <v>95</v>
      </c>
      <c r="AA871">
        <v>246</v>
      </c>
      <c r="AB871" t="s">
        <v>96</v>
      </c>
      <c r="AC871" t="s">
        <v>97</v>
      </c>
      <c r="AD871" t="s">
        <v>98</v>
      </c>
      <c r="AE871" t="s">
        <v>96</v>
      </c>
      <c r="AF871" t="s">
        <v>97</v>
      </c>
      <c r="AG871" t="s">
        <v>99</v>
      </c>
      <c r="AH871" t="s">
        <v>100</v>
      </c>
      <c r="AI871">
        <v>750</v>
      </c>
      <c r="AJ871" t="s">
        <v>101</v>
      </c>
      <c r="AK871">
        <v>0</v>
      </c>
      <c r="AL871">
        <v>300</v>
      </c>
      <c r="AM871">
        <v>1050</v>
      </c>
      <c r="AN871" t="s">
        <v>102</v>
      </c>
      <c r="AO871" t="s">
        <v>103</v>
      </c>
      <c r="AP871" t="s">
        <v>104</v>
      </c>
      <c r="AQ871" t="s">
        <v>105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96</v>
      </c>
      <c r="BC871">
        <v>8</v>
      </c>
      <c r="BD871" t="s">
        <v>106</v>
      </c>
      <c r="BE871">
        <v>1</v>
      </c>
      <c r="BF871" t="s">
        <v>97</v>
      </c>
      <c r="BG871" t="s">
        <v>107</v>
      </c>
      <c r="BH871">
        <v>1993</v>
      </c>
      <c r="BI871" t="s">
        <v>156</v>
      </c>
      <c r="BJ871">
        <v>2</v>
      </c>
      <c r="BK871">
        <v>574</v>
      </c>
      <c r="BL871" t="s">
        <v>97</v>
      </c>
      <c r="BM871" t="s">
        <v>97</v>
      </c>
      <c r="BN871" t="s">
        <v>104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V871" t="s">
        <v>164</v>
      </c>
      <c r="BX871">
        <v>0</v>
      </c>
      <c r="BY871">
        <v>6</v>
      </c>
      <c r="BZ871">
        <v>2010</v>
      </c>
      <c r="CA871" t="s">
        <v>109</v>
      </c>
      <c r="CB871" t="s">
        <v>110</v>
      </c>
      <c r="CC871">
        <v>236000</v>
      </c>
    </row>
    <row r="872" spans="1:81" x14ac:dyDescent="0.3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H872" t="s">
        <v>83</v>
      </c>
      <c r="I872" t="s">
        <v>84</v>
      </c>
      <c r="J872" t="s">
        <v>85</v>
      </c>
      <c r="K872" t="s">
        <v>86</v>
      </c>
      <c r="L872" t="s">
        <v>87</v>
      </c>
      <c r="M872" t="s">
        <v>270</v>
      </c>
      <c r="N872" t="s">
        <v>138</v>
      </c>
      <c r="O872" t="s">
        <v>89</v>
      </c>
      <c r="P872" t="s">
        <v>90</v>
      </c>
      <c r="Q872" t="s">
        <v>114</v>
      </c>
      <c r="R872">
        <v>5</v>
      </c>
      <c r="S872">
        <v>5</v>
      </c>
      <c r="T872">
        <v>1962</v>
      </c>
      <c r="U872">
        <v>1962</v>
      </c>
      <c r="V872" t="s">
        <v>151</v>
      </c>
      <c r="W872" t="s">
        <v>93</v>
      </c>
      <c r="X872" t="s">
        <v>115</v>
      </c>
      <c r="Y872" t="s">
        <v>115</v>
      </c>
      <c r="Z872" t="s">
        <v>116</v>
      </c>
      <c r="AA872">
        <v>0</v>
      </c>
      <c r="AB872" t="s">
        <v>97</v>
      </c>
      <c r="AC872" t="s">
        <v>97</v>
      </c>
      <c r="AD872" t="s">
        <v>117</v>
      </c>
      <c r="AE872" t="s">
        <v>97</v>
      </c>
      <c r="AF872" t="s">
        <v>97</v>
      </c>
      <c r="AG872" t="s">
        <v>99</v>
      </c>
      <c r="AH872" t="s">
        <v>101</v>
      </c>
      <c r="AI872">
        <v>0</v>
      </c>
      <c r="AJ872" t="s">
        <v>101</v>
      </c>
      <c r="AK872">
        <v>0</v>
      </c>
      <c r="AL872">
        <v>894</v>
      </c>
      <c r="AM872">
        <v>894</v>
      </c>
      <c r="AN872" t="s">
        <v>102</v>
      </c>
      <c r="AO872" t="s">
        <v>96</v>
      </c>
      <c r="AP872" t="s">
        <v>176</v>
      </c>
      <c r="AQ872" t="s">
        <v>105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97</v>
      </c>
      <c r="BC872">
        <v>5</v>
      </c>
      <c r="BD872" t="s">
        <v>106</v>
      </c>
      <c r="BE872">
        <v>0</v>
      </c>
      <c r="BG872" t="s">
        <v>126</v>
      </c>
      <c r="BH872">
        <v>1962</v>
      </c>
      <c r="BI872" t="s">
        <v>101</v>
      </c>
      <c r="BJ872">
        <v>1</v>
      </c>
      <c r="BK872">
        <v>308</v>
      </c>
      <c r="BL872" t="s">
        <v>97</v>
      </c>
      <c r="BM872" t="s">
        <v>97</v>
      </c>
      <c r="BN872" t="s">
        <v>104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X872">
        <v>0</v>
      </c>
      <c r="BY872">
        <v>8</v>
      </c>
      <c r="BZ872">
        <v>2009</v>
      </c>
      <c r="CA872" t="s">
        <v>109</v>
      </c>
      <c r="CB872" t="s">
        <v>110</v>
      </c>
      <c r="CC872">
        <v>109500</v>
      </c>
    </row>
    <row r="873" spans="1:81" x14ac:dyDescent="0.3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H873" t="s">
        <v>83</v>
      </c>
      <c r="I873" t="s">
        <v>84</v>
      </c>
      <c r="J873" t="s">
        <v>85</v>
      </c>
      <c r="K873" t="s">
        <v>86</v>
      </c>
      <c r="L873" t="s">
        <v>87</v>
      </c>
      <c r="M873" t="s">
        <v>88</v>
      </c>
      <c r="N873" t="s">
        <v>89</v>
      </c>
      <c r="O873" t="s">
        <v>89</v>
      </c>
      <c r="P873" t="s">
        <v>90</v>
      </c>
      <c r="Q873" t="s">
        <v>91</v>
      </c>
      <c r="R873">
        <v>6</v>
      </c>
      <c r="S873">
        <v>5</v>
      </c>
      <c r="T873">
        <v>1998</v>
      </c>
      <c r="U873">
        <v>1998</v>
      </c>
      <c r="V873" t="s">
        <v>92</v>
      </c>
      <c r="W873" t="s">
        <v>93</v>
      </c>
      <c r="X873" t="s">
        <v>94</v>
      </c>
      <c r="Y873" t="s">
        <v>94</v>
      </c>
      <c r="Z873" t="s">
        <v>95</v>
      </c>
      <c r="AA873">
        <v>116</v>
      </c>
      <c r="AB873" t="s">
        <v>97</v>
      </c>
      <c r="AC873" t="s">
        <v>97</v>
      </c>
      <c r="AD873" t="s">
        <v>98</v>
      </c>
      <c r="AE873" t="s">
        <v>96</v>
      </c>
      <c r="AF873" t="s">
        <v>97</v>
      </c>
      <c r="AG873" t="s">
        <v>99</v>
      </c>
      <c r="AH873" t="s">
        <v>100</v>
      </c>
      <c r="AI873">
        <v>505</v>
      </c>
      <c r="AJ873" t="s">
        <v>101</v>
      </c>
      <c r="AK873">
        <v>0</v>
      </c>
      <c r="AL873">
        <v>299</v>
      </c>
      <c r="AM873">
        <v>804</v>
      </c>
      <c r="AN873" t="s">
        <v>102</v>
      </c>
      <c r="AO873" t="s">
        <v>103</v>
      </c>
      <c r="AP873" t="s">
        <v>104</v>
      </c>
      <c r="AQ873" t="s">
        <v>105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96</v>
      </c>
      <c r="BC873">
        <v>7</v>
      </c>
      <c r="BD873" t="s">
        <v>106</v>
      </c>
      <c r="BE873">
        <v>0</v>
      </c>
      <c r="BG873" t="s">
        <v>107</v>
      </c>
      <c r="BH873">
        <v>1998</v>
      </c>
      <c r="BI873" t="s">
        <v>108</v>
      </c>
      <c r="BJ873">
        <v>2</v>
      </c>
      <c r="BK873">
        <v>523</v>
      </c>
      <c r="BL873" t="s">
        <v>97</v>
      </c>
      <c r="BM873" t="s">
        <v>97</v>
      </c>
      <c r="BN873" t="s">
        <v>104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X873">
        <v>0</v>
      </c>
      <c r="BY873">
        <v>6</v>
      </c>
      <c r="BZ873">
        <v>2010</v>
      </c>
      <c r="CA873" t="s">
        <v>109</v>
      </c>
      <c r="CB873" t="s">
        <v>110</v>
      </c>
      <c r="CC873">
        <v>200500</v>
      </c>
    </row>
    <row r="874" spans="1:81" x14ac:dyDescent="0.3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H874" t="s">
        <v>83</v>
      </c>
      <c r="I874" t="s">
        <v>84</v>
      </c>
      <c r="J874" t="s">
        <v>85</v>
      </c>
      <c r="K874" t="s">
        <v>121</v>
      </c>
      <c r="L874" t="s">
        <v>87</v>
      </c>
      <c r="M874" t="s">
        <v>270</v>
      </c>
      <c r="N874" t="s">
        <v>89</v>
      </c>
      <c r="O874" t="s">
        <v>89</v>
      </c>
      <c r="P874" t="s">
        <v>90</v>
      </c>
      <c r="Q874" t="s">
        <v>114</v>
      </c>
      <c r="R874">
        <v>5</v>
      </c>
      <c r="S874">
        <v>7</v>
      </c>
      <c r="T874">
        <v>1953</v>
      </c>
      <c r="U874">
        <v>1996</v>
      </c>
      <c r="V874" t="s">
        <v>92</v>
      </c>
      <c r="W874" t="s">
        <v>93</v>
      </c>
      <c r="X874" t="s">
        <v>154</v>
      </c>
      <c r="Y874" t="s">
        <v>124</v>
      </c>
      <c r="Z874" t="s">
        <v>116</v>
      </c>
      <c r="AA874">
        <v>0</v>
      </c>
      <c r="AB874" t="s">
        <v>96</v>
      </c>
      <c r="AC874" t="s">
        <v>97</v>
      </c>
      <c r="AD874" t="s">
        <v>136</v>
      </c>
      <c r="AE874" t="s">
        <v>97</v>
      </c>
      <c r="AF874" t="s">
        <v>97</v>
      </c>
      <c r="AG874" t="s">
        <v>129</v>
      </c>
      <c r="AH874" t="s">
        <v>101</v>
      </c>
      <c r="AI874">
        <v>0</v>
      </c>
      <c r="AJ874" t="s">
        <v>101</v>
      </c>
      <c r="AK874">
        <v>0</v>
      </c>
      <c r="AL874">
        <v>105</v>
      </c>
      <c r="AM874">
        <v>105</v>
      </c>
      <c r="AN874" t="s">
        <v>102</v>
      </c>
      <c r="AO874" t="s">
        <v>96</v>
      </c>
      <c r="AP874" t="s">
        <v>104</v>
      </c>
      <c r="AQ874" t="s">
        <v>105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96</v>
      </c>
      <c r="BC874">
        <v>5</v>
      </c>
      <c r="BD874" t="s">
        <v>106</v>
      </c>
      <c r="BE874">
        <v>0</v>
      </c>
      <c r="BG874" t="s">
        <v>107</v>
      </c>
      <c r="BH874">
        <v>1953</v>
      </c>
      <c r="BI874" t="s">
        <v>101</v>
      </c>
      <c r="BJ874">
        <v>2</v>
      </c>
      <c r="BK874">
        <v>414</v>
      </c>
      <c r="BL874" t="s">
        <v>97</v>
      </c>
      <c r="BM874" t="s">
        <v>97</v>
      </c>
      <c r="BN874" t="s">
        <v>104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V874" t="s">
        <v>162</v>
      </c>
      <c r="BX874">
        <v>0</v>
      </c>
      <c r="BY874">
        <v>10</v>
      </c>
      <c r="BZ874">
        <v>2008</v>
      </c>
      <c r="CA874" t="s">
        <v>109</v>
      </c>
      <c r="CB874" t="s">
        <v>110</v>
      </c>
      <c r="CC874">
        <v>116000</v>
      </c>
    </row>
    <row r="875" spans="1:81" x14ac:dyDescent="0.3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H875" t="s">
        <v>83</v>
      </c>
      <c r="I875" t="s">
        <v>84</v>
      </c>
      <c r="J875" t="s">
        <v>85</v>
      </c>
      <c r="K875" t="s">
        <v>86</v>
      </c>
      <c r="L875" t="s">
        <v>87</v>
      </c>
      <c r="M875" t="s">
        <v>270</v>
      </c>
      <c r="N875" t="s">
        <v>89</v>
      </c>
      <c r="O875" t="s">
        <v>89</v>
      </c>
      <c r="P875" t="s">
        <v>90</v>
      </c>
      <c r="Q875" t="s">
        <v>114</v>
      </c>
      <c r="R875">
        <v>5</v>
      </c>
      <c r="S875">
        <v>7</v>
      </c>
      <c r="T875">
        <v>1949</v>
      </c>
      <c r="U875">
        <v>1950</v>
      </c>
      <c r="V875" t="s">
        <v>92</v>
      </c>
      <c r="W875" t="s">
        <v>93</v>
      </c>
      <c r="X875" t="s">
        <v>139</v>
      </c>
      <c r="Y875" t="s">
        <v>139</v>
      </c>
      <c r="Z875" t="s">
        <v>116</v>
      </c>
      <c r="AA875">
        <v>0</v>
      </c>
      <c r="AB875" t="s">
        <v>96</v>
      </c>
      <c r="AC875" t="s">
        <v>97</v>
      </c>
      <c r="AD875" t="s">
        <v>117</v>
      </c>
      <c r="AE875" t="s">
        <v>97</v>
      </c>
      <c r="AF875" t="s">
        <v>97</v>
      </c>
      <c r="AG875" t="s">
        <v>99</v>
      </c>
      <c r="AH875" t="s">
        <v>152</v>
      </c>
      <c r="AI875">
        <v>375</v>
      </c>
      <c r="AJ875" t="s">
        <v>101</v>
      </c>
      <c r="AK875">
        <v>0</v>
      </c>
      <c r="AL875">
        <v>457</v>
      </c>
      <c r="AM875">
        <v>832</v>
      </c>
      <c r="AN875" t="s">
        <v>102</v>
      </c>
      <c r="AO875" t="s">
        <v>96</v>
      </c>
      <c r="AP875" t="s">
        <v>104</v>
      </c>
      <c r="AQ875" t="s">
        <v>105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97</v>
      </c>
      <c r="BC875">
        <v>6</v>
      </c>
      <c r="BD875" t="s">
        <v>106</v>
      </c>
      <c r="BE875">
        <v>1</v>
      </c>
      <c r="BF875" t="s">
        <v>96</v>
      </c>
      <c r="BG875" t="s">
        <v>107</v>
      </c>
      <c r="BH875">
        <v>1949</v>
      </c>
      <c r="BI875" t="s">
        <v>101</v>
      </c>
      <c r="BJ875">
        <v>1</v>
      </c>
      <c r="BK875">
        <v>288</v>
      </c>
      <c r="BL875" t="s">
        <v>97</v>
      </c>
      <c r="BM875" t="s">
        <v>97</v>
      </c>
      <c r="BN875" t="s">
        <v>104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W875" t="s">
        <v>247</v>
      </c>
      <c r="BX875">
        <v>0</v>
      </c>
      <c r="BY875">
        <v>9</v>
      </c>
      <c r="BZ875">
        <v>2009</v>
      </c>
      <c r="CA875" t="s">
        <v>109</v>
      </c>
      <c r="CB875" t="s">
        <v>110</v>
      </c>
      <c r="CC875">
        <v>133000</v>
      </c>
    </row>
    <row r="876" spans="1:81" x14ac:dyDescent="0.3">
      <c r="A876">
        <v>875</v>
      </c>
      <c r="B876">
        <v>50</v>
      </c>
      <c r="C876" t="s">
        <v>141</v>
      </c>
      <c r="D876">
        <v>52</v>
      </c>
      <c r="E876">
        <v>5720</v>
      </c>
      <c r="F876" t="s">
        <v>82</v>
      </c>
      <c r="H876" t="s">
        <v>83</v>
      </c>
      <c r="I876" t="s">
        <v>84</v>
      </c>
      <c r="J876" t="s">
        <v>85</v>
      </c>
      <c r="K876" t="s">
        <v>86</v>
      </c>
      <c r="L876" t="s">
        <v>87</v>
      </c>
      <c r="M876" t="s">
        <v>142</v>
      </c>
      <c r="N876" t="s">
        <v>143</v>
      </c>
      <c r="O876" t="s">
        <v>89</v>
      </c>
      <c r="P876" t="s">
        <v>90</v>
      </c>
      <c r="Q876" t="s">
        <v>131</v>
      </c>
      <c r="R876">
        <v>5</v>
      </c>
      <c r="S876">
        <v>6</v>
      </c>
      <c r="T876">
        <v>1941</v>
      </c>
      <c r="U876">
        <v>1950</v>
      </c>
      <c r="V876" t="s">
        <v>92</v>
      </c>
      <c r="W876" t="s">
        <v>93</v>
      </c>
      <c r="X876" t="s">
        <v>123</v>
      </c>
      <c r="Y876" t="s">
        <v>123</v>
      </c>
      <c r="Z876" t="s">
        <v>116</v>
      </c>
      <c r="AA876">
        <v>0</v>
      </c>
      <c r="AB876" t="s">
        <v>97</v>
      </c>
      <c r="AC876" t="s">
        <v>97</v>
      </c>
      <c r="AD876" t="s">
        <v>117</v>
      </c>
      <c r="AE876" t="s">
        <v>97</v>
      </c>
      <c r="AF876" t="s">
        <v>97</v>
      </c>
      <c r="AG876" t="s">
        <v>99</v>
      </c>
      <c r="AH876" t="s">
        <v>101</v>
      </c>
      <c r="AI876">
        <v>0</v>
      </c>
      <c r="AJ876" t="s">
        <v>101</v>
      </c>
      <c r="AK876">
        <v>0</v>
      </c>
      <c r="AL876">
        <v>676</v>
      </c>
      <c r="AM876">
        <v>676</v>
      </c>
      <c r="AN876" t="s">
        <v>102</v>
      </c>
      <c r="AO876" t="s">
        <v>103</v>
      </c>
      <c r="AP876" t="s">
        <v>104</v>
      </c>
      <c r="AQ876" t="s">
        <v>105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97</v>
      </c>
      <c r="BC876">
        <v>5</v>
      </c>
      <c r="BD876" t="s">
        <v>106</v>
      </c>
      <c r="BE876">
        <v>0</v>
      </c>
      <c r="BG876" t="s">
        <v>126</v>
      </c>
      <c r="BH876">
        <v>1941</v>
      </c>
      <c r="BI876" t="s">
        <v>101</v>
      </c>
      <c r="BJ876">
        <v>1</v>
      </c>
      <c r="BK876">
        <v>200</v>
      </c>
      <c r="BL876" t="s">
        <v>97</v>
      </c>
      <c r="BM876" t="s">
        <v>97</v>
      </c>
      <c r="BN876" t="s">
        <v>104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X876">
        <v>0</v>
      </c>
      <c r="BY876">
        <v>8</v>
      </c>
      <c r="BZ876">
        <v>2009</v>
      </c>
      <c r="CA876" t="s">
        <v>109</v>
      </c>
      <c r="CB876" t="s">
        <v>127</v>
      </c>
      <c r="CC876">
        <v>66500</v>
      </c>
    </row>
    <row r="877" spans="1:81" x14ac:dyDescent="0.3">
      <c r="A877">
        <v>876</v>
      </c>
      <c r="B877">
        <v>60</v>
      </c>
      <c r="C877" t="s">
        <v>191</v>
      </c>
      <c r="D877">
        <v>75</v>
      </c>
      <c r="E877">
        <v>9000</v>
      </c>
      <c r="F877" t="s">
        <v>82</v>
      </c>
      <c r="H877" t="s">
        <v>83</v>
      </c>
      <c r="I877" t="s">
        <v>84</v>
      </c>
      <c r="J877" t="s">
        <v>85</v>
      </c>
      <c r="K877" t="s">
        <v>86</v>
      </c>
      <c r="L877" t="s">
        <v>87</v>
      </c>
      <c r="M877" t="s">
        <v>135</v>
      </c>
      <c r="N877" t="s">
        <v>89</v>
      </c>
      <c r="O877" t="s">
        <v>89</v>
      </c>
      <c r="P877" t="s">
        <v>90</v>
      </c>
      <c r="Q877" t="s">
        <v>91</v>
      </c>
      <c r="R877">
        <v>8</v>
      </c>
      <c r="S877">
        <v>5</v>
      </c>
      <c r="T877">
        <v>2007</v>
      </c>
      <c r="U877">
        <v>2007</v>
      </c>
      <c r="V877" t="s">
        <v>92</v>
      </c>
      <c r="W877" t="s">
        <v>93</v>
      </c>
      <c r="X877" t="s">
        <v>179</v>
      </c>
      <c r="Y877" t="s">
        <v>180</v>
      </c>
      <c r="Z877" t="s">
        <v>116</v>
      </c>
      <c r="AA877">
        <v>0</v>
      </c>
      <c r="AB877" t="s">
        <v>96</v>
      </c>
      <c r="AC877" t="s">
        <v>97</v>
      </c>
      <c r="AD877" t="s">
        <v>98</v>
      </c>
      <c r="AE877" t="s">
        <v>96</v>
      </c>
      <c r="AF877" t="s">
        <v>97</v>
      </c>
      <c r="AG877" t="s">
        <v>129</v>
      </c>
      <c r="AH877" t="s">
        <v>100</v>
      </c>
      <c r="AI877">
        <v>64</v>
      </c>
      <c r="AJ877" t="s">
        <v>101</v>
      </c>
      <c r="AK877">
        <v>0</v>
      </c>
      <c r="AL877">
        <v>1120</v>
      </c>
      <c r="AM877">
        <v>1184</v>
      </c>
      <c r="AN877" t="s">
        <v>102</v>
      </c>
      <c r="AO877" t="s">
        <v>103</v>
      </c>
      <c r="AP877" t="s">
        <v>104</v>
      </c>
      <c r="AQ877" t="s">
        <v>105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103</v>
      </c>
      <c r="BC877">
        <v>11</v>
      </c>
      <c r="BD877" t="s">
        <v>106</v>
      </c>
      <c r="BE877">
        <v>1</v>
      </c>
      <c r="BF877" t="s">
        <v>96</v>
      </c>
      <c r="BG877" t="s">
        <v>155</v>
      </c>
      <c r="BH877">
        <v>2007</v>
      </c>
      <c r="BI877" t="s">
        <v>156</v>
      </c>
      <c r="BJ877">
        <v>2</v>
      </c>
      <c r="BK877">
        <v>550</v>
      </c>
      <c r="BL877" t="s">
        <v>97</v>
      </c>
      <c r="BM877" t="s">
        <v>97</v>
      </c>
      <c r="BN877" t="s">
        <v>104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X877">
        <v>0</v>
      </c>
      <c r="BY877">
        <v>8</v>
      </c>
      <c r="BZ877">
        <v>2007</v>
      </c>
      <c r="CA877" t="s">
        <v>157</v>
      </c>
      <c r="CB877" t="s">
        <v>158</v>
      </c>
      <c r="CC877">
        <v>303477</v>
      </c>
    </row>
    <row r="878" spans="1:81" x14ac:dyDescent="0.3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H878" t="s">
        <v>83</v>
      </c>
      <c r="I878" t="s">
        <v>198</v>
      </c>
      <c r="J878" t="s">
        <v>85</v>
      </c>
      <c r="K878" t="s">
        <v>86</v>
      </c>
      <c r="L878" t="s">
        <v>193</v>
      </c>
      <c r="M878" t="s">
        <v>130</v>
      </c>
      <c r="N878" t="s">
        <v>89</v>
      </c>
      <c r="O878" t="s">
        <v>89</v>
      </c>
      <c r="P878" t="s">
        <v>90</v>
      </c>
      <c r="Q878" t="s">
        <v>114</v>
      </c>
      <c r="R878">
        <v>4</v>
      </c>
      <c r="S878">
        <v>5</v>
      </c>
      <c r="T878">
        <v>1963</v>
      </c>
      <c r="U878">
        <v>1963</v>
      </c>
      <c r="V878" t="s">
        <v>92</v>
      </c>
      <c r="W878" t="s">
        <v>93</v>
      </c>
      <c r="X878" t="s">
        <v>139</v>
      </c>
      <c r="Y878" t="s">
        <v>160</v>
      </c>
      <c r="Z878" t="s">
        <v>116</v>
      </c>
      <c r="AA878">
        <v>0</v>
      </c>
      <c r="AB878" t="s">
        <v>97</v>
      </c>
      <c r="AC878" t="s">
        <v>97</v>
      </c>
      <c r="AD878" t="s">
        <v>98</v>
      </c>
      <c r="AE878" t="s">
        <v>97</v>
      </c>
      <c r="AF878" t="s">
        <v>97</v>
      </c>
      <c r="AG878" t="s">
        <v>96</v>
      </c>
      <c r="AH878" t="s">
        <v>118</v>
      </c>
      <c r="AI878">
        <v>633</v>
      </c>
      <c r="AJ878" t="s">
        <v>101</v>
      </c>
      <c r="AK878">
        <v>0</v>
      </c>
      <c r="AL878">
        <v>431</v>
      </c>
      <c r="AM878">
        <v>1064</v>
      </c>
      <c r="AN878" t="s">
        <v>102</v>
      </c>
      <c r="AO878" t="s">
        <v>96</v>
      </c>
      <c r="AP878" t="s">
        <v>104</v>
      </c>
      <c r="AQ878" t="s">
        <v>105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97</v>
      </c>
      <c r="BC878">
        <v>5</v>
      </c>
      <c r="BD878" t="s">
        <v>106</v>
      </c>
      <c r="BE878">
        <v>0</v>
      </c>
      <c r="BG878" t="s">
        <v>107</v>
      </c>
      <c r="BH878">
        <v>1963</v>
      </c>
      <c r="BI878" t="s">
        <v>101</v>
      </c>
      <c r="BJ878">
        <v>2</v>
      </c>
      <c r="BK878">
        <v>648</v>
      </c>
      <c r="BL878" t="s">
        <v>97</v>
      </c>
      <c r="BM878" t="s">
        <v>97</v>
      </c>
      <c r="BN878" t="s">
        <v>104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X878">
        <v>0</v>
      </c>
      <c r="BY878">
        <v>1</v>
      </c>
      <c r="BZ878">
        <v>2007</v>
      </c>
      <c r="CA878" t="s">
        <v>109</v>
      </c>
      <c r="CB878" t="s">
        <v>110</v>
      </c>
      <c r="CC878">
        <v>132250</v>
      </c>
    </row>
    <row r="879" spans="1:81" x14ac:dyDescent="0.3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H879" t="s">
        <v>83</v>
      </c>
      <c r="I879" t="s">
        <v>84</v>
      </c>
      <c r="J879" t="s">
        <v>85</v>
      </c>
      <c r="K879" t="s">
        <v>86</v>
      </c>
      <c r="L879" t="s">
        <v>87</v>
      </c>
      <c r="M879" t="s">
        <v>153</v>
      </c>
      <c r="N879" t="s">
        <v>89</v>
      </c>
      <c r="O879" t="s">
        <v>89</v>
      </c>
      <c r="P879" t="s">
        <v>90</v>
      </c>
      <c r="Q879" t="s">
        <v>91</v>
      </c>
      <c r="R879">
        <v>9</v>
      </c>
      <c r="S879">
        <v>5</v>
      </c>
      <c r="T879">
        <v>2004</v>
      </c>
      <c r="U879">
        <v>2005</v>
      </c>
      <c r="V879" t="s">
        <v>151</v>
      </c>
      <c r="W879" t="s">
        <v>93</v>
      </c>
      <c r="X879" t="s">
        <v>94</v>
      </c>
      <c r="Y879" t="s">
        <v>94</v>
      </c>
      <c r="Z879" t="s">
        <v>136</v>
      </c>
      <c r="AA879">
        <v>216</v>
      </c>
      <c r="AB879" t="s">
        <v>96</v>
      </c>
      <c r="AC879" t="s">
        <v>97</v>
      </c>
      <c r="AD879" t="s">
        <v>98</v>
      </c>
      <c r="AE879" t="s">
        <v>103</v>
      </c>
      <c r="AF879" t="s">
        <v>97</v>
      </c>
      <c r="AG879" t="s">
        <v>99</v>
      </c>
      <c r="AH879" t="s">
        <v>100</v>
      </c>
      <c r="AI879">
        <v>1170</v>
      </c>
      <c r="AJ879" t="s">
        <v>101</v>
      </c>
      <c r="AK879">
        <v>0</v>
      </c>
      <c r="AL879">
        <v>292</v>
      </c>
      <c r="AM879">
        <v>1462</v>
      </c>
      <c r="AN879" t="s">
        <v>102</v>
      </c>
      <c r="AO879" t="s">
        <v>103</v>
      </c>
      <c r="AP879" t="s">
        <v>104</v>
      </c>
      <c r="AQ879" t="s">
        <v>105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103</v>
      </c>
      <c r="BC879">
        <v>10</v>
      </c>
      <c r="BD879" t="s">
        <v>106</v>
      </c>
      <c r="BE879">
        <v>1</v>
      </c>
      <c r="BF879" t="s">
        <v>96</v>
      </c>
      <c r="BG879" t="s">
        <v>107</v>
      </c>
      <c r="BH879">
        <v>2004</v>
      </c>
      <c r="BI879" t="s">
        <v>156</v>
      </c>
      <c r="BJ879">
        <v>3</v>
      </c>
      <c r="BK879">
        <v>738</v>
      </c>
      <c r="BL879" t="s">
        <v>97</v>
      </c>
      <c r="BM879" t="s">
        <v>97</v>
      </c>
      <c r="BN879" t="s">
        <v>104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X879">
        <v>0</v>
      </c>
      <c r="BY879">
        <v>6</v>
      </c>
      <c r="BZ879">
        <v>2009</v>
      </c>
      <c r="CA879" t="s">
        <v>109</v>
      </c>
      <c r="CB879" t="s">
        <v>110</v>
      </c>
      <c r="CC879">
        <v>350000</v>
      </c>
    </row>
    <row r="880" spans="1:81" x14ac:dyDescent="0.3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H880" t="s">
        <v>119</v>
      </c>
      <c r="I880" t="s">
        <v>84</v>
      </c>
      <c r="J880" t="s">
        <v>85</v>
      </c>
      <c r="K880" t="s">
        <v>86</v>
      </c>
      <c r="L880" t="s">
        <v>87</v>
      </c>
      <c r="M880" t="s">
        <v>150</v>
      </c>
      <c r="N880" t="s">
        <v>89</v>
      </c>
      <c r="O880" t="s">
        <v>89</v>
      </c>
      <c r="P880" t="s">
        <v>90</v>
      </c>
      <c r="Q880" t="s">
        <v>190</v>
      </c>
      <c r="R880">
        <v>5</v>
      </c>
      <c r="S880">
        <v>7</v>
      </c>
      <c r="T880">
        <v>1961</v>
      </c>
      <c r="U880">
        <v>1995</v>
      </c>
      <c r="V880" t="s">
        <v>92</v>
      </c>
      <c r="W880" t="s">
        <v>93</v>
      </c>
      <c r="X880" t="s">
        <v>139</v>
      </c>
      <c r="Y880" t="s">
        <v>139</v>
      </c>
      <c r="Z880" t="s">
        <v>116</v>
      </c>
      <c r="AA880">
        <v>0</v>
      </c>
      <c r="AB880" t="s">
        <v>97</v>
      </c>
      <c r="AC880" t="s">
        <v>97</v>
      </c>
      <c r="AD880" t="s">
        <v>117</v>
      </c>
      <c r="AE880" t="s">
        <v>97</v>
      </c>
      <c r="AF880" t="s">
        <v>97</v>
      </c>
      <c r="AG880" t="s">
        <v>129</v>
      </c>
      <c r="AH880" t="s">
        <v>118</v>
      </c>
      <c r="AI880">
        <v>899</v>
      </c>
      <c r="AJ880" t="s">
        <v>101</v>
      </c>
      <c r="AK880">
        <v>0</v>
      </c>
      <c r="AL880">
        <v>210</v>
      </c>
      <c r="AM880">
        <v>1109</v>
      </c>
      <c r="AN880" t="s">
        <v>102</v>
      </c>
      <c r="AO880" t="s">
        <v>97</v>
      </c>
      <c r="AP880" t="s">
        <v>104</v>
      </c>
      <c r="AQ880" t="s">
        <v>105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96</v>
      </c>
      <c r="BC880">
        <v>6</v>
      </c>
      <c r="BD880" t="s">
        <v>223</v>
      </c>
      <c r="BE880">
        <v>0</v>
      </c>
      <c r="BG880" t="s">
        <v>126</v>
      </c>
      <c r="BH880">
        <v>1987</v>
      </c>
      <c r="BI880" t="s">
        <v>101</v>
      </c>
      <c r="BJ880">
        <v>2</v>
      </c>
      <c r="BK880">
        <v>576</v>
      </c>
      <c r="BL880" t="s">
        <v>97</v>
      </c>
      <c r="BM880" t="s">
        <v>97</v>
      </c>
      <c r="BN880" t="s">
        <v>104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V880" t="s">
        <v>133</v>
      </c>
      <c r="BW880" t="s">
        <v>134</v>
      </c>
      <c r="BX880">
        <v>400</v>
      </c>
      <c r="BY880">
        <v>6</v>
      </c>
      <c r="BZ880">
        <v>2010</v>
      </c>
      <c r="CA880" t="s">
        <v>109</v>
      </c>
      <c r="CB880" t="s">
        <v>110</v>
      </c>
      <c r="CC880">
        <v>148000</v>
      </c>
    </row>
    <row r="881" spans="1:81" x14ac:dyDescent="0.3">
      <c r="A881">
        <v>880</v>
      </c>
      <c r="B881">
        <v>20</v>
      </c>
      <c r="C881" t="s">
        <v>81</v>
      </c>
      <c r="E881">
        <v>7000</v>
      </c>
      <c r="F881" t="s">
        <v>82</v>
      </c>
      <c r="H881" t="s">
        <v>119</v>
      </c>
      <c r="I881" t="s">
        <v>84</v>
      </c>
      <c r="J881" t="s">
        <v>85</v>
      </c>
      <c r="K881" t="s">
        <v>165</v>
      </c>
      <c r="L881" t="s">
        <v>87</v>
      </c>
      <c r="M881" t="s">
        <v>88</v>
      </c>
      <c r="N881" t="s">
        <v>89</v>
      </c>
      <c r="O881" t="s">
        <v>89</v>
      </c>
      <c r="P881" t="s">
        <v>90</v>
      </c>
      <c r="Q881" t="s">
        <v>114</v>
      </c>
      <c r="R881">
        <v>5</v>
      </c>
      <c r="S881">
        <v>8</v>
      </c>
      <c r="T881">
        <v>1978</v>
      </c>
      <c r="U881">
        <v>2005</v>
      </c>
      <c r="V881" t="s">
        <v>92</v>
      </c>
      <c r="W881" t="s">
        <v>93</v>
      </c>
      <c r="X881" t="s">
        <v>94</v>
      </c>
      <c r="Y881" t="s">
        <v>94</v>
      </c>
      <c r="Z881" t="s">
        <v>95</v>
      </c>
      <c r="AA881">
        <v>90</v>
      </c>
      <c r="AB881" t="s">
        <v>96</v>
      </c>
      <c r="AC881" t="s">
        <v>96</v>
      </c>
      <c r="AD881" t="s">
        <v>117</v>
      </c>
      <c r="AE881" t="s">
        <v>97</v>
      </c>
      <c r="AF881" t="s">
        <v>97</v>
      </c>
      <c r="AG881" t="s">
        <v>99</v>
      </c>
      <c r="AH881" t="s">
        <v>118</v>
      </c>
      <c r="AI881">
        <v>646</v>
      </c>
      <c r="AJ881" t="s">
        <v>101</v>
      </c>
      <c r="AK881">
        <v>0</v>
      </c>
      <c r="AL881">
        <v>218</v>
      </c>
      <c r="AM881">
        <v>864</v>
      </c>
      <c r="AN881" t="s">
        <v>102</v>
      </c>
      <c r="AO881" t="s">
        <v>103</v>
      </c>
      <c r="AP881" t="s">
        <v>104</v>
      </c>
      <c r="AQ881" t="s">
        <v>105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97</v>
      </c>
      <c r="BC881">
        <v>6</v>
      </c>
      <c r="BD881" t="s">
        <v>106</v>
      </c>
      <c r="BE881">
        <v>0</v>
      </c>
      <c r="BG881" t="s">
        <v>107</v>
      </c>
      <c r="BH881">
        <v>1978</v>
      </c>
      <c r="BI881" t="s">
        <v>101</v>
      </c>
      <c r="BJ881">
        <v>1</v>
      </c>
      <c r="BK881">
        <v>336</v>
      </c>
      <c r="BL881" t="s">
        <v>97</v>
      </c>
      <c r="BM881" t="s">
        <v>97</v>
      </c>
      <c r="BN881" t="s">
        <v>104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V881" t="s">
        <v>162</v>
      </c>
      <c r="BX881">
        <v>0</v>
      </c>
      <c r="BY881">
        <v>7</v>
      </c>
      <c r="BZ881">
        <v>2009</v>
      </c>
      <c r="CA881" t="s">
        <v>109</v>
      </c>
      <c r="CB881" t="s">
        <v>110</v>
      </c>
      <c r="CC881">
        <v>136500</v>
      </c>
    </row>
    <row r="882" spans="1:81" x14ac:dyDescent="0.3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H882" t="s">
        <v>83</v>
      </c>
      <c r="I882" t="s">
        <v>84</v>
      </c>
      <c r="J882" t="s">
        <v>85</v>
      </c>
      <c r="K882" t="s">
        <v>86</v>
      </c>
      <c r="L882" t="s">
        <v>87</v>
      </c>
      <c r="M882" t="s">
        <v>184</v>
      </c>
      <c r="N882" t="s">
        <v>89</v>
      </c>
      <c r="O882" t="s">
        <v>89</v>
      </c>
      <c r="P882" t="s">
        <v>90</v>
      </c>
      <c r="Q882" t="s">
        <v>114</v>
      </c>
      <c r="R882">
        <v>5</v>
      </c>
      <c r="S882">
        <v>5</v>
      </c>
      <c r="T882">
        <v>2005</v>
      </c>
      <c r="U882">
        <v>2006</v>
      </c>
      <c r="V882" t="s">
        <v>92</v>
      </c>
      <c r="W882" t="s">
        <v>93</v>
      </c>
      <c r="X882" t="s">
        <v>94</v>
      </c>
      <c r="Y882" t="s">
        <v>94</v>
      </c>
      <c r="Z882" t="s">
        <v>116</v>
      </c>
      <c r="AA882">
        <v>0</v>
      </c>
      <c r="AB882" t="s">
        <v>97</v>
      </c>
      <c r="AC882" t="s">
        <v>97</v>
      </c>
      <c r="AD882" t="s">
        <v>98</v>
      </c>
      <c r="AE882" t="s">
        <v>103</v>
      </c>
      <c r="AF882" t="s">
        <v>96</v>
      </c>
      <c r="AG882" t="s">
        <v>99</v>
      </c>
      <c r="AH882" t="s">
        <v>118</v>
      </c>
      <c r="AI882">
        <v>980</v>
      </c>
      <c r="AJ882" t="s">
        <v>101</v>
      </c>
      <c r="AK882">
        <v>0</v>
      </c>
      <c r="AL882">
        <v>110</v>
      </c>
      <c r="AM882">
        <v>1090</v>
      </c>
      <c r="AN882" t="s">
        <v>102</v>
      </c>
      <c r="AO882" t="s">
        <v>96</v>
      </c>
      <c r="AP882" t="s">
        <v>104</v>
      </c>
      <c r="AQ882" t="s">
        <v>105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97</v>
      </c>
      <c r="BC882">
        <v>5</v>
      </c>
      <c r="BD882" t="s">
        <v>106</v>
      </c>
      <c r="BE882">
        <v>0</v>
      </c>
      <c r="BG882" t="s">
        <v>107</v>
      </c>
      <c r="BH882">
        <v>2005</v>
      </c>
      <c r="BI882" t="s">
        <v>156</v>
      </c>
      <c r="BJ882">
        <v>2</v>
      </c>
      <c r="BK882">
        <v>450</v>
      </c>
      <c r="BL882" t="s">
        <v>97</v>
      </c>
      <c r="BM882" t="s">
        <v>97</v>
      </c>
      <c r="BN882" t="s">
        <v>104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X882">
        <v>0</v>
      </c>
      <c r="BY882">
        <v>6</v>
      </c>
      <c r="BZ882">
        <v>2007</v>
      </c>
      <c r="CA882" t="s">
        <v>109</v>
      </c>
      <c r="CB882" t="s">
        <v>110</v>
      </c>
      <c r="CC882">
        <v>157000</v>
      </c>
    </row>
    <row r="883" spans="1:81" x14ac:dyDescent="0.3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H883" t="s">
        <v>119</v>
      </c>
      <c r="I883" t="s">
        <v>84</v>
      </c>
      <c r="J883" t="s">
        <v>85</v>
      </c>
      <c r="K883" t="s">
        <v>165</v>
      </c>
      <c r="L883" t="s">
        <v>87</v>
      </c>
      <c r="M883" t="s">
        <v>188</v>
      </c>
      <c r="N883" t="s">
        <v>89</v>
      </c>
      <c r="O883" t="s">
        <v>89</v>
      </c>
      <c r="P883" t="s">
        <v>90</v>
      </c>
      <c r="Q883" t="s">
        <v>131</v>
      </c>
      <c r="R883">
        <v>7</v>
      </c>
      <c r="S883">
        <v>5</v>
      </c>
      <c r="T883">
        <v>1990</v>
      </c>
      <c r="U883">
        <v>1991</v>
      </c>
      <c r="V883" t="s">
        <v>92</v>
      </c>
      <c r="W883" t="s">
        <v>93</v>
      </c>
      <c r="X883" t="s">
        <v>139</v>
      </c>
      <c r="Y883" t="s">
        <v>139</v>
      </c>
      <c r="Z883" t="s">
        <v>95</v>
      </c>
      <c r="AA883">
        <v>117</v>
      </c>
      <c r="AB883" t="s">
        <v>96</v>
      </c>
      <c r="AC883" t="s">
        <v>96</v>
      </c>
      <c r="AD883" t="s">
        <v>117</v>
      </c>
      <c r="AE883" t="s">
        <v>96</v>
      </c>
      <c r="AF883" t="s">
        <v>97</v>
      </c>
      <c r="AG883" t="s">
        <v>120</v>
      </c>
      <c r="AH883" t="s">
        <v>171</v>
      </c>
      <c r="AI883">
        <v>902</v>
      </c>
      <c r="AJ883" t="s">
        <v>101</v>
      </c>
      <c r="AK883">
        <v>0</v>
      </c>
      <c r="AL883">
        <v>254</v>
      </c>
      <c r="AM883">
        <v>1156</v>
      </c>
      <c r="AN883" t="s">
        <v>102</v>
      </c>
      <c r="AO883" t="s">
        <v>103</v>
      </c>
      <c r="AP883" t="s">
        <v>104</v>
      </c>
      <c r="AQ883" t="s">
        <v>105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96</v>
      </c>
      <c r="BC883">
        <v>7</v>
      </c>
      <c r="BD883" t="s">
        <v>106</v>
      </c>
      <c r="BE883">
        <v>1</v>
      </c>
      <c r="BF883" t="s">
        <v>97</v>
      </c>
      <c r="BG883" t="s">
        <v>107</v>
      </c>
      <c r="BH883">
        <v>1990</v>
      </c>
      <c r="BI883" t="s">
        <v>108</v>
      </c>
      <c r="BJ883">
        <v>2</v>
      </c>
      <c r="BK883">
        <v>400</v>
      </c>
      <c r="BL883" t="s">
        <v>97</v>
      </c>
      <c r="BM883" t="s">
        <v>97</v>
      </c>
      <c r="BN883" t="s">
        <v>104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X883">
        <v>0</v>
      </c>
      <c r="BY883">
        <v>4</v>
      </c>
      <c r="BZ883">
        <v>2007</v>
      </c>
      <c r="CA883" t="s">
        <v>109</v>
      </c>
      <c r="CB883" t="s">
        <v>110</v>
      </c>
      <c r="CC883">
        <v>187500</v>
      </c>
    </row>
    <row r="884" spans="1:81" x14ac:dyDescent="0.3">
      <c r="A884">
        <v>883</v>
      </c>
      <c r="B884">
        <v>60</v>
      </c>
      <c r="C884" t="s">
        <v>81</v>
      </c>
      <c r="E884">
        <v>9636</v>
      </c>
      <c r="F884" t="s">
        <v>82</v>
      </c>
      <c r="H884" t="s">
        <v>119</v>
      </c>
      <c r="I884" t="s">
        <v>84</v>
      </c>
      <c r="J884" t="s">
        <v>85</v>
      </c>
      <c r="K884" t="s">
        <v>121</v>
      </c>
      <c r="L884" t="s">
        <v>87</v>
      </c>
      <c r="M884" t="s">
        <v>192</v>
      </c>
      <c r="N884" t="s">
        <v>89</v>
      </c>
      <c r="O884" t="s">
        <v>89</v>
      </c>
      <c r="P884" t="s">
        <v>90</v>
      </c>
      <c r="Q884" t="s">
        <v>91</v>
      </c>
      <c r="R884">
        <v>6</v>
      </c>
      <c r="S884">
        <v>5</v>
      </c>
      <c r="T884">
        <v>1992</v>
      </c>
      <c r="U884">
        <v>1993</v>
      </c>
      <c r="V884" t="s">
        <v>92</v>
      </c>
      <c r="W884" t="s">
        <v>93</v>
      </c>
      <c r="X884" t="s">
        <v>94</v>
      </c>
      <c r="Y884" t="s">
        <v>94</v>
      </c>
      <c r="Z884" t="s">
        <v>116</v>
      </c>
      <c r="AA884">
        <v>0</v>
      </c>
      <c r="AB884" t="s">
        <v>97</v>
      </c>
      <c r="AC884" t="s">
        <v>97</v>
      </c>
      <c r="AD884" t="s">
        <v>98</v>
      </c>
      <c r="AE884" t="s">
        <v>96</v>
      </c>
      <c r="AF884" t="s">
        <v>97</v>
      </c>
      <c r="AG884" t="s">
        <v>99</v>
      </c>
      <c r="AH884" t="s">
        <v>101</v>
      </c>
      <c r="AI884">
        <v>0</v>
      </c>
      <c r="AJ884" t="s">
        <v>101</v>
      </c>
      <c r="AK884">
        <v>0</v>
      </c>
      <c r="AL884">
        <v>808</v>
      </c>
      <c r="AM884">
        <v>808</v>
      </c>
      <c r="AN884" t="s">
        <v>102</v>
      </c>
      <c r="AO884" t="s">
        <v>96</v>
      </c>
      <c r="AP884" t="s">
        <v>104</v>
      </c>
      <c r="AQ884" t="s">
        <v>105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97</v>
      </c>
      <c r="BC884">
        <v>7</v>
      </c>
      <c r="BD884" t="s">
        <v>106</v>
      </c>
      <c r="BE884">
        <v>1</v>
      </c>
      <c r="BF884" t="s">
        <v>97</v>
      </c>
      <c r="BG884" t="s">
        <v>155</v>
      </c>
      <c r="BH884">
        <v>1993</v>
      </c>
      <c r="BI884" t="s">
        <v>108</v>
      </c>
      <c r="BJ884">
        <v>2</v>
      </c>
      <c r="BK884">
        <v>389</v>
      </c>
      <c r="BL884" t="s">
        <v>97</v>
      </c>
      <c r="BM884" t="s">
        <v>97</v>
      </c>
      <c r="BN884" t="s">
        <v>104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V884" t="s">
        <v>133</v>
      </c>
      <c r="BX884">
        <v>0</v>
      </c>
      <c r="BY884">
        <v>12</v>
      </c>
      <c r="BZ884">
        <v>2009</v>
      </c>
      <c r="CA884" t="s">
        <v>109</v>
      </c>
      <c r="CB884" t="s">
        <v>110</v>
      </c>
      <c r="CC884">
        <v>178000</v>
      </c>
    </row>
    <row r="885" spans="1:81" x14ac:dyDescent="0.3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H885" t="s">
        <v>83</v>
      </c>
      <c r="I885" t="s">
        <v>174</v>
      </c>
      <c r="J885" t="s">
        <v>85</v>
      </c>
      <c r="K885" t="s">
        <v>86</v>
      </c>
      <c r="L885" t="s">
        <v>87</v>
      </c>
      <c r="M885" t="s">
        <v>231</v>
      </c>
      <c r="N885" t="s">
        <v>89</v>
      </c>
      <c r="O885" t="s">
        <v>89</v>
      </c>
      <c r="P885" t="s">
        <v>90</v>
      </c>
      <c r="Q885" t="s">
        <v>224</v>
      </c>
      <c r="R885">
        <v>4</v>
      </c>
      <c r="S885">
        <v>5</v>
      </c>
      <c r="T885">
        <v>1912</v>
      </c>
      <c r="U885">
        <v>1950</v>
      </c>
      <c r="V885" t="s">
        <v>92</v>
      </c>
      <c r="W885" t="s">
        <v>93</v>
      </c>
      <c r="X885" t="s">
        <v>123</v>
      </c>
      <c r="Y885" t="s">
        <v>123</v>
      </c>
      <c r="Z885" t="s">
        <v>116</v>
      </c>
      <c r="AA885">
        <v>0</v>
      </c>
      <c r="AB885" t="s">
        <v>96</v>
      </c>
      <c r="AC885" t="s">
        <v>97</v>
      </c>
      <c r="AD885" t="s">
        <v>98</v>
      </c>
      <c r="AE885" t="s">
        <v>97</v>
      </c>
      <c r="AF885" t="s">
        <v>146</v>
      </c>
      <c r="AG885" t="s">
        <v>99</v>
      </c>
      <c r="AH885" t="s">
        <v>101</v>
      </c>
      <c r="AI885">
        <v>0</v>
      </c>
      <c r="AJ885" t="s">
        <v>101</v>
      </c>
      <c r="AK885">
        <v>0</v>
      </c>
      <c r="AL885">
        <v>795</v>
      </c>
      <c r="AM885">
        <v>795</v>
      </c>
      <c r="AN885" t="s">
        <v>102</v>
      </c>
      <c r="AO885" t="s">
        <v>97</v>
      </c>
      <c r="AP885" t="s">
        <v>176</v>
      </c>
      <c r="AQ885" t="s">
        <v>105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97</v>
      </c>
      <c r="BC885">
        <v>10</v>
      </c>
      <c r="BD885" t="s">
        <v>106</v>
      </c>
      <c r="BE885">
        <v>0</v>
      </c>
      <c r="BG885" t="s">
        <v>126</v>
      </c>
      <c r="BH885">
        <v>1997</v>
      </c>
      <c r="BI885" t="s">
        <v>101</v>
      </c>
      <c r="BJ885">
        <v>1</v>
      </c>
      <c r="BK885">
        <v>440</v>
      </c>
      <c r="BL885" t="s">
        <v>97</v>
      </c>
      <c r="BM885" t="s">
        <v>96</v>
      </c>
      <c r="BN885" t="s">
        <v>104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X885">
        <v>0</v>
      </c>
      <c r="BY885">
        <v>3</v>
      </c>
      <c r="BZ885">
        <v>2006</v>
      </c>
      <c r="CA885" t="s">
        <v>109</v>
      </c>
      <c r="CB885" t="s">
        <v>110</v>
      </c>
      <c r="CC885">
        <v>118500</v>
      </c>
    </row>
    <row r="886" spans="1:81" x14ac:dyDescent="0.3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H886" t="s">
        <v>83</v>
      </c>
      <c r="I886" t="s">
        <v>84</v>
      </c>
      <c r="J886" t="s">
        <v>85</v>
      </c>
      <c r="K886" t="s">
        <v>86</v>
      </c>
      <c r="L886" t="s">
        <v>87</v>
      </c>
      <c r="M886" t="s">
        <v>270</v>
      </c>
      <c r="N886" t="s">
        <v>89</v>
      </c>
      <c r="O886" t="s">
        <v>89</v>
      </c>
      <c r="P886" t="s">
        <v>90</v>
      </c>
      <c r="Q886" t="s">
        <v>114</v>
      </c>
      <c r="R886">
        <v>5</v>
      </c>
      <c r="S886">
        <v>5</v>
      </c>
      <c r="T886">
        <v>1967</v>
      </c>
      <c r="U886">
        <v>1967</v>
      </c>
      <c r="V886" t="s">
        <v>92</v>
      </c>
      <c r="W886" t="s">
        <v>93</v>
      </c>
      <c r="X886" t="s">
        <v>139</v>
      </c>
      <c r="Y886" t="s">
        <v>139</v>
      </c>
      <c r="Z886" t="s">
        <v>95</v>
      </c>
      <c r="AA886">
        <v>60</v>
      </c>
      <c r="AB886" t="s">
        <v>97</v>
      </c>
      <c r="AC886" t="s">
        <v>97</v>
      </c>
      <c r="AD886" t="s">
        <v>117</v>
      </c>
      <c r="AE886" t="s">
        <v>97</v>
      </c>
      <c r="AF886" t="s">
        <v>97</v>
      </c>
      <c r="AG886" t="s">
        <v>99</v>
      </c>
      <c r="AH886" t="s">
        <v>140</v>
      </c>
      <c r="AI886">
        <v>432</v>
      </c>
      <c r="AJ886" t="s">
        <v>101</v>
      </c>
      <c r="AK886">
        <v>0</v>
      </c>
      <c r="AL886">
        <v>460</v>
      </c>
      <c r="AM886">
        <v>892</v>
      </c>
      <c r="AN886" t="s">
        <v>102</v>
      </c>
      <c r="AO886" t="s">
        <v>97</v>
      </c>
      <c r="AP886" t="s">
        <v>104</v>
      </c>
      <c r="AQ886" t="s">
        <v>105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97</v>
      </c>
      <c r="BC886">
        <v>5</v>
      </c>
      <c r="BD886" t="s">
        <v>106</v>
      </c>
      <c r="BE886">
        <v>0</v>
      </c>
      <c r="BG886" t="s">
        <v>107</v>
      </c>
      <c r="BH886">
        <v>1967</v>
      </c>
      <c r="BI886" t="s">
        <v>108</v>
      </c>
      <c r="BJ886">
        <v>1</v>
      </c>
      <c r="BK886">
        <v>288</v>
      </c>
      <c r="BL886" t="s">
        <v>97</v>
      </c>
      <c r="BM886" t="s">
        <v>97</v>
      </c>
      <c r="BN886" t="s">
        <v>104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V886" t="s">
        <v>162</v>
      </c>
      <c r="BX886">
        <v>0</v>
      </c>
      <c r="BY886">
        <v>7</v>
      </c>
      <c r="BZ886">
        <v>2009</v>
      </c>
      <c r="CA886" t="s">
        <v>109</v>
      </c>
      <c r="CB886" t="s">
        <v>110</v>
      </c>
      <c r="CC886">
        <v>100000</v>
      </c>
    </row>
    <row r="887" spans="1:81" x14ac:dyDescent="0.3">
      <c r="A887">
        <v>886</v>
      </c>
      <c r="B887">
        <v>120</v>
      </c>
      <c r="C887" t="s">
        <v>191</v>
      </c>
      <c r="D887">
        <v>50</v>
      </c>
      <c r="E887">
        <v>5119</v>
      </c>
      <c r="F887" t="s">
        <v>82</v>
      </c>
      <c r="H887" t="s">
        <v>119</v>
      </c>
      <c r="I887" t="s">
        <v>84</v>
      </c>
      <c r="J887" t="s">
        <v>85</v>
      </c>
      <c r="K887" t="s">
        <v>165</v>
      </c>
      <c r="L887" t="s">
        <v>87</v>
      </c>
      <c r="M887" t="s">
        <v>135</v>
      </c>
      <c r="N887" t="s">
        <v>89</v>
      </c>
      <c r="O887" t="s">
        <v>89</v>
      </c>
      <c r="P887" t="s">
        <v>178</v>
      </c>
      <c r="Q887" t="s">
        <v>114</v>
      </c>
      <c r="R887">
        <v>9</v>
      </c>
      <c r="S887">
        <v>5</v>
      </c>
      <c r="T887">
        <v>1999</v>
      </c>
      <c r="U887">
        <v>2000</v>
      </c>
      <c r="V887" t="s">
        <v>92</v>
      </c>
      <c r="W887" t="s">
        <v>93</v>
      </c>
      <c r="X887" t="s">
        <v>115</v>
      </c>
      <c r="Y887" t="s">
        <v>115</v>
      </c>
      <c r="Z887" t="s">
        <v>95</v>
      </c>
      <c r="AA887">
        <v>60</v>
      </c>
      <c r="AB887" t="s">
        <v>96</v>
      </c>
      <c r="AC887" t="s">
        <v>97</v>
      </c>
      <c r="AD887" t="s">
        <v>98</v>
      </c>
      <c r="AE887" t="s">
        <v>103</v>
      </c>
      <c r="AF887" t="s">
        <v>97</v>
      </c>
      <c r="AG887" t="s">
        <v>129</v>
      </c>
      <c r="AH887" t="s">
        <v>100</v>
      </c>
      <c r="AI887">
        <v>1238</v>
      </c>
      <c r="AJ887" t="s">
        <v>101</v>
      </c>
      <c r="AK887">
        <v>0</v>
      </c>
      <c r="AL887">
        <v>460</v>
      </c>
      <c r="AM887">
        <v>1698</v>
      </c>
      <c r="AN887" t="s">
        <v>102</v>
      </c>
      <c r="AO887" t="s">
        <v>103</v>
      </c>
      <c r="AP887" t="s">
        <v>104</v>
      </c>
      <c r="AQ887" t="s">
        <v>105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96</v>
      </c>
      <c r="BC887">
        <v>5</v>
      </c>
      <c r="BD887" t="s">
        <v>106</v>
      </c>
      <c r="BE887">
        <v>1</v>
      </c>
      <c r="BF887" t="s">
        <v>97</v>
      </c>
      <c r="BG887" t="s">
        <v>107</v>
      </c>
      <c r="BH887">
        <v>1999</v>
      </c>
      <c r="BI887" t="s">
        <v>156</v>
      </c>
      <c r="BJ887">
        <v>2</v>
      </c>
      <c r="BK887">
        <v>506</v>
      </c>
      <c r="BL887" t="s">
        <v>97</v>
      </c>
      <c r="BM887" t="s">
        <v>97</v>
      </c>
      <c r="BN887" t="s">
        <v>104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X887">
        <v>0</v>
      </c>
      <c r="BY887">
        <v>1</v>
      </c>
      <c r="BZ887">
        <v>2008</v>
      </c>
      <c r="CA887" t="s">
        <v>229</v>
      </c>
      <c r="CB887" t="s">
        <v>127</v>
      </c>
      <c r="CC887">
        <v>328900</v>
      </c>
    </row>
    <row r="888" spans="1:81" x14ac:dyDescent="0.3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H888" t="s">
        <v>83</v>
      </c>
      <c r="I888" t="s">
        <v>84</v>
      </c>
      <c r="J888" t="s">
        <v>85</v>
      </c>
      <c r="K888" t="s">
        <v>121</v>
      </c>
      <c r="L888" t="s">
        <v>87</v>
      </c>
      <c r="M888" t="s">
        <v>270</v>
      </c>
      <c r="N888" t="s">
        <v>89</v>
      </c>
      <c r="O888" t="s">
        <v>89</v>
      </c>
      <c r="P888" t="s">
        <v>166</v>
      </c>
      <c r="Q888" t="s">
        <v>114</v>
      </c>
      <c r="R888">
        <v>5</v>
      </c>
      <c r="S888">
        <v>5</v>
      </c>
      <c r="T888">
        <v>1959</v>
      </c>
      <c r="U888">
        <v>2005</v>
      </c>
      <c r="V888" t="s">
        <v>92</v>
      </c>
      <c r="W888" t="s">
        <v>93</v>
      </c>
      <c r="X888" t="s">
        <v>115</v>
      </c>
      <c r="Y888" t="s">
        <v>115</v>
      </c>
      <c r="Z888" t="s">
        <v>95</v>
      </c>
      <c r="AA888">
        <v>122</v>
      </c>
      <c r="AB888" t="s">
        <v>97</v>
      </c>
      <c r="AC888" t="s">
        <v>97</v>
      </c>
      <c r="AD888" t="s">
        <v>117</v>
      </c>
      <c r="AE888" t="s">
        <v>97</v>
      </c>
      <c r="AF888" t="s">
        <v>97</v>
      </c>
      <c r="AG888" t="s">
        <v>99</v>
      </c>
      <c r="AH888" t="s">
        <v>171</v>
      </c>
      <c r="AI888">
        <v>528</v>
      </c>
      <c r="AJ888" t="s">
        <v>101</v>
      </c>
      <c r="AK888">
        <v>0</v>
      </c>
      <c r="AL888">
        <v>1098</v>
      </c>
      <c r="AM888">
        <v>1626</v>
      </c>
      <c r="AN888" t="s">
        <v>102</v>
      </c>
      <c r="AO888" t="s">
        <v>103</v>
      </c>
      <c r="AP888" t="s">
        <v>104</v>
      </c>
      <c r="AQ888" t="s">
        <v>105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97</v>
      </c>
      <c r="BC888">
        <v>8</v>
      </c>
      <c r="BD888" t="s">
        <v>106</v>
      </c>
      <c r="BE888">
        <v>0</v>
      </c>
      <c r="BG888" t="s">
        <v>107</v>
      </c>
      <c r="BH888">
        <v>2005</v>
      </c>
      <c r="BI888" t="s">
        <v>156</v>
      </c>
      <c r="BJ888">
        <v>2</v>
      </c>
      <c r="BK888">
        <v>588</v>
      </c>
      <c r="BL888" t="s">
        <v>97</v>
      </c>
      <c r="BM888" t="s">
        <v>97</v>
      </c>
      <c r="BN888" t="s">
        <v>104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X888">
        <v>0</v>
      </c>
      <c r="BY888">
        <v>6</v>
      </c>
      <c r="BZ888">
        <v>2006</v>
      </c>
      <c r="CA888" t="s">
        <v>109</v>
      </c>
      <c r="CB888" t="s">
        <v>218</v>
      </c>
      <c r="CC888">
        <v>145000</v>
      </c>
    </row>
    <row r="889" spans="1:81" x14ac:dyDescent="0.3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H889" t="s">
        <v>119</v>
      </c>
      <c r="I889" t="s">
        <v>84</v>
      </c>
      <c r="J889" t="s">
        <v>85</v>
      </c>
      <c r="K889" t="s">
        <v>86</v>
      </c>
      <c r="L889" t="s">
        <v>87</v>
      </c>
      <c r="M889" t="s">
        <v>184</v>
      </c>
      <c r="N889" t="s">
        <v>89</v>
      </c>
      <c r="O889" t="s">
        <v>89</v>
      </c>
      <c r="P889" t="s">
        <v>90</v>
      </c>
      <c r="Q889" t="s">
        <v>131</v>
      </c>
      <c r="R889">
        <v>5</v>
      </c>
      <c r="S889">
        <v>7</v>
      </c>
      <c r="T889">
        <v>1955</v>
      </c>
      <c r="U889">
        <v>1955</v>
      </c>
      <c r="V889" t="s">
        <v>92</v>
      </c>
      <c r="W889" t="s">
        <v>93</v>
      </c>
      <c r="X889" t="s">
        <v>115</v>
      </c>
      <c r="Y889" t="s">
        <v>115</v>
      </c>
      <c r="Z889" t="s">
        <v>116</v>
      </c>
      <c r="AA889">
        <v>0</v>
      </c>
      <c r="AB889" t="s">
        <v>97</v>
      </c>
      <c r="AC889" t="s">
        <v>96</v>
      </c>
      <c r="AD889" t="s">
        <v>98</v>
      </c>
      <c r="AE889" t="s">
        <v>97</v>
      </c>
      <c r="AF889" t="s">
        <v>97</v>
      </c>
      <c r="AG889" t="s">
        <v>99</v>
      </c>
      <c r="AH889" t="s">
        <v>101</v>
      </c>
      <c r="AI889">
        <v>0</v>
      </c>
      <c r="AJ889" t="s">
        <v>101</v>
      </c>
      <c r="AK889">
        <v>0</v>
      </c>
      <c r="AL889">
        <v>816</v>
      </c>
      <c r="AM889">
        <v>816</v>
      </c>
      <c r="AN889" t="s">
        <v>102</v>
      </c>
      <c r="AO889" t="s">
        <v>97</v>
      </c>
      <c r="AP889" t="s">
        <v>104</v>
      </c>
      <c r="AQ889" t="s">
        <v>105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97</v>
      </c>
      <c r="BC889">
        <v>8</v>
      </c>
      <c r="BD889" t="s">
        <v>106</v>
      </c>
      <c r="BE889">
        <v>0</v>
      </c>
      <c r="BG889" t="s">
        <v>107</v>
      </c>
      <c r="BH889">
        <v>1955</v>
      </c>
      <c r="BI889" t="s">
        <v>101</v>
      </c>
      <c r="BJ889">
        <v>1</v>
      </c>
      <c r="BK889">
        <v>300</v>
      </c>
      <c r="BL889" t="s">
        <v>97</v>
      </c>
      <c r="BM889" t="s">
        <v>97</v>
      </c>
      <c r="BN889" t="s">
        <v>104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X889">
        <v>0</v>
      </c>
      <c r="BY889">
        <v>4</v>
      </c>
      <c r="BZ889">
        <v>2008</v>
      </c>
      <c r="CA889" t="s">
        <v>109</v>
      </c>
      <c r="CB889" t="s">
        <v>110</v>
      </c>
      <c r="CC889">
        <v>135500</v>
      </c>
    </row>
    <row r="890" spans="1:81" x14ac:dyDescent="0.3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H890" t="s">
        <v>119</v>
      </c>
      <c r="I890" t="s">
        <v>84</v>
      </c>
      <c r="J890" t="s">
        <v>85</v>
      </c>
      <c r="K890" t="s">
        <v>86</v>
      </c>
      <c r="L890" t="s">
        <v>193</v>
      </c>
      <c r="M890" t="s">
        <v>270</v>
      </c>
      <c r="N890" t="s">
        <v>89</v>
      </c>
      <c r="O890" t="s">
        <v>89</v>
      </c>
      <c r="P890" t="s">
        <v>90</v>
      </c>
      <c r="Q890" t="s">
        <v>114</v>
      </c>
      <c r="R890">
        <v>8</v>
      </c>
      <c r="S890">
        <v>6</v>
      </c>
      <c r="T890">
        <v>1970</v>
      </c>
      <c r="U890">
        <v>1970</v>
      </c>
      <c r="V890" t="s">
        <v>213</v>
      </c>
      <c r="W890" t="s">
        <v>241</v>
      </c>
      <c r="X890" t="s">
        <v>123</v>
      </c>
      <c r="Y890" t="s">
        <v>123</v>
      </c>
      <c r="Z890" t="s">
        <v>116</v>
      </c>
      <c r="AA890">
        <v>0</v>
      </c>
      <c r="AB890" t="s">
        <v>96</v>
      </c>
      <c r="AC890" t="s">
        <v>96</v>
      </c>
      <c r="AD890" t="s">
        <v>98</v>
      </c>
      <c r="AE890" t="s">
        <v>97</v>
      </c>
      <c r="AF890" t="s">
        <v>96</v>
      </c>
      <c r="AG890" t="s">
        <v>96</v>
      </c>
      <c r="AH890" t="s">
        <v>118</v>
      </c>
      <c r="AI890">
        <v>351</v>
      </c>
      <c r="AJ890" t="s">
        <v>152</v>
      </c>
      <c r="AK890">
        <v>823</v>
      </c>
      <c r="AL890">
        <v>1043</v>
      </c>
      <c r="AM890">
        <v>2217</v>
      </c>
      <c r="AN890" t="s">
        <v>102</v>
      </c>
      <c r="AO890" t="s">
        <v>103</v>
      </c>
      <c r="AP890" t="s">
        <v>104</v>
      </c>
      <c r="AQ890" t="s">
        <v>105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96</v>
      </c>
      <c r="BC890">
        <v>8</v>
      </c>
      <c r="BD890" t="s">
        <v>106</v>
      </c>
      <c r="BE890">
        <v>1</v>
      </c>
      <c r="BF890" t="s">
        <v>97</v>
      </c>
      <c r="BG890" t="s">
        <v>107</v>
      </c>
      <c r="BH890">
        <v>1970</v>
      </c>
      <c r="BI890" t="s">
        <v>101</v>
      </c>
      <c r="BJ890">
        <v>2</v>
      </c>
      <c r="BK890">
        <v>621</v>
      </c>
      <c r="BL890" t="s">
        <v>97</v>
      </c>
      <c r="BM890" t="s">
        <v>97</v>
      </c>
      <c r="BN890" t="s">
        <v>104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X890">
        <v>0</v>
      </c>
      <c r="BY890">
        <v>10</v>
      </c>
      <c r="BZ890">
        <v>2007</v>
      </c>
      <c r="CA890" t="s">
        <v>109</v>
      </c>
      <c r="CB890" t="s">
        <v>110</v>
      </c>
      <c r="CC890">
        <v>268000</v>
      </c>
    </row>
    <row r="891" spans="1:81" x14ac:dyDescent="0.3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H891" t="s">
        <v>83</v>
      </c>
      <c r="I891" t="s">
        <v>84</v>
      </c>
      <c r="J891" t="s">
        <v>85</v>
      </c>
      <c r="K891" t="s">
        <v>86</v>
      </c>
      <c r="L891" t="s">
        <v>87</v>
      </c>
      <c r="M891" t="s">
        <v>270</v>
      </c>
      <c r="N891" t="s">
        <v>113</v>
      </c>
      <c r="O891" t="s">
        <v>89</v>
      </c>
      <c r="P891" t="s">
        <v>90</v>
      </c>
      <c r="Q891" t="s">
        <v>114</v>
      </c>
      <c r="R891">
        <v>6</v>
      </c>
      <c r="S891">
        <v>4</v>
      </c>
      <c r="T891">
        <v>1953</v>
      </c>
      <c r="U891">
        <v>1953</v>
      </c>
      <c r="V891" t="s">
        <v>151</v>
      </c>
      <c r="W891" t="s">
        <v>93</v>
      </c>
      <c r="X891" t="s">
        <v>123</v>
      </c>
      <c r="Y891" t="s">
        <v>123</v>
      </c>
      <c r="Z891" t="s">
        <v>95</v>
      </c>
      <c r="AA891">
        <v>90</v>
      </c>
      <c r="AB891" t="s">
        <v>97</v>
      </c>
      <c r="AC891" t="s">
        <v>97</v>
      </c>
      <c r="AD891" t="s">
        <v>117</v>
      </c>
      <c r="AE891" t="s">
        <v>97</v>
      </c>
      <c r="AF891" t="s">
        <v>97</v>
      </c>
      <c r="AG891" t="s">
        <v>99</v>
      </c>
      <c r="AH891" t="s">
        <v>140</v>
      </c>
      <c r="AI891">
        <v>1024</v>
      </c>
      <c r="AJ891" t="s">
        <v>101</v>
      </c>
      <c r="AK891">
        <v>0</v>
      </c>
      <c r="AL891">
        <v>481</v>
      </c>
      <c r="AM891">
        <v>1505</v>
      </c>
      <c r="AN891" t="s">
        <v>102</v>
      </c>
      <c r="AO891" t="s">
        <v>103</v>
      </c>
      <c r="AP891" t="s">
        <v>104</v>
      </c>
      <c r="AQ891" t="s">
        <v>105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97</v>
      </c>
      <c r="BC891">
        <v>6</v>
      </c>
      <c r="BD891" t="s">
        <v>106</v>
      </c>
      <c r="BE891">
        <v>1</v>
      </c>
      <c r="BF891" t="s">
        <v>97</v>
      </c>
      <c r="BG891" t="s">
        <v>107</v>
      </c>
      <c r="BH891">
        <v>1953</v>
      </c>
      <c r="BI891" t="s">
        <v>108</v>
      </c>
      <c r="BJ891">
        <v>2</v>
      </c>
      <c r="BK891">
        <v>505</v>
      </c>
      <c r="BL891" t="s">
        <v>97</v>
      </c>
      <c r="BM891" t="s">
        <v>97</v>
      </c>
      <c r="BN891" t="s">
        <v>104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X891">
        <v>0</v>
      </c>
      <c r="BY891">
        <v>2</v>
      </c>
      <c r="BZ891">
        <v>2009</v>
      </c>
      <c r="CA891" t="s">
        <v>109</v>
      </c>
      <c r="CB891" t="s">
        <v>110</v>
      </c>
      <c r="CC891">
        <v>149500</v>
      </c>
    </row>
    <row r="892" spans="1:81" x14ac:dyDescent="0.3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H892" t="s">
        <v>83</v>
      </c>
      <c r="I892" t="s">
        <v>84</v>
      </c>
      <c r="J892" t="s">
        <v>85</v>
      </c>
      <c r="K892" t="s">
        <v>121</v>
      </c>
      <c r="L892" t="s">
        <v>87</v>
      </c>
      <c r="M892" t="s">
        <v>270</v>
      </c>
      <c r="N892" t="s">
        <v>143</v>
      </c>
      <c r="O892" t="s">
        <v>89</v>
      </c>
      <c r="P892" t="s">
        <v>90</v>
      </c>
      <c r="Q892" t="s">
        <v>131</v>
      </c>
      <c r="R892">
        <v>5</v>
      </c>
      <c r="S892">
        <v>7</v>
      </c>
      <c r="T892">
        <v>1949</v>
      </c>
      <c r="U892">
        <v>2006</v>
      </c>
      <c r="V892" t="s">
        <v>92</v>
      </c>
      <c r="W892" t="s">
        <v>93</v>
      </c>
      <c r="X892" t="s">
        <v>115</v>
      </c>
      <c r="Y892" t="s">
        <v>115</v>
      </c>
      <c r="Z892" t="s">
        <v>116</v>
      </c>
      <c r="AA892">
        <v>0</v>
      </c>
      <c r="AB892" t="s">
        <v>97</v>
      </c>
      <c r="AC892" t="s">
        <v>96</v>
      </c>
      <c r="AD892" t="s">
        <v>117</v>
      </c>
      <c r="AE892" t="s">
        <v>97</v>
      </c>
      <c r="AF892" t="s">
        <v>97</v>
      </c>
      <c r="AG892" t="s">
        <v>120</v>
      </c>
      <c r="AH892" t="s">
        <v>101</v>
      </c>
      <c r="AI892">
        <v>0</v>
      </c>
      <c r="AJ892" t="s">
        <v>101</v>
      </c>
      <c r="AK892">
        <v>0</v>
      </c>
      <c r="AL892">
        <v>672</v>
      </c>
      <c r="AM892">
        <v>672</v>
      </c>
      <c r="AN892" t="s">
        <v>102</v>
      </c>
      <c r="AO892" t="s">
        <v>103</v>
      </c>
      <c r="AP892" t="s">
        <v>104</v>
      </c>
      <c r="AQ892" t="s">
        <v>105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97</v>
      </c>
      <c r="BC892">
        <v>6</v>
      </c>
      <c r="BD892" t="s">
        <v>106</v>
      </c>
      <c r="BE892">
        <v>1</v>
      </c>
      <c r="BF892" t="s">
        <v>211</v>
      </c>
      <c r="BG892" t="s">
        <v>126</v>
      </c>
      <c r="BH892">
        <v>2003</v>
      </c>
      <c r="BI892" t="s">
        <v>101</v>
      </c>
      <c r="BJ892">
        <v>2</v>
      </c>
      <c r="BK892">
        <v>576</v>
      </c>
      <c r="BL892" t="s">
        <v>97</v>
      </c>
      <c r="BM892" t="s">
        <v>97</v>
      </c>
      <c r="BN892" t="s">
        <v>104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V892" t="s">
        <v>133</v>
      </c>
      <c r="BW892" t="s">
        <v>134</v>
      </c>
      <c r="BX892">
        <v>2000</v>
      </c>
      <c r="BY892">
        <v>7</v>
      </c>
      <c r="BZ892">
        <v>2007</v>
      </c>
      <c r="CA892" t="s">
        <v>109</v>
      </c>
      <c r="CB892" t="s">
        <v>110</v>
      </c>
      <c r="CC892">
        <v>122900</v>
      </c>
    </row>
    <row r="893" spans="1:81" x14ac:dyDescent="0.3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H893" t="s">
        <v>83</v>
      </c>
      <c r="I893" t="s">
        <v>84</v>
      </c>
      <c r="J893" t="s">
        <v>85</v>
      </c>
      <c r="K893" t="s">
        <v>86</v>
      </c>
      <c r="L893" t="s">
        <v>87</v>
      </c>
      <c r="M893" t="s">
        <v>150</v>
      </c>
      <c r="N893" t="s">
        <v>89</v>
      </c>
      <c r="O893" t="s">
        <v>89</v>
      </c>
      <c r="P893" t="s">
        <v>90</v>
      </c>
      <c r="Q893" t="s">
        <v>91</v>
      </c>
      <c r="R893">
        <v>6</v>
      </c>
      <c r="S893">
        <v>5</v>
      </c>
      <c r="T893">
        <v>1978</v>
      </c>
      <c r="U893">
        <v>1978</v>
      </c>
      <c r="V893" t="s">
        <v>151</v>
      </c>
      <c r="W893" t="s">
        <v>93</v>
      </c>
      <c r="X893" t="s">
        <v>139</v>
      </c>
      <c r="Y893" t="s">
        <v>139</v>
      </c>
      <c r="Z893" t="s">
        <v>95</v>
      </c>
      <c r="AA893">
        <v>92</v>
      </c>
      <c r="AB893" t="s">
        <v>97</v>
      </c>
      <c r="AC893" t="s">
        <v>97</v>
      </c>
      <c r="AD893" t="s">
        <v>117</v>
      </c>
      <c r="AE893" t="s">
        <v>97</v>
      </c>
      <c r="AF893" t="s">
        <v>97</v>
      </c>
      <c r="AG893" t="s">
        <v>99</v>
      </c>
      <c r="AH893" t="s">
        <v>171</v>
      </c>
      <c r="AI893">
        <v>226</v>
      </c>
      <c r="AJ893" t="s">
        <v>152</v>
      </c>
      <c r="AK893">
        <v>500</v>
      </c>
      <c r="AL893">
        <v>192</v>
      </c>
      <c r="AM893">
        <v>918</v>
      </c>
      <c r="AN893" t="s">
        <v>102</v>
      </c>
      <c r="AO893" t="s">
        <v>96</v>
      </c>
      <c r="AP893" t="s">
        <v>104</v>
      </c>
      <c r="AQ893" t="s">
        <v>105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97</v>
      </c>
      <c r="BC893">
        <v>7</v>
      </c>
      <c r="BD893" t="s">
        <v>106</v>
      </c>
      <c r="BE893">
        <v>1</v>
      </c>
      <c r="BF893" t="s">
        <v>97</v>
      </c>
      <c r="BG893" t="s">
        <v>107</v>
      </c>
      <c r="BH893">
        <v>1978</v>
      </c>
      <c r="BI893" t="s">
        <v>108</v>
      </c>
      <c r="BJ893">
        <v>2</v>
      </c>
      <c r="BK893">
        <v>440</v>
      </c>
      <c r="BL893" t="s">
        <v>97</v>
      </c>
      <c r="BM893" t="s">
        <v>97</v>
      </c>
      <c r="BN893" t="s">
        <v>104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X893">
        <v>0</v>
      </c>
      <c r="BY893">
        <v>7</v>
      </c>
      <c r="BZ893">
        <v>2009</v>
      </c>
      <c r="CA893" t="s">
        <v>109</v>
      </c>
      <c r="CB893" t="s">
        <v>110</v>
      </c>
      <c r="CC893">
        <v>172500</v>
      </c>
    </row>
    <row r="894" spans="1:81" x14ac:dyDescent="0.3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H894" t="s">
        <v>83</v>
      </c>
      <c r="I894" t="s">
        <v>84</v>
      </c>
      <c r="J894" t="s">
        <v>85</v>
      </c>
      <c r="K894" t="s">
        <v>86</v>
      </c>
      <c r="L894" t="s">
        <v>87</v>
      </c>
      <c r="M894" t="s">
        <v>150</v>
      </c>
      <c r="N894" t="s">
        <v>89</v>
      </c>
      <c r="O894" t="s">
        <v>89</v>
      </c>
      <c r="P894" t="s">
        <v>90</v>
      </c>
      <c r="Q894" t="s">
        <v>114</v>
      </c>
      <c r="R894">
        <v>6</v>
      </c>
      <c r="S894">
        <v>8</v>
      </c>
      <c r="T894">
        <v>1963</v>
      </c>
      <c r="U894">
        <v>2003</v>
      </c>
      <c r="V894" t="s">
        <v>151</v>
      </c>
      <c r="W894" t="s">
        <v>93</v>
      </c>
      <c r="X894" t="s">
        <v>139</v>
      </c>
      <c r="Y894" t="s">
        <v>139</v>
      </c>
      <c r="Z894" t="s">
        <v>116</v>
      </c>
      <c r="AA894">
        <v>0</v>
      </c>
      <c r="AB894" t="s">
        <v>97</v>
      </c>
      <c r="AC894" t="s">
        <v>97</v>
      </c>
      <c r="AD894" t="s">
        <v>117</v>
      </c>
      <c r="AE894" t="s">
        <v>97</v>
      </c>
      <c r="AF894" t="s">
        <v>97</v>
      </c>
      <c r="AG894" t="s">
        <v>99</v>
      </c>
      <c r="AH894" t="s">
        <v>100</v>
      </c>
      <c r="AI894">
        <v>663</v>
      </c>
      <c r="AJ894" t="s">
        <v>101</v>
      </c>
      <c r="AK894">
        <v>0</v>
      </c>
      <c r="AL894">
        <v>396</v>
      </c>
      <c r="AM894">
        <v>1059</v>
      </c>
      <c r="AN894" t="s">
        <v>102</v>
      </c>
      <c r="AO894" t="s">
        <v>97</v>
      </c>
      <c r="AP894" t="s">
        <v>104</v>
      </c>
      <c r="AQ894" t="s">
        <v>105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97</v>
      </c>
      <c r="BC894">
        <v>6</v>
      </c>
      <c r="BD894" t="s">
        <v>106</v>
      </c>
      <c r="BE894">
        <v>0</v>
      </c>
      <c r="BG894" t="s">
        <v>107</v>
      </c>
      <c r="BH894">
        <v>1963</v>
      </c>
      <c r="BI894" t="s">
        <v>108</v>
      </c>
      <c r="BJ894">
        <v>1</v>
      </c>
      <c r="BK894">
        <v>264</v>
      </c>
      <c r="BL894" t="s">
        <v>97</v>
      </c>
      <c r="BM894" t="s">
        <v>97</v>
      </c>
      <c r="BN894" t="s">
        <v>104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V894" t="s">
        <v>133</v>
      </c>
      <c r="BX894">
        <v>0</v>
      </c>
      <c r="BY894">
        <v>2</v>
      </c>
      <c r="BZ894">
        <v>2006</v>
      </c>
      <c r="CA894" t="s">
        <v>109</v>
      </c>
      <c r="CB894" t="s">
        <v>110</v>
      </c>
      <c r="CC894">
        <v>154500</v>
      </c>
    </row>
    <row r="895" spans="1:81" x14ac:dyDescent="0.3">
      <c r="A895">
        <v>894</v>
      </c>
      <c r="B895">
        <v>20</v>
      </c>
      <c r="C895" t="s">
        <v>81</v>
      </c>
      <c r="E895">
        <v>13284</v>
      </c>
      <c r="F895" t="s">
        <v>82</v>
      </c>
      <c r="H895" t="s">
        <v>83</v>
      </c>
      <c r="I895" t="s">
        <v>84</v>
      </c>
      <c r="J895" t="s">
        <v>85</v>
      </c>
      <c r="K895" t="s">
        <v>86</v>
      </c>
      <c r="L895" t="s">
        <v>87</v>
      </c>
      <c r="M895" t="s">
        <v>150</v>
      </c>
      <c r="N895" t="s">
        <v>138</v>
      </c>
      <c r="O895" t="s">
        <v>89</v>
      </c>
      <c r="P895" t="s">
        <v>90</v>
      </c>
      <c r="Q895" t="s">
        <v>114</v>
      </c>
      <c r="R895">
        <v>5</v>
      </c>
      <c r="S895">
        <v>5</v>
      </c>
      <c r="T895">
        <v>1954</v>
      </c>
      <c r="U895">
        <v>1954</v>
      </c>
      <c r="V895" t="s">
        <v>92</v>
      </c>
      <c r="W895" t="s">
        <v>93</v>
      </c>
      <c r="X895" t="s">
        <v>123</v>
      </c>
      <c r="Y895" t="s">
        <v>160</v>
      </c>
      <c r="Z895" t="s">
        <v>116</v>
      </c>
      <c r="AA895">
        <v>0</v>
      </c>
      <c r="AB895" t="s">
        <v>97</v>
      </c>
      <c r="AC895" t="s">
        <v>97</v>
      </c>
      <c r="AD895" t="s">
        <v>98</v>
      </c>
      <c r="AE895" t="s">
        <v>96</v>
      </c>
      <c r="AF895" t="s">
        <v>97</v>
      </c>
      <c r="AG895" t="s">
        <v>120</v>
      </c>
      <c r="AH895" t="s">
        <v>140</v>
      </c>
      <c r="AI895">
        <v>1064</v>
      </c>
      <c r="AJ895" t="s">
        <v>101</v>
      </c>
      <c r="AK895">
        <v>0</v>
      </c>
      <c r="AL895">
        <v>319</v>
      </c>
      <c r="AM895">
        <v>1383</v>
      </c>
      <c r="AN895" t="s">
        <v>102</v>
      </c>
      <c r="AO895" t="s">
        <v>97</v>
      </c>
      <c r="AP895" t="s">
        <v>104</v>
      </c>
      <c r="AQ895" t="s">
        <v>105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97</v>
      </c>
      <c r="BC895">
        <v>6</v>
      </c>
      <c r="BD895" t="s">
        <v>106</v>
      </c>
      <c r="BE895">
        <v>1</v>
      </c>
      <c r="BF895" t="s">
        <v>96</v>
      </c>
      <c r="BG895" t="s">
        <v>107</v>
      </c>
      <c r="BH895">
        <v>1954</v>
      </c>
      <c r="BI895" t="s">
        <v>101</v>
      </c>
      <c r="BJ895">
        <v>1</v>
      </c>
      <c r="BK895">
        <v>354</v>
      </c>
      <c r="BL895" t="s">
        <v>97</v>
      </c>
      <c r="BM895" t="s">
        <v>97</v>
      </c>
      <c r="BN895" t="s">
        <v>104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V895" t="s">
        <v>164</v>
      </c>
      <c r="BX895">
        <v>0</v>
      </c>
      <c r="BY895">
        <v>6</v>
      </c>
      <c r="BZ895">
        <v>2008</v>
      </c>
      <c r="CA895" t="s">
        <v>109</v>
      </c>
      <c r="CB895" t="s">
        <v>110</v>
      </c>
      <c r="CC895">
        <v>165000</v>
      </c>
    </row>
    <row r="896" spans="1:81" x14ac:dyDescent="0.3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H896" t="s">
        <v>83</v>
      </c>
      <c r="I896" t="s">
        <v>174</v>
      </c>
      <c r="J896" t="s">
        <v>85</v>
      </c>
      <c r="K896" t="s">
        <v>86</v>
      </c>
      <c r="L896" t="s">
        <v>87</v>
      </c>
      <c r="M896" t="s">
        <v>169</v>
      </c>
      <c r="N896" t="s">
        <v>89</v>
      </c>
      <c r="O896" t="s">
        <v>89</v>
      </c>
      <c r="P896" t="s">
        <v>166</v>
      </c>
      <c r="Q896" t="s">
        <v>114</v>
      </c>
      <c r="R896">
        <v>5</v>
      </c>
      <c r="S896">
        <v>5</v>
      </c>
      <c r="T896">
        <v>1979</v>
      </c>
      <c r="U896">
        <v>1979</v>
      </c>
      <c r="V896" t="s">
        <v>92</v>
      </c>
      <c r="W896" t="s">
        <v>93</v>
      </c>
      <c r="X896" t="s">
        <v>160</v>
      </c>
      <c r="Y896" t="s">
        <v>160</v>
      </c>
      <c r="Z896" t="s">
        <v>116</v>
      </c>
      <c r="AA896">
        <v>0</v>
      </c>
      <c r="AB896" t="s">
        <v>97</v>
      </c>
      <c r="AC896" t="s">
        <v>97</v>
      </c>
      <c r="AD896" t="s">
        <v>167</v>
      </c>
      <c r="AI896">
        <v>0</v>
      </c>
      <c r="AK896">
        <v>0</v>
      </c>
      <c r="AL896">
        <v>0</v>
      </c>
      <c r="AM896">
        <v>0</v>
      </c>
      <c r="AN896" t="s">
        <v>102</v>
      </c>
      <c r="AO896" t="s">
        <v>97</v>
      </c>
      <c r="AP896" t="s">
        <v>104</v>
      </c>
      <c r="AQ896" t="s">
        <v>105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97</v>
      </c>
      <c r="BC896">
        <v>8</v>
      </c>
      <c r="BD896" t="s">
        <v>106</v>
      </c>
      <c r="BE896">
        <v>0</v>
      </c>
      <c r="BG896" t="s">
        <v>107</v>
      </c>
      <c r="BH896">
        <v>1979</v>
      </c>
      <c r="BI896" t="s">
        <v>101</v>
      </c>
      <c r="BJ896">
        <v>2</v>
      </c>
      <c r="BK896">
        <v>400</v>
      </c>
      <c r="BL896" t="s">
        <v>97</v>
      </c>
      <c r="BM896" t="s">
        <v>97</v>
      </c>
      <c r="BN896" t="s">
        <v>104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X896">
        <v>0</v>
      </c>
      <c r="BY896">
        <v>6</v>
      </c>
      <c r="BZ896">
        <v>2009</v>
      </c>
      <c r="CA896" t="s">
        <v>109</v>
      </c>
      <c r="CB896" t="s">
        <v>209</v>
      </c>
      <c r="CC896">
        <v>118858</v>
      </c>
    </row>
    <row r="897" spans="1:81" x14ac:dyDescent="0.3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H897" t="s">
        <v>83</v>
      </c>
      <c r="I897" t="s">
        <v>84</v>
      </c>
      <c r="J897" t="s">
        <v>85</v>
      </c>
      <c r="K897" t="s">
        <v>86</v>
      </c>
      <c r="L897" t="s">
        <v>87</v>
      </c>
      <c r="M897" t="s">
        <v>270</v>
      </c>
      <c r="N897" t="s">
        <v>89</v>
      </c>
      <c r="O897" t="s">
        <v>89</v>
      </c>
      <c r="P897" t="s">
        <v>90</v>
      </c>
      <c r="Q897" t="s">
        <v>91</v>
      </c>
      <c r="R897">
        <v>6</v>
      </c>
      <c r="S897">
        <v>5</v>
      </c>
      <c r="T897">
        <v>1963</v>
      </c>
      <c r="U897">
        <v>1963</v>
      </c>
      <c r="V897" t="s">
        <v>151</v>
      </c>
      <c r="W897" t="s">
        <v>93</v>
      </c>
      <c r="X897" t="s">
        <v>139</v>
      </c>
      <c r="Y897" t="s">
        <v>139</v>
      </c>
      <c r="Z897" t="s">
        <v>95</v>
      </c>
      <c r="AA897">
        <v>415</v>
      </c>
      <c r="AB897" t="s">
        <v>97</v>
      </c>
      <c r="AC897" t="s">
        <v>97</v>
      </c>
      <c r="AD897" t="s">
        <v>117</v>
      </c>
      <c r="AE897" t="s">
        <v>97</v>
      </c>
      <c r="AF897" t="s">
        <v>97</v>
      </c>
      <c r="AG897" t="s">
        <v>99</v>
      </c>
      <c r="AH897" t="s">
        <v>140</v>
      </c>
      <c r="AI897">
        <v>400</v>
      </c>
      <c r="AJ897" t="s">
        <v>101</v>
      </c>
      <c r="AK897">
        <v>0</v>
      </c>
      <c r="AL897">
        <v>380</v>
      </c>
      <c r="AM897">
        <v>780</v>
      </c>
      <c r="AN897" t="s">
        <v>102</v>
      </c>
      <c r="AO897" t="s">
        <v>97</v>
      </c>
      <c r="AP897" t="s">
        <v>104</v>
      </c>
      <c r="AQ897" t="s">
        <v>105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97</v>
      </c>
      <c r="BC897">
        <v>8</v>
      </c>
      <c r="BD897" t="s">
        <v>106</v>
      </c>
      <c r="BE897">
        <v>1</v>
      </c>
      <c r="BF897" t="s">
        <v>97</v>
      </c>
      <c r="BG897" t="s">
        <v>107</v>
      </c>
      <c r="BH897">
        <v>1963</v>
      </c>
      <c r="BI897" t="s">
        <v>108</v>
      </c>
      <c r="BJ897">
        <v>2</v>
      </c>
      <c r="BK897">
        <v>483</v>
      </c>
      <c r="BL897" t="s">
        <v>97</v>
      </c>
      <c r="BM897" t="s">
        <v>97</v>
      </c>
      <c r="BN897" t="s">
        <v>104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X897">
        <v>0</v>
      </c>
      <c r="BY897">
        <v>10</v>
      </c>
      <c r="BZ897">
        <v>2008</v>
      </c>
      <c r="CA897" t="s">
        <v>109</v>
      </c>
      <c r="CB897" t="s">
        <v>110</v>
      </c>
      <c r="CC897">
        <v>140000</v>
      </c>
    </row>
    <row r="898" spans="1:81" x14ac:dyDescent="0.3">
      <c r="A898">
        <v>897</v>
      </c>
      <c r="B898">
        <v>30</v>
      </c>
      <c r="C898" t="s">
        <v>141</v>
      </c>
      <c r="D898">
        <v>50</v>
      </c>
      <c r="E898">
        <v>8765</v>
      </c>
      <c r="F898" t="s">
        <v>82</v>
      </c>
      <c r="G898" t="s">
        <v>173</v>
      </c>
      <c r="H898" t="s">
        <v>83</v>
      </c>
      <c r="I898" t="s">
        <v>84</v>
      </c>
      <c r="J898" t="s">
        <v>85</v>
      </c>
      <c r="K898" t="s">
        <v>86</v>
      </c>
      <c r="L898" t="s">
        <v>87</v>
      </c>
      <c r="M898" t="s">
        <v>175</v>
      </c>
      <c r="N898" t="s">
        <v>89</v>
      </c>
      <c r="O898" t="s">
        <v>89</v>
      </c>
      <c r="P898" t="s">
        <v>90</v>
      </c>
      <c r="Q898" t="s">
        <v>114</v>
      </c>
      <c r="R898">
        <v>4</v>
      </c>
      <c r="S898">
        <v>6</v>
      </c>
      <c r="T898">
        <v>1936</v>
      </c>
      <c r="U898">
        <v>1950</v>
      </c>
      <c r="V898" t="s">
        <v>92</v>
      </c>
      <c r="W898" t="s">
        <v>93</v>
      </c>
      <c r="X898" t="s">
        <v>123</v>
      </c>
      <c r="Y898" t="s">
        <v>123</v>
      </c>
      <c r="Z898" t="s">
        <v>116</v>
      </c>
      <c r="AA898">
        <v>0</v>
      </c>
      <c r="AB898" t="s">
        <v>97</v>
      </c>
      <c r="AC898" t="s">
        <v>97</v>
      </c>
      <c r="AD898" t="s">
        <v>125</v>
      </c>
      <c r="AE898" t="s">
        <v>97</v>
      </c>
      <c r="AF898" t="s">
        <v>97</v>
      </c>
      <c r="AG898" t="s">
        <v>99</v>
      </c>
      <c r="AH898" t="s">
        <v>118</v>
      </c>
      <c r="AI898">
        <v>285</v>
      </c>
      <c r="AJ898" t="s">
        <v>101</v>
      </c>
      <c r="AK898">
        <v>0</v>
      </c>
      <c r="AL898">
        <v>666</v>
      </c>
      <c r="AM898">
        <v>951</v>
      </c>
      <c r="AN898" t="s">
        <v>102</v>
      </c>
      <c r="AO898" t="s">
        <v>103</v>
      </c>
      <c r="AP898" t="s">
        <v>176</v>
      </c>
      <c r="AQ898" t="s">
        <v>105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97</v>
      </c>
      <c r="BC898">
        <v>6</v>
      </c>
      <c r="BD898" t="s">
        <v>106</v>
      </c>
      <c r="BE898">
        <v>0</v>
      </c>
      <c r="BG898" t="s">
        <v>126</v>
      </c>
      <c r="BH898">
        <v>1936</v>
      </c>
      <c r="BI898" t="s">
        <v>101</v>
      </c>
      <c r="BJ898">
        <v>1</v>
      </c>
      <c r="BK898">
        <v>327</v>
      </c>
      <c r="BL898" t="s">
        <v>97</v>
      </c>
      <c r="BM898" t="s">
        <v>97</v>
      </c>
      <c r="BN898" t="s">
        <v>104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X898">
        <v>0</v>
      </c>
      <c r="BY898">
        <v>4</v>
      </c>
      <c r="BZ898">
        <v>2006</v>
      </c>
      <c r="CA898" t="s">
        <v>109</v>
      </c>
      <c r="CB898" t="s">
        <v>127</v>
      </c>
      <c r="CC898">
        <v>106500</v>
      </c>
    </row>
    <row r="899" spans="1:81" x14ac:dyDescent="0.3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H899" t="s">
        <v>83</v>
      </c>
      <c r="I899" t="s">
        <v>84</v>
      </c>
      <c r="J899" t="s">
        <v>85</v>
      </c>
      <c r="K899" t="s">
        <v>86</v>
      </c>
      <c r="L899" t="s">
        <v>87</v>
      </c>
      <c r="M899" t="s">
        <v>169</v>
      </c>
      <c r="N899" t="s">
        <v>113</v>
      </c>
      <c r="O899" t="s">
        <v>89</v>
      </c>
      <c r="P899" t="s">
        <v>166</v>
      </c>
      <c r="Q899" t="s">
        <v>91</v>
      </c>
      <c r="R899">
        <v>5</v>
      </c>
      <c r="S899">
        <v>5</v>
      </c>
      <c r="T899">
        <v>1979</v>
      </c>
      <c r="U899">
        <v>1979</v>
      </c>
      <c r="V899" t="s">
        <v>92</v>
      </c>
      <c r="W899" t="s">
        <v>93</v>
      </c>
      <c r="X899" t="s">
        <v>160</v>
      </c>
      <c r="Y899" t="s">
        <v>160</v>
      </c>
      <c r="Z899" t="s">
        <v>116</v>
      </c>
      <c r="AA899">
        <v>0</v>
      </c>
      <c r="AB899" t="s">
        <v>97</v>
      </c>
      <c r="AC899" t="s">
        <v>97</v>
      </c>
      <c r="AD899" t="s">
        <v>167</v>
      </c>
      <c r="AI899">
        <v>0</v>
      </c>
      <c r="AK899">
        <v>0</v>
      </c>
      <c r="AL899">
        <v>0</v>
      </c>
      <c r="AM899">
        <v>0</v>
      </c>
      <c r="AN899" t="s">
        <v>102</v>
      </c>
      <c r="AO899" t="s">
        <v>97</v>
      </c>
      <c r="AP899" t="s">
        <v>104</v>
      </c>
      <c r="AQ899" t="s">
        <v>105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97</v>
      </c>
      <c r="BC899">
        <v>12</v>
      </c>
      <c r="BD899" t="s">
        <v>106</v>
      </c>
      <c r="BE899">
        <v>0</v>
      </c>
      <c r="BG899" t="s">
        <v>126</v>
      </c>
      <c r="BH899">
        <v>1979</v>
      </c>
      <c r="BI899" t="s">
        <v>101</v>
      </c>
      <c r="BJ899">
        <v>2</v>
      </c>
      <c r="BK899">
        <v>528</v>
      </c>
      <c r="BL899" t="s">
        <v>97</v>
      </c>
      <c r="BM899" t="s">
        <v>97</v>
      </c>
      <c r="BN899" t="s">
        <v>104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X899">
        <v>0</v>
      </c>
      <c r="BY899">
        <v>6</v>
      </c>
      <c r="BZ899">
        <v>2009</v>
      </c>
      <c r="CA899" t="s">
        <v>109</v>
      </c>
      <c r="CB899" t="s">
        <v>209</v>
      </c>
      <c r="CC899">
        <v>142953</v>
      </c>
    </row>
    <row r="900" spans="1:81" x14ac:dyDescent="0.3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H900" t="s">
        <v>119</v>
      </c>
      <c r="I900" t="s">
        <v>84</v>
      </c>
      <c r="J900" t="s">
        <v>85</v>
      </c>
      <c r="K900" t="s">
        <v>86</v>
      </c>
      <c r="L900" t="s">
        <v>87</v>
      </c>
      <c r="M900" t="s">
        <v>153</v>
      </c>
      <c r="N900" t="s">
        <v>89</v>
      </c>
      <c r="O900" t="s">
        <v>89</v>
      </c>
      <c r="P900" t="s">
        <v>90</v>
      </c>
      <c r="Q900" t="s">
        <v>114</v>
      </c>
      <c r="R900">
        <v>9</v>
      </c>
      <c r="S900">
        <v>5</v>
      </c>
      <c r="T900">
        <v>2009</v>
      </c>
      <c r="U900">
        <v>2010</v>
      </c>
      <c r="V900" t="s">
        <v>151</v>
      </c>
      <c r="W900" t="s">
        <v>93</v>
      </c>
      <c r="X900" t="s">
        <v>94</v>
      </c>
      <c r="Y900" t="s">
        <v>94</v>
      </c>
      <c r="Z900" t="s">
        <v>136</v>
      </c>
      <c r="AA900">
        <v>760</v>
      </c>
      <c r="AB900" t="s">
        <v>103</v>
      </c>
      <c r="AC900" t="s">
        <v>97</v>
      </c>
      <c r="AD900" t="s">
        <v>98</v>
      </c>
      <c r="AE900" t="s">
        <v>103</v>
      </c>
      <c r="AF900" t="s">
        <v>97</v>
      </c>
      <c r="AG900" t="s">
        <v>96</v>
      </c>
      <c r="AH900" t="s">
        <v>100</v>
      </c>
      <c r="AI900">
        <v>2188</v>
      </c>
      <c r="AJ900" t="s">
        <v>101</v>
      </c>
      <c r="AK900">
        <v>0</v>
      </c>
      <c r="AL900">
        <v>142</v>
      </c>
      <c r="AM900">
        <v>2330</v>
      </c>
      <c r="AN900" t="s">
        <v>102</v>
      </c>
      <c r="AO900" t="s">
        <v>103</v>
      </c>
      <c r="AP900" t="s">
        <v>104</v>
      </c>
      <c r="AQ900" t="s">
        <v>105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103</v>
      </c>
      <c r="BC900">
        <v>11</v>
      </c>
      <c r="BD900" t="s">
        <v>106</v>
      </c>
      <c r="BE900">
        <v>2</v>
      </c>
      <c r="BF900" t="s">
        <v>96</v>
      </c>
      <c r="BG900" t="s">
        <v>107</v>
      </c>
      <c r="BH900">
        <v>2009</v>
      </c>
      <c r="BI900" t="s">
        <v>156</v>
      </c>
      <c r="BJ900">
        <v>3</v>
      </c>
      <c r="BK900">
        <v>820</v>
      </c>
      <c r="BL900" t="s">
        <v>97</v>
      </c>
      <c r="BM900" t="s">
        <v>97</v>
      </c>
      <c r="BN900" t="s">
        <v>104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X900">
        <v>0</v>
      </c>
      <c r="BY900">
        <v>3</v>
      </c>
      <c r="BZ900">
        <v>2010</v>
      </c>
      <c r="CA900" t="s">
        <v>157</v>
      </c>
      <c r="CB900" t="s">
        <v>158</v>
      </c>
      <c r="CC900">
        <v>611657</v>
      </c>
    </row>
    <row r="901" spans="1:81" x14ac:dyDescent="0.3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H901" t="s">
        <v>83</v>
      </c>
      <c r="I901" t="s">
        <v>84</v>
      </c>
      <c r="J901" t="s">
        <v>85</v>
      </c>
      <c r="K901" t="s">
        <v>86</v>
      </c>
      <c r="L901" t="s">
        <v>87</v>
      </c>
      <c r="M901" t="s">
        <v>150</v>
      </c>
      <c r="N901" t="s">
        <v>113</v>
      </c>
      <c r="O901" t="s">
        <v>89</v>
      </c>
      <c r="P901" t="s">
        <v>90</v>
      </c>
      <c r="Q901" t="s">
        <v>114</v>
      </c>
      <c r="R901">
        <v>5</v>
      </c>
      <c r="S901">
        <v>7</v>
      </c>
      <c r="T901">
        <v>1961</v>
      </c>
      <c r="U901">
        <v>1994</v>
      </c>
      <c r="V901" t="s">
        <v>92</v>
      </c>
      <c r="W901" t="s">
        <v>93</v>
      </c>
      <c r="X901" t="s">
        <v>139</v>
      </c>
      <c r="Y901" t="s">
        <v>160</v>
      </c>
      <c r="Z901" t="s">
        <v>116</v>
      </c>
      <c r="AA901">
        <v>0</v>
      </c>
      <c r="AB901" t="s">
        <v>97</v>
      </c>
      <c r="AC901" t="s">
        <v>97</v>
      </c>
      <c r="AD901" t="s">
        <v>117</v>
      </c>
      <c r="AE901" t="s">
        <v>97</v>
      </c>
      <c r="AF901" t="s">
        <v>97</v>
      </c>
      <c r="AG901" t="s">
        <v>99</v>
      </c>
      <c r="AH901" t="s">
        <v>140</v>
      </c>
      <c r="AI901">
        <v>465</v>
      </c>
      <c r="AJ901" t="s">
        <v>101</v>
      </c>
      <c r="AK901">
        <v>0</v>
      </c>
      <c r="AL901">
        <v>447</v>
      </c>
      <c r="AM901">
        <v>912</v>
      </c>
      <c r="AN901" t="s">
        <v>102</v>
      </c>
      <c r="AO901" t="s">
        <v>97</v>
      </c>
      <c r="AP901" t="s">
        <v>104</v>
      </c>
      <c r="AQ901" t="s">
        <v>105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97</v>
      </c>
      <c r="BC901">
        <v>6</v>
      </c>
      <c r="BD901" t="s">
        <v>106</v>
      </c>
      <c r="BE901">
        <v>1</v>
      </c>
      <c r="BF901" t="s">
        <v>97</v>
      </c>
      <c r="BG901" t="s">
        <v>107</v>
      </c>
      <c r="BH901">
        <v>1961</v>
      </c>
      <c r="BI901" t="s">
        <v>101</v>
      </c>
      <c r="BJ901">
        <v>1</v>
      </c>
      <c r="BK901">
        <v>288</v>
      </c>
      <c r="BL901" t="s">
        <v>97</v>
      </c>
      <c r="BM901" t="s">
        <v>97</v>
      </c>
      <c r="BN901" t="s">
        <v>104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X901">
        <v>0</v>
      </c>
      <c r="BY901">
        <v>6</v>
      </c>
      <c r="BZ901">
        <v>2006</v>
      </c>
      <c r="CA901" t="s">
        <v>109</v>
      </c>
      <c r="CB901" t="s">
        <v>110</v>
      </c>
      <c r="CC901">
        <v>135000</v>
      </c>
    </row>
    <row r="902" spans="1:81" x14ac:dyDescent="0.3">
      <c r="A902">
        <v>901</v>
      </c>
      <c r="B902">
        <v>20</v>
      </c>
      <c r="C902" t="s">
        <v>81</v>
      </c>
      <c r="E902">
        <v>7340</v>
      </c>
      <c r="F902" t="s">
        <v>82</v>
      </c>
      <c r="H902" t="s">
        <v>119</v>
      </c>
      <c r="I902" t="s">
        <v>84</v>
      </c>
      <c r="J902" t="s">
        <v>85</v>
      </c>
      <c r="K902" t="s">
        <v>86</v>
      </c>
      <c r="L902" t="s">
        <v>87</v>
      </c>
      <c r="M902" t="s">
        <v>270</v>
      </c>
      <c r="N902" t="s">
        <v>89</v>
      </c>
      <c r="O902" t="s">
        <v>89</v>
      </c>
      <c r="P902" t="s">
        <v>90</v>
      </c>
      <c r="Q902" t="s">
        <v>114</v>
      </c>
      <c r="R902">
        <v>4</v>
      </c>
      <c r="S902">
        <v>6</v>
      </c>
      <c r="T902">
        <v>1971</v>
      </c>
      <c r="U902">
        <v>1971</v>
      </c>
      <c r="V902" t="s">
        <v>92</v>
      </c>
      <c r="W902" t="s">
        <v>93</v>
      </c>
      <c r="X902" t="s">
        <v>139</v>
      </c>
      <c r="Y902" t="s">
        <v>139</v>
      </c>
      <c r="Z902" t="s">
        <v>116</v>
      </c>
      <c r="AA902">
        <v>0</v>
      </c>
      <c r="AB902" t="s">
        <v>97</v>
      </c>
      <c r="AC902" t="s">
        <v>97</v>
      </c>
      <c r="AD902" t="s">
        <v>117</v>
      </c>
      <c r="AE902" t="s">
        <v>97</v>
      </c>
      <c r="AF902" t="s">
        <v>97</v>
      </c>
      <c r="AG902" t="s">
        <v>99</v>
      </c>
      <c r="AH902" t="s">
        <v>118</v>
      </c>
      <c r="AI902">
        <v>322</v>
      </c>
      <c r="AJ902" t="s">
        <v>101</v>
      </c>
      <c r="AK902">
        <v>0</v>
      </c>
      <c r="AL902">
        <v>536</v>
      </c>
      <c r="AM902">
        <v>858</v>
      </c>
      <c r="AN902" t="s">
        <v>102</v>
      </c>
      <c r="AO902" t="s">
        <v>97</v>
      </c>
      <c r="AP902" t="s">
        <v>104</v>
      </c>
      <c r="AQ902" t="s">
        <v>105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97</v>
      </c>
      <c r="BC902">
        <v>4</v>
      </c>
      <c r="BD902" t="s">
        <v>106</v>
      </c>
      <c r="BE902">
        <v>0</v>
      </c>
      <c r="BG902" t="s">
        <v>126</v>
      </c>
      <c r="BH902">
        <v>1979</v>
      </c>
      <c r="BI902" t="s">
        <v>101</v>
      </c>
      <c r="BJ902">
        <v>1</v>
      </c>
      <c r="BK902">
        <v>684</v>
      </c>
      <c r="BL902" t="s">
        <v>97</v>
      </c>
      <c r="BM902" t="s">
        <v>97</v>
      </c>
      <c r="BN902" t="s">
        <v>104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X902">
        <v>0</v>
      </c>
      <c r="BY902">
        <v>6</v>
      </c>
      <c r="BZ902">
        <v>2007</v>
      </c>
      <c r="CA902" t="s">
        <v>109</v>
      </c>
      <c r="CB902" t="s">
        <v>110</v>
      </c>
      <c r="CC902">
        <v>110000</v>
      </c>
    </row>
    <row r="903" spans="1:81" x14ac:dyDescent="0.3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H903" t="s">
        <v>119</v>
      </c>
      <c r="I903" t="s">
        <v>84</v>
      </c>
      <c r="J903" t="s">
        <v>85</v>
      </c>
      <c r="K903" t="s">
        <v>86</v>
      </c>
      <c r="L903" t="s">
        <v>87</v>
      </c>
      <c r="M903" t="s">
        <v>270</v>
      </c>
      <c r="N903" t="s">
        <v>89</v>
      </c>
      <c r="O903" t="s">
        <v>89</v>
      </c>
      <c r="P903" t="s">
        <v>90</v>
      </c>
      <c r="Q903" t="s">
        <v>114</v>
      </c>
      <c r="R903">
        <v>5</v>
      </c>
      <c r="S903">
        <v>7</v>
      </c>
      <c r="T903">
        <v>1957</v>
      </c>
      <c r="U903">
        <v>2000</v>
      </c>
      <c r="V903" t="s">
        <v>151</v>
      </c>
      <c r="W903" t="s">
        <v>93</v>
      </c>
      <c r="X903" t="s">
        <v>115</v>
      </c>
      <c r="Y903" t="s">
        <v>115</v>
      </c>
      <c r="Z903" t="s">
        <v>116</v>
      </c>
      <c r="AA903">
        <v>0</v>
      </c>
      <c r="AB903" t="s">
        <v>97</v>
      </c>
      <c r="AC903" t="s">
        <v>96</v>
      </c>
      <c r="AD903" t="s">
        <v>117</v>
      </c>
      <c r="AE903" t="s">
        <v>97</v>
      </c>
      <c r="AF903" t="s">
        <v>97</v>
      </c>
      <c r="AG903" t="s">
        <v>120</v>
      </c>
      <c r="AH903" t="s">
        <v>140</v>
      </c>
      <c r="AI903">
        <v>860</v>
      </c>
      <c r="AJ903" t="s">
        <v>101</v>
      </c>
      <c r="AK903">
        <v>0</v>
      </c>
      <c r="AL903">
        <v>132</v>
      </c>
      <c r="AM903">
        <v>992</v>
      </c>
      <c r="AN903" t="s">
        <v>102</v>
      </c>
      <c r="AO903" t="s">
        <v>97</v>
      </c>
      <c r="AP903" t="s">
        <v>104</v>
      </c>
      <c r="AQ903" t="s">
        <v>105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97</v>
      </c>
      <c r="BC903">
        <v>5</v>
      </c>
      <c r="BD903" t="s">
        <v>106</v>
      </c>
      <c r="BE903">
        <v>0</v>
      </c>
      <c r="BG903" t="s">
        <v>126</v>
      </c>
      <c r="BH903">
        <v>1968</v>
      </c>
      <c r="BI903" t="s">
        <v>101</v>
      </c>
      <c r="BJ903">
        <v>1</v>
      </c>
      <c r="BK903">
        <v>756</v>
      </c>
      <c r="BL903" t="s">
        <v>97</v>
      </c>
      <c r="BM903" t="s">
        <v>97</v>
      </c>
      <c r="BN903" t="s">
        <v>104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X903">
        <v>0</v>
      </c>
      <c r="BY903">
        <v>5</v>
      </c>
      <c r="BZ903">
        <v>2009</v>
      </c>
      <c r="CA903" t="s">
        <v>109</v>
      </c>
      <c r="CB903" t="s">
        <v>110</v>
      </c>
      <c r="CC903">
        <v>153000</v>
      </c>
    </row>
    <row r="904" spans="1:81" x14ac:dyDescent="0.3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H904" t="s">
        <v>83</v>
      </c>
      <c r="I904" t="s">
        <v>84</v>
      </c>
      <c r="J904" t="s">
        <v>85</v>
      </c>
      <c r="K904" t="s">
        <v>86</v>
      </c>
      <c r="L904" t="s">
        <v>87</v>
      </c>
      <c r="M904" t="s">
        <v>192</v>
      </c>
      <c r="N904" t="s">
        <v>89</v>
      </c>
      <c r="O904" t="s">
        <v>89</v>
      </c>
      <c r="P904" t="s">
        <v>90</v>
      </c>
      <c r="Q904" t="s">
        <v>91</v>
      </c>
      <c r="R904">
        <v>7</v>
      </c>
      <c r="S904">
        <v>5</v>
      </c>
      <c r="T904">
        <v>2003</v>
      </c>
      <c r="U904">
        <v>2003</v>
      </c>
      <c r="V904" t="s">
        <v>92</v>
      </c>
      <c r="W904" t="s">
        <v>93</v>
      </c>
      <c r="X904" t="s">
        <v>94</v>
      </c>
      <c r="Y904" t="s">
        <v>94</v>
      </c>
      <c r="Z904" t="s">
        <v>116</v>
      </c>
      <c r="AA904">
        <v>0</v>
      </c>
      <c r="AB904" t="s">
        <v>96</v>
      </c>
      <c r="AC904" t="s">
        <v>97</v>
      </c>
      <c r="AD904" t="s">
        <v>98</v>
      </c>
      <c r="AE904" t="s">
        <v>96</v>
      </c>
      <c r="AF904" t="s">
        <v>97</v>
      </c>
      <c r="AG904" t="s">
        <v>99</v>
      </c>
      <c r="AH904" t="s">
        <v>101</v>
      </c>
      <c r="AI904">
        <v>0</v>
      </c>
      <c r="AJ904" t="s">
        <v>101</v>
      </c>
      <c r="AK904">
        <v>0</v>
      </c>
      <c r="AL904">
        <v>783</v>
      </c>
      <c r="AM904">
        <v>783</v>
      </c>
      <c r="AN904" t="s">
        <v>102</v>
      </c>
      <c r="AO904" t="s">
        <v>103</v>
      </c>
      <c r="AP904" t="s">
        <v>104</v>
      </c>
      <c r="AQ904" t="s">
        <v>105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96</v>
      </c>
      <c r="BC904">
        <v>8</v>
      </c>
      <c r="BD904" t="s">
        <v>106</v>
      </c>
      <c r="BE904">
        <v>1</v>
      </c>
      <c r="BF904" t="s">
        <v>96</v>
      </c>
      <c r="BG904" t="s">
        <v>107</v>
      </c>
      <c r="BH904">
        <v>2003</v>
      </c>
      <c r="BI904" t="s">
        <v>156</v>
      </c>
      <c r="BJ904">
        <v>2</v>
      </c>
      <c r="BK904">
        <v>393</v>
      </c>
      <c r="BL904" t="s">
        <v>97</v>
      </c>
      <c r="BM904" t="s">
        <v>97</v>
      </c>
      <c r="BN904" t="s">
        <v>104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X904">
        <v>0</v>
      </c>
      <c r="BY904">
        <v>7</v>
      </c>
      <c r="BZ904">
        <v>2006</v>
      </c>
      <c r="CA904" t="s">
        <v>109</v>
      </c>
      <c r="CB904" t="s">
        <v>110</v>
      </c>
      <c r="CC904">
        <v>180000</v>
      </c>
    </row>
    <row r="905" spans="1:81" x14ac:dyDescent="0.3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H905" t="s">
        <v>119</v>
      </c>
      <c r="I905" t="s">
        <v>198</v>
      </c>
      <c r="J905" t="s">
        <v>85</v>
      </c>
      <c r="K905" t="s">
        <v>165</v>
      </c>
      <c r="L905" t="s">
        <v>87</v>
      </c>
      <c r="M905" t="s">
        <v>192</v>
      </c>
      <c r="N905" t="s">
        <v>89</v>
      </c>
      <c r="O905" t="s">
        <v>89</v>
      </c>
      <c r="P905" t="s">
        <v>90</v>
      </c>
      <c r="Q905" t="s">
        <v>114</v>
      </c>
      <c r="R905">
        <v>7</v>
      </c>
      <c r="S905">
        <v>5</v>
      </c>
      <c r="T905">
        <v>2006</v>
      </c>
      <c r="U905">
        <v>2006</v>
      </c>
      <c r="V905" t="s">
        <v>151</v>
      </c>
      <c r="W905" t="s">
        <v>93</v>
      </c>
      <c r="X905" t="s">
        <v>94</v>
      </c>
      <c r="Y905" t="s">
        <v>94</v>
      </c>
      <c r="Z905" t="s">
        <v>95</v>
      </c>
      <c r="AA905">
        <v>27</v>
      </c>
      <c r="AB905" t="s">
        <v>96</v>
      </c>
      <c r="AC905" t="s">
        <v>97</v>
      </c>
      <c r="AD905" t="s">
        <v>98</v>
      </c>
      <c r="AE905" t="s">
        <v>96</v>
      </c>
      <c r="AF905" t="s">
        <v>97</v>
      </c>
      <c r="AG905" t="s">
        <v>99</v>
      </c>
      <c r="AH905" t="s">
        <v>101</v>
      </c>
      <c r="AI905">
        <v>0</v>
      </c>
      <c r="AJ905" t="s">
        <v>101</v>
      </c>
      <c r="AK905">
        <v>0</v>
      </c>
      <c r="AL905">
        <v>1670</v>
      </c>
      <c r="AM905">
        <v>1670</v>
      </c>
      <c r="AN905" t="s">
        <v>102</v>
      </c>
      <c r="AO905" t="s">
        <v>103</v>
      </c>
      <c r="AP905" t="s">
        <v>104</v>
      </c>
      <c r="AQ905" t="s">
        <v>105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96</v>
      </c>
      <c r="BC905">
        <v>7</v>
      </c>
      <c r="BD905" t="s">
        <v>106</v>
      </c>
      <c r="BE905">
        <v>1</v>
      </c>
      <c r="BF905" t="s">
        <v>96</v>
      </c>
      <c r="BG905" t="s">
        <v>107</v>
      </c>
      <c r="BH905">
        <v>2006</v>
      </c>
      <c r="BI905" t="s">
        <v>108</v>
      </c>
      <c r="BJ905">
        <v>3</v>
      </c>
      <c r="BK905">
        <v>690</v>
      </c>
      <c r="BL905" t="s">
        <v>97</v>
      </c>
      <c r="BM905" t="s">
        <v>97</v>
      </c>
      <c r="BN905" t="s">
        <v>104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X905">
        <v>0</v>
      </c>
      <c r="BY905">
        <v>8</v>
      </c>
      <c r="BZ905">
        <v>2006</v>
      </c>
      <c r="CA905" t="s">
        <v>157</v>
      </c>
      <c r="CB905" t="s">
        <v>158</v>
      </c>
      <c r="CC905">
        <v>240000</v>
      </c>
    </row>
    <row r="906" spans="1:81" x14ac:dyDescent="0.3">
      <c r="A906">
        <v>905</v>
      </c>
      <c r="B906">
        <v>20</v>
      </c>
      <c r="C906" t="s">
        <v>81</v>
      </c>
      <c r="E906">
        <v>6173</v>
      </c>
      <c r="F906" t="s">
        <v>82</v>
      </c>
      <c r="H906" t="s">
        <v>119</v>
      </c>
      <c r="I906" t="s">
        <v>84</v>
      </c>
      <c r="J906" t="s">
        <v>85</v>
      </c>
      <c r="K906" t="s">
        <v>86</v>
      </c>
      <c r="L906" t="s">
        <v>87</v>
      </c>
      <c r="M906" t="s">
        <v>150</v>
      </c>
      <c r="N906" t="s">
        <v>89</v>
      </c>
      <c r="O906" t="s">
        <v>89</v>
      </c>
      <c r="P906" t="s">
        <v>90</v>
      </c>
      <c r="Q906" t="s">
        <v>114</v>
      </c>
      <c r="R906">
        <v>5</v>
      </c>
      <c r="S906">
        <v>6</v>
      </c>
      <c r="T906">
        <v>1967</v>
      </c>
      <c r="U906">
        <v>1967</v>
      </c>
      <c r="V906" t="s">
        <v>92</v>
      </c>
      <c r="W906" t="s">
        <v>93</v>
      </c>
      <c r="X906" t="s">
        <v>139</v>
      </c>
      <c r="Y906" t="s">
        <v>123</v>
      </c>
      <c r="Z906" t="s">
        <v>95</v>
      </c>
      <c r="AA906">
        <v>75</v>
      </c>
      <c r="AB906" t="s">
        <v>97</v>
      </c>
      <c r="AC906" t="s">
        <v>97</v>
      </c>
      <c r="AD906" t="s">
        <v>117</v>
      </c>
      <c r="AE906" t="s">
        <v>97</v>
      </c>
      <c r="AF906" t="s">
        <v>97</v>
      </c>
      <c r="AG906" t="s">
        <v>99</v>
      </c>
      <c r="AH906" t="s">
        <v>100</v>
      </c>
      <c r="AI906">
        <v>599</v>
      </c>
      <c r="AJ906" t="s">
        <v>101</v>
      </c>
      <c r="AK906">
        <v>0</v>
      </c>
      <c r="AL906">
        <v>277</v>
      </c>
      <c r="AM906">
        <v>876</v>
      </c>
      <c r="AN906" t="s">
        <v>102</v>
      </c>
      <c r="AO906" t="s">
        <v>97</v>
      </c>
      <c r="AP906" t="s">
        <v>104</v>
      </c>
      <c r="AQ906" t="s">
        <v>105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97</v>
      </c>
      <c r="BC906">
        <v>6</v>
      </c>
      <c r="BD906" t="s">
        <v>106</v>
      </c>
      <c r="BE906">
        <v>0</v>
      </c>
      <c r="BG906" t="s">
        <v>107</v>
      </c>
      <c r="BH906">
        <v>1967</v>
      </c>
      <c r="BI906" t="s">
        <v>101</v>
      </c>
      <c r="BJ906">
        <v>1</v>
      </c>
      <c r="BK906">
        <v>288</v>
      </c>
      <c r="BL906" t="s">
        <v>97</v>
      </c>
      <c r="BM906" t="s">
        <v>97</v>
      </c>
      <c r="BN906" t="s">
        <v>104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V906" t="s">
        <v>133</v>
      </c>
      <c r="BX906">
        <v>0</v>
      </c>
      <c r="BY906">
        <v>8</v>
      </c>
      <c r="BZ906">
        <v>2007</v>
      </c>
      <c r="CA906" t="s">
        <v>109</v>
      </c>
      <c r="CB906" t="s">
        <v>110</v>
      </c>
      <c r="CC906">
        <v>125500</v>
      </c>
    </row>
    <row r="907" spans="1:81" x14ac:dyDescent="0.3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H907" t="s">
        <v>83</v>
      </c>
      <c r="I907" t="s">
        <v>84</v>
      </c>
      <c r="J907" t="s">
        <v>85</v>
      </c>
      <c r="K907" t="s">
        <v>86</v>
      </c>
      <c r="L907" t="s">
        <v>87</v>
      </c>
      <c r="M907" t="s">
        <v>270</v>
      </c>
      <c r="N907" t="s">
        <v>89</v>
      </c>
      <c r="O907" t="s">
        <v>89</v>
      </c>
      <c r="P907" t="s">
        <v>90</v>
      </c>
      <c r="Q907" t="s">
        <v>114</v>
      </c>
      <c r="R907">
        <v>5</v>
      </c>
      <c r="S907">
        <v>5</v>
      </c>
      <c r="T907">
        <v>1954</v>
      </c>
      <c r="U907">
        <v>1954</v>
      </c>
      <c r="V907" t="s">
        <v>92</v>
      </c>
      <c r="W907" t="s">
        <v>93</v>
      </c>
      <c r="X907" t="s">
        <v>139</v>
      </c>
      <c r="Y907" t="s">
        <v>139</v>
      </c>
      <c r="Z907" t="s">
        <v>136</v>
      </c>
      <c r="AA907">
        <v>110</v>
      </c>
      <c r="AB907" t="s">
        <v>97</v>
      </c>
      <c r="AC907" t="s">
        <v>97</v>
      </c>
      <c r="AD907" t="s">
        <v>117</v>
      </c>
      <c r="AE907" t="s">
        <v>97</v>
      </c>
      <c r="AF907" t="s">
        <v>97</v>
      </c>
      <c r="AG907" t="s">
        <v>99</v>
      </c>
      <c r="AH907" t="s">
        <v>152</v>
      </c>
      <c r="AI907">
        <v>354</v>
      </c>
      <c r="AJ907" t="s">
        <v>171</v>
      </c>
      <c r="AK907">
        <v>290</v>
      </c>
      <c r="AL907">
        <v>412</v>
      </c>
      <c r="AM907">
        <v>1056</v>
      </c>
      <c r="AN907" t="s">
        <v>102</v>
      </c>
      <c r="AO907" t="s">
        <v>97</v>
      </c>
      <c r="AP907" t="s">
        <v>104</v>
      </c>
      <c r="AQ907" t="s">
        <v>105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97</v>
      </c>
      <c r="BC907">
        <v>6</v>
      </c>
      <c r="BD907" t="s">
        <v>106</v>
      </c>
      <c r="BE907">
        <v>0</v>
      </c>
      <c r="BG907" t="s">
        <v>107</v>
      </c>
      <c r="BH907">
        <v>1954</v>
      </c>
      <c r="BI907" t="s">
        <v>108</v>
      </c>
      <c r="BJ907">
        <v>1</v>
      </c>
      <c r="BK907">
        <v>280</v>
      </c>
      <c r="BL907" t="s">
        <v>97</v>
      </c>
      <c r="BM907" t="s">
        <v>97</v>
      </c>
      <c r="BN907" t="s">
        <v>104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V907" t="s">
        <v>133</v>
      </c>
      <c r="BX907">
        <v>0</v>
      </c>
      <c r="BY907">
        <v>2</v>
      </c>
      <c r="BZ907">
        <v>2010</v>
      </c>
      <c r="CA907" t="s">
        <v>109</v>
      </c>
      <c r="CB907" t="s">
        <v>110</v>
      </c>
      <c r="CC907">
        <v>128000</v>
      </c>
    </row>
    <row r="908" spans="1:81" x14ac:dyDescent="0.3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H908" t="s">
        <v>119</v>
      </c>
      <c r="I908" t="s">
        <v>84</v>
      </c>
      <c r="J908" t="s">
        <v>85</v>
      </c>
      <c r="K908" t="s">
        <v>121</v>
      </c>
      <c r="L908" t="s">
        <v>87</v>
      </c>
      <c r="M908" t="s">
        <v>135</v>
      </c>
      <c r="N908" t="s">
        <v>89</v>
      </c>
      <c r="O908" t="s">
        <v>89</v>
      </c>
      <c r="P908" t="s">
        <v>90</v>
      </c>
      <c r="Q908" t="s">
        <v>114</v>
      </c>
      <c r="R908">
        <v>8</v>
      </c>
      <c r="S908">
        <v>5</v>
      </c>
      <c r="T908">
        <v>2006</v>
      </c>
      <c r="U908">
        <v>2006</v>
      </c>
      <c r="V908" t="s">
        <v>92</v>
      </c>
      <c r="W908" t="s">
        <v>93</v>
      </c>
      <c r="X908" t="s">
        <v>94</v>
      </c>
      <c r="Y908" t="s">
        <v>94</v>
      </c>
      <c r="Z908" t="s">
        <v>136</v>
      </c>
      <c r="AA908">
        <v>208</v>
      </c>
      <c r="AB908" t="s">
        <v>96</v>
      </c>
      <c r="AC908" t="s">
        <v>97</v>
      </c>
      <c r="AD908" t="s">
        <v>98</v>
      </c>
      <c r="AE908" t="s">
        <v>96</v>
      </c>
      <c r="AF908" t="s">
        <v>97</v>
      </c>
      <c r="AG908" t="s">
        <v>99</v>
      </c>
      <c r="AH908" t="s">
        <v>100</v>
      </c>
      <c r="AI908">
        <v>63</v>
      </c>
      <c r="AJ908" t="s">
        <v>101</v>
      </c>
      <c r="AK908">
        <v>0</v>
      </c>
      <c r="AL908">
        <v>1560</v>
      </c>
      <c r="AM908">
        <v>1623</v>
      </c>
      <c r="AN908" t="s">
        <v>102</v>
      </c>
      <c r="AO908" t="s">
        <v>103</v>
      </c>
      <c r="AP908" t="s">
        <v>104</v>
      </c>
      <c r="AQ908" t="s">
        <v>105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96</v>
      </c>
      <c r="BC908">
        <v>8</v>
      </c>
      <c r="BD908" t="s">
        <v>106</v>
      </c>
      <c r="BE908">
        <v>1</v>
      </c>
      <c r="BF908" t="s">
        <v>96</v>
      </c>
      <c r="BG908" t="s">
        <v>107</v>
      </c>
      <c r="BH908">
        <v>2006</v>
      </c>
      <c r="BI908" t="s">
        <v>108</v>
      </c>
      <c r="BJ908">
        <v>3</v>
      </c>
      <c r="BK908">
        <v>865</v>
      </c>
      <c r="BL908" t="s">
        <v>97</v>
      </c>
      <c r="BM908" t="s">
        <v>97</v>
      </c>
      <c r="BN908" t="s">
        <v>104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X908">
        <v>0</v>
      </c>
      <c r="BY908">
        <v>6</v>
      </c>
      <c r="BZ908">
        <v>2007</v>
      </c>
      <c r="CA908" t="s">
        <v>109</v>
      </c>
      <c r="CB908" t="s">
        <v>110</v>
      </c>
      <c r="CC908">
        <v>255000</v>
      </c>
    </row>
    <row r="909" spans="1:81" x14ac:dyDescent="0.3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H909" t="s">
        <v>119</v>
      </c>
      <c r="I909" t="s">
        <v>84</v>
      </c>
      <c r="J909" t="s">
        <v>85</v>
      </c>
      <c r="K909" t="s">
        <v>86</v>
      </c>
      <c r="L909" t="s">
        <v>87</v>
      </c>
      <c r="M909" t="s">
        <v>122</v>
      </c>
      <c r="N909" t="s">
        <v>89</v>
      </c>
      <c r="O909" t="s">
        <v>89</v>
      </c>
      <c r="P909" t="s">
        <v>90</v>
      </c>
      <c r="Q909" t="s">
        <v>131</v>
      </c>
      <c r="R909">
        <v>7</v>
      </c>
      <c r="S909">
        <v>7</v>
      </c>
      <c r="T909">
        <v>1936</v>
      </c>
      <c r="U909">
        <v>1987</v>
      </c>
      <c r="V909" t="s">
        <v>92</v>
      </c>
      <c r="W909" t="s">
        <v>93</v>
      </c>
      <c r="X909" t="s">
        <v>95</v>
      </c>
      <c r="Y909" t="s">
        <v>95</v>
      </c>
      <c r="Z909" t="s">
        <v>116</v>
      </c>
      <c r="AA909">
        <v>0</v>
      </c>
      <c r="AB909" t="s">
        <v>96</v>
      </c>
      <c r="AC909" t="s">
        <v>97</v>
      </c>
      <c r="AD909" t="s">
        <v>117</v>
      </c>
      <c r="AE909" t="s">
        <v>96</v>
      </c>
      <c r="AF909" t="s">
        <v>97</v>
      </c>
      <c r="AG909" t="s">
        <v>99</v>
      </c>
      <c r="AH909" t="s">
        <v>152</v>
      </c>
      <c r="AI909">
        <v>223</v>
      </c>
      <c r="AJ909" t="s">
        <v>101</v>
      </c>
      <c r="AK909">
        <v>0</v>
      </c>
      <c r="AL909">
        <v>794</v>
      </c>
      <c r="AM909">
        <v>1017</v>
      </c>
      <c r="AN909" t="s">
        <v>102</v>
      </c>
      <c r="AO909" t="s">
        <v>96</v>
      </c>
      <c r="AP909" t="s">
        <v>104</v>
      </c>
      <c r="AQ909" t="s">
        <v>105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96</v>
      </c>
      <c r="BC909">
        <v>6</v>
      </c>
      <c r="BD909" t="s">
        <v>106</v>
      </c>
      <c r="BE909">
        <v>1</v>
      </c>
      <c r="BF909" t="s">
        <v>96</v>
      </c>
      <c r="BG909" t="s">
        <v>107</v>
      </c>
      <c r="BH909">
        <v>1936</v>
      </c>
      <c r="BI909" t="s">
        <v>156</v>
      </c>
      <c r="BJ909">
        <v>1</v>
      </c>
      <c r="BK909">
        <v>180</v>
      </c>
      <c r="BL909" t="s">
        <v>146</v>
      </c>
      <c r="BM909" t="s">
        <v>97</v>
      </c>
      <c r="BN909" t="s">
        <v>104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X909">
        <v>0</v>
      </c>
      <c r="BY909">
        <v>6</v>
      </c>
      <c r="BZ909">
        <v>2006</v>
      </c>
      <c r="CA909" t="s">
        <v>109</v>
      </c>
      <c r="CB909" t="s">
        <v>110</v>
      </c>
      <c r="CC909">
        <v>250000</v>
      </c>
    </row>
    <row r="910" spans="1:81" x14ac:dyDescent="0.3">
      <c r="A910">
        <v>909</v>
      </c>
      <c r="B910">
        <v>20</v>
      </c>
      <c r="C910" t="s">
        <v>81</v>
      </c>
      <c r="E910">
        <v>8885</v>
      </c>
      <c r="F910" t="s">
        <v>82</v>
      </c>
      <c r="H910" t="s">
        <v>119</v>
      </c>
      <c r="I910" t="s">
        <v>194</v>
      </c>
      <c r="J910" t="s">
        <v>85</v>
      </c>
      <c r="K910" t="s">
        <v>86</v>
      </c>
      <c r="L910" t="s">
        <v>193</v>
      </c>
      <c r="M910" t="s">
        <v>130</v>
      </c>
      <c r="N910" t="s">
        <v>89</v>
      </c>
      <c r="O910" t="s">
        <v>89</v>
      </c>
      <c r="P910" t="s">
        <v>90</v>
      </c>
      <c r="Q910" t="s">
        <v>114</v>
      </c>
      <c r="R910">
        <v>5</v>
      </c>
      <c r="S910">
        <v>5</v>
      </c>
      <c r="T910">
        <v>1983</v>
      </c>
      <c r="U910">
        <v>1983</v>
      </c>
      <c r="V910" t="s">
        <v>92</v>
      </c>
      <c r="W910" t="s">
        <v>93</v>
      </c>
      <c r="X910" t="s">
        <v>139</v>
      </c>
      <c r="Y910" t="s">
        <v>139</v>
      </c>
      <c r="Z910" t="s">
        <v>116</v>
      </c>
      <c r="AA910">
        <v>0</v>
      </c>
      <c r="AB910" t="s">
        <v>97</v>
      </c>
      <c r="AC910" t="s">
        <v>97</v>
      </c>
      <c r="AD910" t="s">
        <v>117</v>
      </c>
      <c r="AE910" t="s">
        <v>96</v>
      </c>
      <c r="AF910" t="s">
        <v>97</v>
      </c>
      <c r="AG910" t="s">
        <v>129</v>
      </c>
      <c r="AH910" t="s">
        <v>140</v>
      </c>
      <c r="AI910">
        <v>301</v>
      </c>
      <c r="AJ910" t="s">
        <v>118</v>
      </c>
      <c r="AK910">
        <v>324</v>
      </c>
      <c r="AL910">
        <v>239</v>
      </c>
      <c r="AM910">
        <v>864</v>
      </c>
      <c r="AN910" t="s">
        <v>102</v>
      </c>
      <c r="AO910" t="s">
        <v>97</v>
      </c>
      <c r="AP910" t="s">
        <v>104</v>
      </c>
      <c r="AQ910" t="s">
        <v>105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97</v>
      </c>
      <c r="BC910">
        <v>5</v>
      </c>
      <c r="BD910" t="s">
        <v>106</v>
      </c>
      <c r="BE910">
        <v>0</v>
      </c>
      <c r="BG910" t="s">
        <v>107</v>
      </c>
      <c r="BH910">
        <v>1983</v>
      </c>
      <c r="BI910" t="s">
        <v>101</v>
      </c>
      <c r="BJ910">
        <v>2</v>
      </c>
      <c r="BK910">
        <v>484</v>
      </c>
      <c r="BL910" t="s">
        <v>97</v>
      </c>
      <c r="BM910" t="s">
        <v>97</v>
      </c>
      <c r="BN910" t="s">
        <v>104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V910" t="s">
        <v>133</v>
      </c>
      <c r="BX910">
        <v>0</v>
      </c>
      <c r="BY910">
        <v>6</v>
      </c>
      <c r="BZ910">
        <v>2006</v>
      </c>
      <c r="CA910" t="s">
        <v>109</v>
      </c>
      <c r="CB910" t="s">
        <v>110</v>
      </c>
      <c r="CC910">
        <v>131000</v>
      </c>
    </row>
    <row r="911" spans="1:81" x14ac:dyDescent="0.3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H911" t="s">
        <v>159</v>
      </c>
      <c r="I911" t="s">
        <v>84</v>
      </c>
      <c r="J911" t="s">
        <v>85</v>
      </c>
      <c r="K911" t="s">
        <v>86</v>
      </c>
      <c r="L911" t="s">
        <v>87</v>
      </c>
      <c r="M911" t="s">
        <v>192</v>
      </c>
      <c r="N911" t="s">
        <v>89</v>
      </c>
      <c r="O911" t="s">
        <v>89</v>
      </c>
      <c r="P911" t="s">
        <v>90</v>
      </c>
      <c r="Q911" t="s">
        <v>91</v>
      </c>
      <c r="R911">
        <v>6</v>
      </c>
      <c r="S911">
        <v>5</v>
      </c>
      <c r="T911">
        <v>2005</v>
      </c>
      <c r="U911">
        <v>2005</v>
      </c>
      <c r="V911" t="s">
        <v>92</v>
      </c>
      <c r="W911" t="s">
        <v>93</v>
      </c>
      <c r="X911" t="s">
        <v>94</v>
      </c>
      <c r="Y911" t="s">
        <v>94</v>
      </c>
      <c r="Z911" t="s">
        <v>116</v>
      </c>
      <c r="AA911">
        <v>0</v>
      </c>
      <c r="AB911" t="s">
        <v>96</v>
      </c>
      <c r="AC911" t="s">
        <v>97</v>
      </c>
      <c r="AD911" t="s">
        <v>98</v>
      </c>
      <c r="AE911" t="s">
        <v>96</v>
      </c>
      <c r="AF911" t="s">
        <v>97</v>
      </c>
      <c r="AG911" t="s">
        <v>99</v>
      </c>
      <c r="AH911" t="s">
        <v>101</v>
      </c>
      <c r="AI911">
        <v>0</v>
      </c>
      <c r="AJ911" t="s">
        <v>101</v>
      </c>
      <c r="AK911">
        <v>0</v>
      </c>
      <c r="AL911">
        <v>742</v>
      </c>
      <c r="AM911">
        <v>742</v>
      </c>
      <c r="AN911" t="s">
        <v>102</v>
      </c>
      <c r="AO911" t="s">
        <v>103</v>
      </c>
      <c r="AP911" t="s">
        <v>104</v>
      </c>
      <c r="AQ911" t="s">
        <v>105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96</v>
      </c>
      <c r="BC911">
        <v>8</v>
      </c>
      <c r="BD911" t="s">
        <v>106</v>
      </c>
      <c r="BE911">
        <v>1</v>
      </c>
      <c r="BF911" t="s">
        <v>96</v>
      </c>
      <c r="BG911" t="s">
        <v>107</v>
      </c>
      <c r="BH911">
        <v>2005</v>
      </c>
      <c r="BI911" t="s">
        <v>156</v>
      </c>
      <c r="BJ911">
        <v>2</v>
      </c>
      <c r="BK911">
        <v>390</v>
      </c>
      <c r="BL911" t="s">
        <v>97</v>
      </c>
      <c r="BM911" t="s">
        <v>97</v>
      </c>
      <c r="BN911" t="s">
        <v>104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X911">
        <v>0</v>
      </c>
      <c r="BY911">
        <v>6</v>
      </c>
      <c r="BZ911">
        <v>2009</v>
      </c>
      <c r="CA911" t="s">
        <v>109</v>
      </c>
      <c r="CB911" t="s">
        <v>110</v>
      </c>
      <c r="CC911">
        <v>174000</v>
      </c>
    </row>
    <row r="912" spans="1:81" x14ac:dyDescent="0.3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H912" t="s">
        <v>83</v>
      </c>
      <c r="I912" t="s">
        <v>84</v>
      </c>
      <c r="J912" t="s">
        <v>85</v>
      </c>
      <c r="K912" t="s">
        <v>121</v>
      </c>
      <c r="L912" t="s">
        <v>87</v>
      </c>
      <c r="M912" t="s">
        <v>270</v>
      </c>
      <c r="N912" t="s">
        <v>113</v>
      </c>
      <c r="O912" t="s">
        <v>89</v>
      </c>
      <c r="P912" t="s">
        <v>166</v>
      </c>
      <c r="Q912" t="s">
        <v>91</v>
      </c>
      <c r="R912">
        <v>5</v>
      </c>
      <c r="S912">
        <v>5</v>
      </c>
      <c r="T912">
        <v>1960</v>
      </c>
      <c r="U912">
        <v>1960</v>
      </c>
      <c r="V912" t="s">
        <v>92</v>
      </c>
      <c r="W912" t="s">
        <v>93</v>
      </c>
      <c r="X912" t="s">
        <v>115</v>
      </c>
      <c r="Y912" t="s">
        <v>115</v>
      </c>
      <c r="Z912" t="s">
        <v>95</v>
      </c>
      <c r="AA912">
        <v>361</v>
      </c>
      <c r="AB912" t="s">
        <v>97</v>
      </c>
      <c r="AC912" t="s">
        <v>97</v>
      </c>
      <c r="AD912" t="s">
        <v>117</v>
      </c>
      <c r="AE912" t="s">
        <v>97</v>
      </c>
      <c r="AF912" t="s">
        <v>97</v>
      </c>
      <c r="AG912" t="s">
        <v>99</v>
      </c>
      <c r="AH912" t="s">
        <v>152</v>
      </c>
      <c r="AI912">
        <v>443</v>
      </c>
      <c r="AJ912" t="s">
        <v>101</v>
      </c>
      <c r="AK912">
        <v>0</v>
      </c>
      <c r="AL912">
        <v>662</v>
      </c>
      <c r="AM912">
        <v>1105</v>
      </c>
      <c r="AN912" t="s">
        <v>102</v>
      </c>
      <c r="AO912" t="s">
        <v>97</v>
      </c>
      <c r="AP912" t="s">
        <v>104</v>
      </c>
      <c r="AQ912" t="s">
        <v>163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97</v>
      </c>
      <c r="BC912">
        <v>12</v>
      </c>
      <c r="BD912" t="s">
        <v>106</v>
      </c>
      <c r="BE912">
        <v>0</v>
      </c>
      <c r="BG912" t="s">
        <v>126</v>
      </c>
      <c r="BH912">
        <v>1960</v>
      </c>
      <c r="BI912" t="s">
        <v>101</v>
      </c>
      <c r="BJ912">
        <v>2</v>
      </c>
      <c r="BK912">
        <v>480</v>
      </c>
      <c r="BL912" t="s">
        <v>97</v>
      </c>
      <c r="BM912" t="s">
        <v>97</v>
      </c>
      <c r="BN912" t="s">
        <v>104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X912">
        <v>0</v>
      </c>
      <c r="BY912">
        <v>1</v>
      </c>
      <c r="BZ912">
        <v>2010</v>
      </c>
      <c r="CA912" t="s">
        <v>109</v>
      </c>
      <c r="CB912" t="s">
        <v>110</v>
      </c>
      <c r="CC912">
        <v>154300</v>
      </c>
    </row>
    <row r="913" spans="1:81" x14ac:dyDescent="0.3">
      <c r="A913">
        <v>912</v>
      </c>
      <c r="B913">
        <v>20</v>
      </c>
      <c r="C913" t="s">
        <v>81</v>
      </c>
      <c r="E913">
        <v>9286</v>
      </c>
      <c r="F913" t="s">
        <v>82</v>
      </c>
      <c r="H913" t="s">
        <v>119</v>
      </c>
      <c r="I913" t="s">
        <v>84</v>
      </c>
      <c r="J913" t="s">
        <v>85</v>
      </c>
      <c r="K913" t="s">
        <v>165</v>
      </c>
      <c r="L913" t="s">
        <v>193</v>
      </c>
      <c r="M913" t="s">
        <v>88</v>
      </c>
      <c r="N913" t="s">
        <v>89</v>
      </c>
      <c r="O913" t="s">
        <v>89</v>
      </c>
      <c r="P913" t="s">
        <v>90</v>
      </c>
      <c r="Q913" t="s">
        <v>114</v>
      </c>
      <c r="R913">
        <v>5</v>
      </c>
      <c r="S913">
        <v>7</v>
      </c>
      <c r="T913">
        <v>1977</v>
      </c>
      <c r="U913">
        <v>1989</v>
      </c>
      <c r="V913" t="s">
        <v>92</v>
      </c>
      <c r="W913" t="s">
        <v>93</v>
      </c>
      <c r="X913" t="s">
        <v>139</v>
      </c>
      <c r="Y913" t="s">
        <v>160</v>
      </c>
      <c r="Z913" t="s">
        <v>116</v>
      </c>
      <c r="AA913">
        <v>0</v>
      </c>
      <c r="AB913" t="s">
        <v>97</v>
      </c>
      <c r="AC913" t="s">
        <v>97</v>
      </c>
      <c r="AD913" t="s">
        <v>117</v>
      </c>
      <c r="AE913" t="s">
        <v>96</v>
      </c>
      <c r="AF913" t="s">
        <v>96</v>
      </c>
      <c r="AG913" t="s">
        <v>129</v>
      </c>
      <c r="AH913" t="s">
        <v>118</v>
      </c>
      <c r="AI913">
        <v>196</v>
      </c>
      <c r="AJ913" t="s">
        <v>101</v>
      </c>
      <c r="AK913">
        <v>0</v>
      </c>
      <c r="AL913">
        <v>1072</v>
      </c>
      <c r="AM913">
        <v>1268</v>
      </c>
      <c r="AN913" t="s">
        <v>102</v>
      </c>
      <c r="AO913" t="s">
        <v>97</v>
      </c>
      <c r="AP913" t="s">
        <v>104</v>
      </c>
      <c r="AQ913" t="s">
        <v>105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96</v>
      </c>
      <c r="BC913">
        <v>5</v>
      </c>
      <c r="BD913" t="s">
        <v>106</v>
      </c>
      <c r="BE913">
        <v>0</v>
      </c>
      <c r="BG913" t="s">
        <v>126</v>
      </c>
      <c r="BH913">
        <v>1978</v>
      </c>
      <c r="BI913" t="s">
        <v>101</v>
      </c>
      <c r="BJ913">
        <v>1</v>
      </c>
      <c r="BK913">
        <v>252</v>
      </c>
      <c r="BL913" t="s">
        <v>97</v>
      </c>
      <c r="BM913" t="s">
        <v>97</v>
      </c>
      <c r="BN913" t="s">
        <v>104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X913">
        <v>0</v>
      </c>
      <c r="BY913">
        <v>10</v>
      </c>
      <c r="BZ913">
        <v>2009</v>
      </c>
      <c r="CA913" t="s">
        <v>109</v>
      </c>
      <c r="CB913" t="s">
        <v>110</v>
      </c>
      <c r="CC913">
        <v>143500</v>
      </c>
    </row>
    <row r="914" spans="1:81" x14ac:dyDescent="0.3">
      <c r="A914">
        <v>913</v>
      </c>
      <c r="B914">
        <v>30</v>
      </c>
      <c r="C914" t="s">
        <v>141</v>
      </c>
      <c r="D914">
        <v>51</v>
      </c>
      <c r="E914">
        <v>6120</v>
      </c>
      <c r="F914" t="s">
        <v>82</v>
      </c>
      <c r="H914" t="s">
        <v>83</v>
      </c>
      <c r="I914" t="s">
        <v>84</v>
      </c>
      <c r="J914" t="s">
        <v>85</v>
      </c>
      <c r="K914" t="s">
        <v>86</v>
      </c>
      <c r="L914" t="s">
        <v>87</v>
      </c>
      <c r="M914" t="s">
        <v>147</v>
      </c>
      <c r="N914" t="s">
        <v>89</v>
      </c>
      <c r="O914" t="s">
        <v>89</v>
      </c>
      <c r="P914" t="s">
        <v>90</v>
      </c>
      <c r="Q914" t="s">
        <v>114</v>
      </c>
      <c r="R914">
        <v>5</v>
      </c>
      <c r="S914">
        <v>7</v>
      </c>
      <c r="T914">
        <v>1925</v>
      </c>
      <c r="U914">
        <v>1950</v>
      </c>
      <c r="V914" t="s">
        <v>92</v>
      </c>
      <c r="W914" t="s">
        <v>93</v>
      </c>
      <c r="X914" t="s">
        <v>115</v>
      </c>
      <c r="Y914" t="s">
        <v>115</v>
      </c>
      <c r="Z914" t="s">
        <v>116</v>
      </c>
      <c r="AA914">
        <v>0</v>
      </c>
      <c r="AB914" t="s">
        <v>97</v>
      </c>
      <c r="AC914" t="s">
        <v>97</v>
      </c>
      <c r="AD914" t="s">
        <v>125</v>
      </c>
      <c r="AE914" t="s">
        <v>97</v>
      </c>
      <c r="AF914" t="s">
        <v>97</v>
      </c>
      <c r="AG914" t="s">
        <v>99</v>
      </c>
      <c r="AH914" t="s">
        <v>152</v>
      </c>
      <c r="AI914">
        <v>489</v>
      </c>
      <c r="AJ914" t="s">
        <v>101</v>
      </c>
      <c r="AK914">
        <v>0</v>
      </c>
      <c r="AL914">
        <v>279</v>
      </c>
      <c r="AM914">
        <v>768</v>
      </c>
      <c r="AN914" t="s">
        <v>102</v>
      </c>
      <c r="AO914" t="s">
        <v>97</v>
      </c>
      <c r="AP914" t="s">
        <v>176</v>
      </c>
      <c r="AQ914" t="s">
        <v>105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97</v>
      </c>
      <c r="BC914">
        <v>6</v>
      </c>
      <c r="BD914" t="s">
        <v>145</v>
      </c>
      <c r="BE914">
        <v>0</v>
      </c>
      <c r="BG914" t="s">
        <v>126</v>
      </c>
      <c r="BH914">
        <v>1925</v>
      </c>
      <c r="BI914" t="s">
        <v>101</v>
      </c>
      <c r="BJ914">
        <v>1</v>
      </c>
      <c r="BK914">
        <v>450</v>
      </c>
      <c r="BL914" t="s">
        <v>97</v>
      </c>
      <c r="BM914" t="s">
        <v>97</v>
      </c>
      <c r="BN914" t="s">
        <v>104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V914" t="s">
        <v>133</v>
      </c>
      <c r="BW914" t="s">
        <v>134</v>
      </c>
      <c r="BX914">
        <v>620</v>
      </c>
      <c r="BY914">
        <v>7</v>
      </c>
      <c r="BZ914">
        <v>2006</v>
      </c>
      <c r="CA914" t="s">
        <v>109</v>
      </c>
      <c r="CB914" t="s">
        <v>127</v>
      </c>
      <c r="CC914">
        <v>88000</v>
      </c>
    </row>
    <row r="915" spans="1:81" x14ac:dyDescent="0.3">
      <c r="A915">
        <v>914</v>
      </c>
      <c r="B915">
        <v>90</v>
      </c>
      <c r="C915" t="s">
        <v>238</v>
      </c>
      <c r="D915">
        <v>82</v>
      </c>
      <c r="E915">
        <v>6270</v>
      </c>
      <c r="F915" t="s">
        <v>82</v>
      </c>
      <c r="H915" t="s">
        <v>83</v>
      </c>
      <c r="I915" t="s">
        <v>198</v>
      </c>
      <c r="J915" t="s">
        <v>85</v>
      </c>
      <c r="K915" t="s">
        <v>86</v>
      </c>
      <c r="L915" t="s">
        <v>87</v>
      </c>
      <c r="M915" t="s">
        <v>122</v>
      </c>
      <c r="N915" t="s">
        <v>89</v>
      </c>
      <c r="O915" t="s">
        <v>89</v>
      </c>
      <c r="P915" t="s">
        <v>166</v>
      </c>
      <c r="Q915" t="s">
        <v>91</v>
      </c>
      <c r="R915">
        <v>5</v>
      </c>
      <c r="S915">
        <v>6</v>
      </c>
      <c r="T915">
        <v>1949</v>
      </c>
      <c r="U915">
        <v>1950</v>
      </c>
      <c r="V915" t="s">
        <v>92</v>
      </c>
      <c r="W915" t="s">
        <v>93</v>
      </c>
      <c r="X915" t="s">
        <v>115</v>
      </c>
      <c r="Y915" t="s">
        <v>115</v>
      </c>
      <c r="Z915" t="s">
        <v>116</v>
      </c>
      <c r="AA915">
        <v>0</v>
      </c>
      <c r="AB915" t="s">
        <v>97</v>
      </c>
      <c r="AC915" t="s">
        <v>97</v>
      </c>
      <c r="AD915" t="s">
        <v>117</v>
      </c>
      <c r="AE915" t="s">
        <v>97</v>
      </c>
      <c r="AF915" t="s">
        <v>97</v>
      </c>
      <c r="AG915" t="s">
        <v>99</v>
      </c>
      <c r="AH915" t="s">
        <v>140</v>
      </c>
      <c r="AI915">
        <v>284</v>
      </c>
      <c r="AJ915" t="s">
        <v>101</v>
      </c>
      <c r="AK915">
        <v>0</v>
      </c>
      <c r="AL915">
        <v>717</v>
      </c>
      <c r="AM915">
        <v>1001</v>
      </c>
      <c r="AN915" t="s">
        <v>102</v>
      </c>
      <c r="AO915" t="s">
        <v>97</v>
      </c>
      <c r="AP915" t="s">
        <v>176</v>
      </c>
      <c r="AQ915" t="s">
        <v>163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97</v>
      </c>
      <c r="BC915">
        <v>8</v>
      </c>
      <c r="BD915" t="s">
        <v>106</v>
      </c>
      <c r="BE915">
        <v>0</v>
      </c>
      <c r="BG915" t="s">
        <v>216</v>
      </c>
      <c r="BH915">
        <v>1949</v>
      </c>
      <c r="BI915" t="s">
        <v>101</v>
      </c>
      <c r="BJ915">
        <v>3</v>
      </c>
      <c r="BK915">
        <v>871</v>
      </c>
      <c r="BL915" t="s">
        <v>97</v>
      </c>
      <c r="BM915" t="s">
        <v>97</v>
      </c>
      <c r="BN915" t="s">
        <v>104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X915">
        <v>0</v>
      </c>
      <c r="BY915">
        <v>8</v>
      </c>
      <c r="BZ915">
        <v>2007</v>
      </c>
      <c r="CA915" t="s">
        <v>109</v>
      </c>
      <c r="CB915" t="s">
        <v>110</v>
      </c>
      <c r="CC915">
        <v>145000</v>
      </c>
    </row>
    <row r="916" spans="1:81" x14ac:dyDescent="0.3">
      <c r="A916">
        <v>915</v>
      </c>
      <c r="B916">
        <v>160</v>
      </c>
      <c r="C916" t="s">
        <v>191</v>
      </c>
      <c r="D916">
        <v>30</v>
      </c>
      <c r="E916">
        <v>3000</v>
      </c>
      <c r="F916" t="s">
        <v>82</v>
      </c>
      <c r="G916" t="s">
        <v>82</v>
      </c>
      <c r="H916" t="s">
        <v>83</v>
      </c>
      <c r="I916" t="s">
        <v>84</v>
      </c>
      <c r="J916" t="s">
        <v>85</v>
      </c>
      <c r="K916" t="s">
        <v>86</v>
      </c>
      <c r="L916" t="s">
        <v>87</v>
      </c>
      <c r="M916" t="s">
        <v>135</v>
      </c>
      <c r="N916" t="s">
        <v>89</v>
      </c>
      <c r="O916" t="s">
        <v>89</v>
      </c>
      <c r="P916" t="s">
        <v>178</v>
      </c>
      <c r="Q916" t="s">
        <v>91</v>
      </c>
      <c r="R916">
        <v>6</v>
      </c>
      <c r="S916">
        <v>5</v>
      </c>
      <c r="T916">
        <v>2009</v>
      </c>
      <c r="U916">
        <v>2009</v>
      </c>
      <c r="V916" t="s">
        <v>92</v>
      </c>
      <c r="W916" t="s">
        <v>93</v>
      </c>
      <c r="X916" t="s">
        <v>94</v>
      </c>
      <c r="Y916" t="s">
        <v>94</v>
      </c>
      <c r="Z916" t="s">
        <v>136</v>
      </c>
      <c r="AA916">
        <v>76</v>
      </c>
      <c r="AB916" t="s">
        <v>96</v>
      </c>
      <c r="AC916" t="s">
        <v>97</v>
      </c>
      <c r="AD916" t="s">
        <v>98</v>
      </c>
      <c r="AE916" t="s">
        <v>96</v>
      </c>
      <c r="AF916" t="s">
        <v>97</v>
      </c>
      <c r="AG916" t="s">
        <v>129</v>
      </c>
      <c r="AH916" t="s">
        <v>100</v>
      </c>
      <c r="AI916">
        <v>294</v>
      </c>
      <c r="AJ916" t="s">
        <v>101</v>
      </c>
      <c r="AK916">
        <v>0</v>
      </c>
      <c r="AL916">
        <v>318</v>
      </c>
      <c r="AM916">
        <v>612</v>
      </c>
      <c r="AN916" t="s">
        <v>102</v>
      </c>
      <c r="AO916" t="s">
        <v>103</v>
      </c>
      <c r="AP916" t="s">
        <v>104</v>
      </c>
      <c r="AQ916" t="s">
        <v>105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96</v>
      </c>
      <c r="BC916">
        <v>4</v>
      </c>
      <c r="BD916" t="s">
        <v>106</v>
      </c>
      <c r="BE916">
        <v>0</v>
      </c>
      <c r="BG916" t="s">
        <v>126</v>
      </c>
      <c r="BH916">
        <v>2009</v>
      </c>
      <c r="BI916" t="s">
        <v>108</v>
      </c>
      <c r="BJ916">
        <v>2</v>
      </c>
      <c r="BK916">
        <v>528</v>
      </c>
      <c r="BL916" t="s">
        <v>97</v>
      </c>
      <c r="BM916" t="s">
        <v>97</v>
      </c>
      <c r="BN916" t="s">
        <v>104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X916">
        <v>0</v>
      </c>
      <c r="BY916">
        <v>6</v>
      </c>
      <c r="BZ916">
        <v>2009</v>
      </c>
      <c r="CA916" t="s">
        <v>157</v>
      </c>
      <c r="CB916" t="s">
        <v>158</v>
      </c>
      <c r="CC916">
        <v>173733</v>
      </c>
    </row>
    <row r="917" spans="1:81" x14ac:dyDescent="0.3">
      <c r="A917">
        <v>916</v>
      </c>
      <c r="B917">
        <v>160</v>
      </c>
      <c r="C917" t="s">
        <v>141</v>
      </c>
      <c r="D917">
        <v>21</v>
      </c>
      <c r="E917">
        <v>2001</v>
      </c>
      <c r="F917" t="s">
        <v>82</v>
      </c>
      <c r="H917" t="s">
        <v>83</v>
      </c>
      <c r="I917" t="s">
        <v>84</v>
      </c>
      <c r="J917" t="s">
        <v>85</v>
      </c>
      <c r="K917" t="s">
        <v>86</v>
      </c>
      <c r="L917" t="s">
        <v>87</v>
      </c>
      <c r="M917" t="s">
        <v>177</v>
      </c>
      <c r="N917" t="s">
        <v>89</v>
      </c>
      <c r="O917" t="s">
        <v>89</v>
      </c>
      <c r="P917" t="s">
        <v>197</v>
      </c>
      <c r="Q917" t="s">
        <v>91</v>
      </c>
      <c r="R917">
        <v>4</v>
      </c>
      <c r="S917">
        <v>5</v>
      </c>
      <c r="T917">
        <v>1970</v>
      </c>
      <c r="U917">
        <v>1970</v>
      </c>
      <c r="V917" t="s">
        <v>92</v>
      </c>
      <c r="W917" t="s">
        <v>93</v>
      </c>
      <c r="X917" t="s">
        <v>179</v>
      </c>
      <c r="Y917" t="s">
        <v>180</v>
      </c>
      <c r="Z917" t="s">
        <v>95</v>
      </c>
      <c r="AA917">
        <v>80</v>
      </c>
      <c r="AB917" t="s">
        <v>97</v>
      </c>
      <c r="AC917" t="s">
        <v>97</v>
      </c>
      <c r="AD917" t="s">
        <v>117</v>
      </c>
      <c r="AE917" t="s">
        <v>97</v>
      </c>
      <c r="AF917" t="s">
        <v>97</v>
      </c>
      <c r="AG917" t="s">
        <v>99</v>
      </c>
      <c r="AH917" t="s">
        <v>101</v>
      </c>
      <c r="AI917">
        <v>0</v>
      </c>
      <c r="AJ917" t="s">
        <v>101</v>
      </c>
      <c r="AK917">
        <v>0</v>
      </c>
      <c r="AL917">
        <v>546</v>
      </c>
      <c r="AM917">
        <v>546</v>
      </c>
      <c r="AN917" t="s">
        <v>102</v>
      </c>
      <c r="AO917" t="s">
        <v>146</v>
      </c>
      <c r="AP917" t="s">
        <v>104</v>
      </c>
      <c r="AQ917" t="s">
        <v>105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97</v>
      </c>
      <c r="BC917">
        <v>6</v>
      </c>
      <c r="BD917" t="s">
        <v>106</v>
      </c>
      <c r="BE917">
        <v>0</v>
      </c>
      <c r="BG917" t="s">
        <v>107</v>
      </c>
      <c r="BH917">
        <v>1970</v>
      </c>
      <c r="BI917" t="s">
        <v>101</v>
      </c>
      <c r="BJ917">
        <v>1</v>
      </c>
      <c r="BK917">
        <v>286</v>
      </c>
      <c r="BL917" t="s">
        <v>97</v>
      </c>
      <c r="BM917" t="s">
        <v>97</v>
      </c>
      <c r="BN917" t="s">
        <v>104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X917">
        <v>0</v>
      </c>
      <c r="BY917">
        <v>1</v>
      </c>
      <c r="BZ917">
        <v>2007</v>
      </c>
      <c r="CA917" t="s">
        <v>109</v>
      </c>
      <c r="CB917" t="s">
        <v>110</v>
      </c>
      <c r="CC917">
        <v>75000</v>
      </c>
    </row>
    <row r="918" spans="1:81" x14ac:dyDescent="0.3">
      <c r="A918">
        <v>917</v>
      </c>
      <c r="B918">
        <v>20</v>
      </c>
      <c r="C918" t="s">
        <v>182</v>
      </c>
      <c r="D918">
        <v>50</v>
      </c>
      <c r="E918">
        <v>9000</v>
      </c>
      <c r="F918" t="s">
        <v>82</v>
      </c>
      <c r="H918" t="s">
        <v>83</v>
      </c>
      <c r="I918" t="s">
        <v>84</v>
      </c>
      <c r="J918" t="s">
        <v>85</v>
      </c>
      <c r="K918" t="s">
        <v>86</v>
      </c>
      <c r="L918" t="s">
        <v>87</v>
      </c>
      <c r="M918" t="s">
        <v>175</v>
      </c>
      <c r="N918" t="s">
        <v>89</v>
      </c>
      <c r="O918" t="s">
        <v>89</v>
      </c>
      <c r="P918" t="s">
        <v>90</v>
      </c>
      <c r="Q918" t="s">
        <v>114</v>
      </c>
      <c r="R918">
        <v>2</v>
      </c>
      <c r="S918">
        <v>3</v>
      </c>
      <c r="T918">
        <v>1949</v>
      </c>
      <c r="U918">
        <v>1950</v>
      </c>
      <c r="V918" t="s">
        <v>92</v>
      </c>
      <c r="W918" t="s">
        <v>93</v>
      </c>
      <c r="X918" t="s">
        <v>185</v>
      </c>
      <c r="Y918" t="s">
        <v>185</v>
      </c>
      <c r="Z918" t="s">
        <v>116</v>
      </c>
      <c r="AA918">
        <v>0</v>
      </c>
      <c r="AB918" t="s">
        <v>97</v>
      </c>
      <c r="AC918" t="s">
        <v>97</v>
      </c>
      <c r="AD918" t="s">
        <v>117</v>
      </c>
      <c r="AE918" t="s">
        <v>97</v>
      </c>
      <c r="AF918" t="s">
        <v>97</v>
      </c>
      <c r="AG918" t="s">
        <v>129</v>
      </c>
      <c r="AH918" t="s">
        <v>140</v>
      </c>
      <c r="AI918">
        <v>50</v>
      </c>
      <c r="AJ918" t="s">
        <v>101</v>
      </c>
      <c r="AK918">
        <v>0</v>
      </c>
      <c r="AL918">
        <v>430</v>
      </c>
      <c r="AM918">
        <v>480</v>
      </c>
      <c r="AN918" t="s">
        <v>102</v>
      </c>
      <c r="AO918" t="s">
        <v>97</v>
      </c>
      <c r="AP918" t="s">
        <v>176</v>
      </c>
      <c r="AQ918" t="s">
        <v>163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97</v>
      </c>
      <c r="BC918">
        <v>4</v>
      </c>
      <c r="BD918" t="s">
        <v>106</v>
      </c>
      <c r="BE918">
        <v>0</v>
      </c>
      <c r="BG918" t="s">
        <v>126</v>
      </c>
      <c r="BH918">
        <v>1958</v>
      </c>
      <c r="BI918" t="s">
        <v>101</v>
      </c>
      <c r="BJ918">
        <v>1</v>
      </c>
      <c r="BK918">
        <v>308</v>
      </c>
      <c r="BL918" t="s">
        <v>97</v>
      </c>
      <c r="BM918" t="s">
        <v>97</v>
      </c>
      <c r="BN918" t="s">
        <v>104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X918">
        <v>0</v>
      </c>
      <c r="BY918">
        <v>10</v>
      </c>
      <c r="BZ918">
        <v>2006</v>
      </c>
      <c r="CA918" t="s">
        <v>109</v>
      </c>
      <c r="CB918" t="s">
        <v>127</v>
      </c>
      <c r="CC918">
        <v>35311</v>
      </c>
    </row>
    <row r="919" spans="1:81" x14ac:dyDescent="0.3">
      <c r="A919">
        <v>918</v>
      </c>
      <c r="B919">
        <v>20</v>
      </c>
      <c r="C919" t="s">
        <v>81</v>
      </c>
      <c r="E919">
        <v>17140</v>
      </c>
      <c r="F919" t="s">
        <v>82</v>
      </c>
      <c r="H919" t="s">
        <v>83</v>
      </c>
      <c r="I919" t="s">
        <v>84</v>
      </c>
      <c r="J919" t="s">
        <v>85</v>
      </c>
      <c r="K919" t="s">
        <v>86</v>
      </c>
      <c r="L919" t="s">
        <v>87</v>
      </c>
      <c r="M919" t="s">
        <v>184</v>
      </c>
      <c r="N919" t="s">
        <v>89</v>
      </c>
      <c r="O919" t="s">
        <v>89</v>
      </c>
      <c r="P919" t="s">
        <v>90</v>
      </c>
      <c r="Q919" t="s">
        <v>114</v>
      </c>
      <c r="R919">
        <v>4</v>
      </c>
      <c r="S919">
        <v>6</v>
      </c>
      <c r="T919">
        <v>1956</v>
      </c>
      <c r="U919">
        <v>1956</v>
      </c>
      <c r="V919" t="s">
        <v>92</v>
      </c>
      <c r="W919" t="s">
        <v>93</v>
      </c>
      <c r="X919" t="s">
        <v>94</v>
      </c>
      <c r="Y919" t="s">
        <v>94</v>
      </c>
      <c r="Z919" t="s">
        <v>116</v>
      </c>
      <c r="AA919">
        <v>0</v>
      </c>
      <c r="AB919" t="s">
        <v>97</v>
      </c>
      <c r="AC919" t="s">
        <v>97</v>
      </c>
      <c r="AD919" t="s">
        <v>117</v>
      </c>
      <c r="AE919" t="s">
        <v>97</v>
      </c>
      <c r="AF919" t="s">
        <v>97</v>
      </c>
      <c r="AG919" t="s">
        <v>99</v>
      </c>
      <c r="AH919" t="s">
        <v>118</v>
      </c>
      <c r="AI919">
        <v>1059</v>
      </c>
      <c r="AJ919" t="s">
        <v>101</v>
      </c>
      <c r="AK919">
        <v>0</v>
      </c>
      <c r="AL919">
        <v>75</v>
      </c>
      <c r="AM919">
        <v>1134</v>
      </c>
      <c r="AN919" t="s">
        <v>102</v>
      </c>
      <c r="AO919" t="s">
        <v>103</v>
      </c>
      <c r="AP919" t="s">
        <v>104</v>
      </c>
      <c r="AQ919" t="s">
        <v>163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97</v>
      </c>
      <c r="BC919">
        <v>6</v>
      </c>
      <c r="BD919" t="s">
        <v>106</v>
      </c>
      <c r="BE919">
        <v>0</v>
      </c>
      <c r="BG919" t="s">
        <v>107</v>
      </c>
      <c r="BH919">
        <v>1956</v>
      </c>
      <c r="BI919" t="s">
        <v>108</v>
      </c>
      <c r="BJ919">
        <v>1</v>
      </c>
      <c r="BK919">
        <v>284</v>
      </c>
      <c r="BL919" t="s">
        <v>97</v>
      </c>
      <c r="BM919" t="s">
        <v>97</v>
      </c>
      <c r="BN919" t="s">
        <v>104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X919">
        <v>0</v>
      </c>
      <c r="BY919">
        <v>4</v>
      </c>
      <c r="BZ919">
        <v>2009</v>
      </c>
      <c r="CA919" t="s">
        <v>109</v>
      </c>
      <c r="CB919" t="s">
        <v>110</v>
      </c>
      <c r="CC919">
        <v>135000</v>
      </c>
    </row>
    <row r="920" spans="1:81" x14ac:dyDescent="0.3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H920" t="s">
        <v>119</v>
      </c>
      <c r="I920" t="s">
        <v>84</v>
      </c>
      <c r="J920" t="s">
        <v>85</v>
      </c>
      <c r="K920" t="s">
        <v>121</v>
      </c>
      <c r="L920" t="s">
        <v>87</v>
      </c>
      <c r="M920" t="s">
        <v>169</v>
      </c>
      <c r="N920" t="s">
        <v>89</v>
      </c>
      <c r="O920" t="s">
        <v>89</v>
      </c>
      <c r="P920" t="s">
        <v>90</v>
      </c>
      <c r="Q920" t="s">
        <v>91</v>
      </c>
      <c r="R920">
        <v>7</v>
      </c>
      <c r="S920">
        <v>5</v>
      </c>
      <c r="T920">
        <v>1991</v>
      </c>
      <c r="U920">
        <v>1991</v>
      </c>
      <c r="V920" t="s">
        <v>92</v>
      </c>
      <c r="W920" t="s">
        <v>93</v>
      </c>
      <c r="X920" t="s">
        <v>139</v>
      </c>
      <c r="Y920" t="s">
        <v>139</v>
      </c>
      <c r="Z920" t="s">
        <v>116</v>
      </c>
      <c r="AA920">
        <v>0</v>
      </c>
      <c r="AB920" t="s">
        <v>96</v>
      </c>
      <c r="AC920" t="s">
        <v>97</v>
      </c>
      <c r="AD920" t="s">
        <v>98</v>
      </c>
      <c r="AE920" t="s">
        <v>103</v>
      </c>
      <c r="AF920" t="s">
        <v>97</v>
      </c>
      <c r="AG920" t="s">
        <v>120</v>
      </c>
      <c r="AH920" t="s">
        <v>140</v>
      </c>
      <c r="AI920">
        <v>48</v>
      </c>
      <c r="AJ920" t="s">
        <v>100</v>
      </c>
      <c r="AK920">
        <v>634</v>
      </c>
      <c r="AL920">
        <v>422</v>
      </c>
      <c r="AM920">
        <v>1104</v>
      </c>
      <c r="AN920" t="s">
        <v>102</v>
      </c>
      <c r="AO920" t="s">
        <v>103</v>
      </c>
      <c r="AP920" t="s">
        <v>104</v>
      </c>
      <c r="AQ920" t="s">
        <v>105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96</v>
      </c>
      <c r="BC920">
        <v>8</v>
      </c>
      <c r="BD920" t="s">
        <v>106</v>
      </c>
      <c r="BE920">
        <v>1</v>
      </c>
      <c r="BF920" t="s">
        <v>97</v>
      </c>
      <c r="BG920" t="s">
        <v>107</v>
      </c>
      <c r="BH920">
        <v>1991</v>
      </c>
      <c r="BI920" t="s">
        <v>108</v>
      </c>
      <c r="BJ920">
        <v>3</v>
      </c>
      <c r="BK920">
        <v>833</v>
      </c>
      <c r="BL920" t="s">
        <v>97</v>
      </c>
      <c r="BM920" t="s">
        <v>97</v>
      </c>
      <c r="BN920" t="s">
        <v>104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V920" t="s">
        <v>164</v>
      </c>
      <c r="BX920">
        <v>0</v>
      </c>
      <c r="BY920">
        <v>11</v>
      </c>
      <c r="BZ920">
        <v>2007</v>
      </c>
      <c r="CA920" t="s">
        <v>109</v>
      </c>
      <c r="CB920" t="s">
        <v>110</v>
      </c>
      <c r="CC920">
        <v>238000</v>
      </c>
    </row>
    <row r="921" spans="1:81" x14ac:dyDescent="0.3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H921" t="s">
        <v>119</v>
      </c>
      <c r="I921" t="s">
        <v>84</v>
      </c>
      <c r="J921" t="s">
        <v>85</v>
      </c>
      <c r="K921" t="s">
        <v>121</v>
      </c>
      <c r="L921" t="s">
        <v>87</v>
      </c>
      <c r="M921" t="s">
        <v>270</v>
      </c>
      <c r="N921" t="s">
        <v>89</v>
      </c>
      <c r="O921" t="s">
        <v>89</v>
      </c>
      <c r="P921" t="s">
        <v>90</v>
      </c>
      <c r="Q921" t="s">
        <v>114</v>
      </c>
      <c r="R921">
        <v>6</v>
      </c>
      <c r="S921">
        <v>8</v>
      </c>
      <c r="T921">
        <v>1958</v>
      </c>
      <c r="U921">
        <v>2002</v>
      </c>
      <c r="V921" t="s">
        <v>151</v>
      </c>
      <c r="W921" t="s">
        <v>93</v>
      </c>
      <c r="X921" t="s">
        <v>115</v>
      </c>
      <c r="Y921" t="s">
        <v>115</v>
      </c>
      <c r="Z921" t="s">
        <v>116</v>
      </c>
      <c r="AA921">
        <v>0</v>
      </c>
      <c r="AB921" t="s">
        <v>103</v>
      </c>
      <c r="AC921" t="s">
        <v>97</v>
      </c>
      <c r="AD921" t="s">
        <v>117</v>
      </c>
      <c r="AE921" t="s">
        <v>96</v>
      </c>
      <c r="AF921" t="s">
        <v>97</v>
      </c>
      <c r="AG921" t="s">
        <v>99</v>
      </c>
      <c r="AH921" t="s">
        <v>118</v>
      </c>
      <c r="AI921">
        <v>528</v>
      </c>
      <c r="AJ921" t="s">
        <v>140</v>
      </c>
      <c r="AK921">
        <v>411</v>
      </c>
      <c r="AL921">
        <v>245</v>
      </c>
      <c r="AM921">
        <v>1184</v>
      </c>
      <c r="AN921" t="s">
        <v>102</v>
      </c>
      <c r="AO921" t="s">
        <v>103</v>
      </c>
      <c r="AP921" t="s">
        <v>104</v>
      </c>
      <c r="AQ921" t="s">
        <v>105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97</v>
      </c>
      <c r="BC921">
        <v>6</v>
      </c>
      <c r="BD921" t="s">
        <v>145</v>
      </c>
      <c r="BE921">
        <v>1</v>
      </c>
      <c r="BF921" t="s">
        <v>97</v>
      </c>
      <c r="BG921" t="s">
        <v>107</v>
      </c>
      <c r="BH921">
        <v>1990</v>
      </c>
      <c r="BI921" t="s">
        <v>101</v>
      </c>
      <c r="BJ921">
        <v>2</v>
      </c>
      <c r="BK921">
        <v>601</v>
      </c>
      <c r="BL921" t="s">
        <v>97</v>
      </c>
      <c r="BM921" t="s">
        <v>97</v>
      </c>
      <c r="BN921" t="s">
        <v>104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X921">
        <v>0</v>
      </c>
      <c r="BY921">
        <v>5</v>
      </c>
      <c r="BZ921">
        <v>2008</v>
      </c>
      <c r="CA921" t="s">
        <v>109</v>
      </c>
      <c r="CB921" t="s">
        <v>110</v>
      </c>
      <c r="CC921">
        <v>176500</v>
      </c>
    </row>
    <row r="922" spans="1:81" x14ac:dyDescent="0.3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H922" t="s">
        <v>119</v>
      </c>
      <c r="I922" t="s">
        <v>84</v>
      </c>
      <c r="J922" t="s">
        <v>85</v>
      </c>
      <c r="K922" t="s">
        <v>86</v>
      </c>
      <c r="L922" t="s">
        <v>87</v>
      </c>
      <c r="M922" t="s">
        <v>169</v>
      </c>
      <c r="N922" t="s">
        <v>89</v>
      </c>
      <c r="O922" t="s">
        <v>89</v>
      </c>
      <c r="P922" t="s">
        <v>90</v>
      </c>
      <c r="Q922" t="s">
        <v>91</v>
      </c>
      <c r="R922">
        <v>6</v>
      </c>
      <c r="S922">
        <v>5</v>
      </c>
      <c r="T922">
        <v>1994</v>
      </c>
      <c r="U922">
        <v>1994</v>
      </c>
      <c r="V922" t="s">
        <v>92</v>
      </c>
      <c r="W922" t="s">
        <v>93</v>
      </c>
      <c r="X922" t="s">
        <v>139</v>
      </c>
      <c r="Y922" t="s">
        <v>139</v>
      </c>
      <c r="Z922" t="s">
        <v>95</v>
      </c>
      <c r="AA922">
        <v>105</v>
      </c>
      <c r="AB922" t="s">
        <v>96</v>
      </c>
      <c r="AC922" t="s">
        <v>96</v>
      </c>
      <c r="AD922" t="s">
        <v>98</v>
      </c>
      <c r="AE922" t="s">
        <v>96</v>
      </c>
      <c r="AF922" t="s">
        <v>96</v>
      </c>
      <c r="AG922" t="s">
        <v>99</v>
      </c>
      <c r="AH922" t="s">
        <v>100</v>
      </c>
      <c r="AI922">
        <v>814</v>
      </c>
      <c r="AJ922" t="s">
        <v>101</v>
      </c>
      <c r="AK922">
        <v>0</v>
      </c>
      <c r="AL922">
        <v>114</v>
      </c>
      <c r="AM922">
        <v>928</v>
      </c>
      <c r="AN922" t="s">
        <v>102</v>
      </c>
      <c r="AO922" t="s">
        <v>103</v>
      </c>
      <c r="AP922" t="s">
        <v>104</v>
      </c>
      <c r="AQ922" t="s">
        <v>105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96</v>
      </c>
      <c r="BC922">
        <v>7</v>
      </c>
      <c r="BD922" t="s">
        <v>106</v>
      </c>
      <c r="BE922">
        <v>0</v>
      </c>
      <c r="BG922" t="s">
        <v>107</v>
      </c>
      <c r="BH922">
        <v>1994</v>
      </c>
      <c r="BI922" t="s">
        <v>108</v>
      </c>
      <c r="BJ922">
        <v>2</v>
      </c>
      <c r="BK922">
        <v>471</v>
      </c>
      <c r="BL922" t="s">
        <v>97</v>
      </c>
      <c r="BM922" t="s">
        <v>97</v>
      </c>
      <c r="BN922" t="s">
        <v>104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X922">
        <v>0</v>
      </c>
      <c r="BY922">
        <v>7</v>
      </c>
      <c r="BZ922">
        <v>2007</v>
      </c>
      <c r="CA922" t="s">
        <v>109</v>
      </c>
      <c r="CB922" t="s">
        <v>110</v>
      </c>
      <c r="CC922">
        <v>201000</v>
      </c>
    </row>
    <row r="923" spans="1:81" x14ac:dyDescent="0.3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H923" t="s">
        <v>83</v>
      </c>
      <c r="I923" t="s">
        <v>84</v>
      </c>
      <c r="J923" t="s">
        <v>85</v>
      </c>
      <c r="K923" t="s">
        <v>86</v>
      </c>
      <c r="L923" t="s">
        <v>87</v>
      </c>
      <c r="M923" t="s">
        <v>184</v>
      </c>
      <c r="N923" t="s">
        <v>113</v>
      </c>
      <c r="O923" t="s">
        <v>89</v>
      </c>
      <c r="P923" t="s">
        <v>166</v>
      </c>
      <c r="Q923" t="s">
        <v>131</v>
      </c>
      <c r="R923">
        <v>5</v>
      </c>
      <c r="S923">
        <v>7</v>
      </c>
      <c r="T923">
        <v>1900</v>
      </c>
      <c r="U923">
        <v>2003</v>
      </c>
      <c r="V923" t="s">
        <v>92</v>
      </c>
      <c r="W923" t="s">
        <v>93</v>
      </c>
      <c r="X923" t="s">
        <v>115</v>
      </c>
      <c r="Y923" t="s">
        <v>115</v>
      </c>
      <c r="Z923" t="s">
        <v>116</v>
      </c>
      <c r="AA923">
        <v>0</v>
      </c>
      <c r="AB923" t="s">
        <v>97</v>
      </c>
      <c r="AC923" t="s">
        <v>97</v>
      </c>
      <c r="AD923" t="s">
        <v>117</v>
      </c>
      <c r="AE923" t="s">
        <v>97</v>
      </c>
      <c r="AF923" t="s">
        <v>97</v>
      </c>
      <c r="AG923" t="s">
        <v>99</v>
      </c>
      <c r="AH923" t="s">
        <v>118</v>
      </c>
      <c r="AI923">
        <v>1084</v>
      </c>
      <c r="AJ923" t="s">
        <v>101</v>
      </c>
      <c r="AK923">
        <v>0</v>
      </c>
      <c r="AL923">
        <v>188</v>
      </c>
      <c r="AM923">
        <v>1272</v>
      </c>
      <c r="AN923" t="s">
        <v>102</v>
      </c>
      <c r="AO923" t="s">
        <v>96</v>
      </c>
      <c r="AP923" t="s">
        <v>104</v>
      </c>
      <c r="AQ923" t="s">
        <v>105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97</v>
      </c>
      <c r="BC923">
        <v>9</v>
      </c>
      <c r="BD923" t="s">
        <v>106</v>
      </c>
      <c r="BE923">
        <v>0</v>
      </c>
      <c r="BJ923">
        <v>0</v>
      </c>
      <c r="BK923">
        <v>0</v>
      </c>
      <c r="BN923" t="s">
        <v>176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V923" t="s">
        <v>164</v>
      </c>
      <c r="BX923">
        <v>0</v>
      </c>
      <c r="BY923">
        <v>9</v>
      </c>
      <c r="BZ923">
        <v>2008</v>
      </c>
      <c r="CA923" t="s">
        <v>109</v>
      </c>
      <c r="CB923" t="s">
        <v>110</v>
      </c>
      <c r="CC923">
        <v>145900</v>
      </c>
    </row>
    <row r="924" spans="1:81" x14ac:dyDescent="0.3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H924" t="s">
        <v>83</v>
      </c>
      <c r="I924" t="s">
        <v>84</v>
      </c>
      <c r="J924" t="s">
        <v>85</v>
      </c>
      <c r="K924" t="s">
        <v>86</v>
      </c>
      <c r="L924" t="s">
        <v>87</v>
      </c>
      <c r="M924" t="s">
        <v>192</v>
      </c>
      <c r="N924" t="s">
        <v>201</v>
      </c>
      <c r="O924" t="s">
        <v>89</v>
      </c>
      <c r="P924" t="s">
        <v>90</v>
      </c>
      <c r="Q924" t="s">
        <v>114</v>
      </c>
      <c r="R924">
        <v>6</v>
      </c>
      <c r="S924">
        <v>5</v>
      </c>
      <c r="T924">
        <v>2005</v>
      </c>
      <c r="U924">
        <v>2006</v>
      </c>
      <c r="V924" t="s">
        <v>92</v>
      </c>
      <c r="W924" t="s">
        <v>93</v>
      </c>
      <c r="X924" t="s">
        <v>94</v>
      </c>
      <c r="Y924" t="s">
        <v>94</v>
      </c>
      <c r="Z924" t="s">
        <v>116</v>
      </c>
      <c r="AA924">
        <v>0</v>
      </c>
      <c r="AB924" t="s">
        <v>96</v>
      </c>
      <c r="AC924" t="s">
        <v>97</v>
      </c>
      <c r="AD924" t="s">
        <v>98</v>
      </c>
      <c r="AE924" t="s">
        <v>96</v>
      </c>
      <c r="AF924" t="s">
        <v>97</v>
      </c>
      <c r="AG924" t="s">
        <v>99</v>
      </c>
      <c r="AH924" t="s">
        <v>100</v>
      </c>
      <c r="AI924">
        <v>28</v>
      </c>
      <c r="AJ924" t="s">
        <v>101</v>
      </c>
      <c r="AK924">
        <v>0</v>
      </c>
      <c r="AL924">
        <v>1288</v>
      </c>
      <c r="AM924">
        <v>1316</v>
      </c>
      <c r="AN924" t="s">
        <v>102</v>
      </c>
      <c r="AO924" t="s">
        <v>103</v>
      </c>
      <c r="AP924" t="s">
        <v>104</v>
      </c>
      <c r="AQ924" t="s">
        <v>105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96</v>
      </c>
      <c r="BC924">
        <v>6</v>
      </c>
      <c r="BD924" t="s">
        <v>106</v>
      </c>
      <c r="BE924">
        <v>1</v>
      </c>
      <c r="BF924" t="s">
        <v>96</v>
      </c>
      <c r="BG924" t="s">
        <v>107</v>
      </c>
      <c r="BH924">
        <v>2005</v>
      </c>
      <c r="BI924" t="s">
        <v>156</v>
      </c>
      <c r="BJ924">
        <v>2</v>
      </c>
      <c r="BK924">
        <v>397</v>
      </c>
      <c r="BL924" t="s">
        <v>97</v>
      </c>
      <c r="BM924" t="s">
        <v>97</v>
      </c>
      <c r="BN924" t="s">
        <v>104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X924">
        <v>0</v>
      </c>
      <c r="BY924">
        <v>10</v>
      </c>
      <c r="BZ924">
        <v>2006</v>
      </c>
      <c r="CA924" t="s">
        <v>157</v>
      </c>
      <c r="CB924" t="s">
        <v>158</v>
      </c>
      <c r="CC924">
        <v>169990</v>
      </c>
    </row>
    <row r="925" spans="1:81" x14ac:dyDescent="0.3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H925" t="s">
        <v>83</v>
      </c>
      <c r="I925" t="s">
        <v>84</v>
      </c>
      <c r="J925" t="s">
        <v>85</v>
      </c>
      <c r="K925" t="s">
        <v>86</v>
      </c>
      <c r="L925" t="s">
        <v>87</v>
      </c>
      <c r="M925" t="s">
        <v>169</v>
      </c>
      <c r="N925" t="s">
        <v>89</v>
      </c>
      <c r="O925" t="s">
        <v>89</v>
      </c>
      <c r="P925" t="s">
        <v>178</v>
      </c>
      <c r="Q925" t="s">
        <v>114</v>
      </c>
      <c r="R925">
        <v>6</v>
      </c>
      <c r="S925">
        <v>5</v>
      </c>
      <c r="T925">
        <v>1993</v>
      </c>
      <c r="U925">
        <v>1994</v>
      </c>
      <c r="V925" t="s">
        <v>92</v>
      </c>
      <c r="W925" t="s">
        <v>93</v>
      </c>
      <c r="X925" t="s">
        <v>160</v>
      </c>
      <c r="Y925" t="s">
        <v>160</v>
      </c>
      <c r="Z925" t="s">
        <v>116</v>
      </c>
      <c r="AA925">
        <v>0</v>
      </c>
      <c r="AB925" t="s">
        <v>96</v>
      </c>
      <c r="AC925" t="s">
        <v>97</v>
      </c>
      <c r="AD925" t="s">
        <v>98</v>
      </c>
      <c r="AE925" t="s">
        <v>96</v>
      </c>
      <c r="AF925" t="s">
        <v>97</v>
      </c>
      <c r="AG925" t="s">
        <v>99</v>
      </c>
      <c r="AH925" t="s">
        <v>171</v>
      </c>
      <c r="AI925">
        <v>165</v>
      </c>
      <c r="AJ925" t="s">
        <v>100</v>
      </c>
      <c r="AK925">
        <v>841</v>
      </c>
      <c r="AL925">
        <v>598</v>
      </c>
      <c r="AM925">
        <v>1604</v>
      </c>
      <c r="AN925" t="s">
        <v>102</v>
      </c>
      <c r="AO925" t="s">
        <v>103</v>
      </c>
      <c r="AP925" t="s">
        <v>104</v>
      </c>
      <c r="AQ925" t="s">
        <v>105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96</v>
      </c>
      <c r="BC925">
        <v>5</v>
      </c>
      <c r="BD925" t="s">
        <v>106</v>
      </c>
      <c r="BE925">
        <v>1</v>
      </c>
      <c r="BF925" t="s">
        <v>146</v>
      </c>
      <c r="BG925" t="s">
        <v>107</v>
      </c>
      <c r="BH925">
        <v>1993</v>
      </c>
      <c r="BI925" t="s">
        <v>108</v>
      </c>
      <c r="BJ925">
        <v>2</v>
      </c>
      <c r="BK925">
        <v>533</v>
      </c>
      <c r="BL925" t="s">
        <v>97</v>
      </c>
      <c r="BM925" t="s">
        <v>97</v>
      </c>
      <c r="BN925" t="s">
        <v>104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X925">
        <v>0</v>
      </c>
      <c r="BY925">
        <v>7</v>
      </c>
      <c r="BZ925">
        <v>2008</v>
      </c>
      <c r="CA925" t="s">
        <v>109</v>
      </c>
      <c r="CB925" t="s">
        <v>110</v>
      </c>
      <c r="CC925">
        <v>193000</v>
      </c>
    </row>
    <row r="926" spans="1:81" x14ac:dyDescent="0.3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H926" t="s">
        <v>83</v>
      </c>
      <c r="I926" t="s">
        <v>84</v>
      </c>
      <c r="J926" t="s">
        <v>85</v>
      </c>
      <c r="K926" t="s">
        <v>86</v>
      </c>
      <c r="L926" t="s">
        <v>87</v>
      </c>
      <c r="M926" t="s">
        <v>137</v>
      </c>
      <c r="N926" t="s">
        <v>89</v>
      </c>
      <c r="O926" t="s">
        <v>89</v>
      </c>
      <c r="P926" t="s">
        <v>90</v>
      </c>
      <c r="Q926" t="s">
        <v>114</v>
      </c>
      <c r="R926">
        <v>6</v>
      </c>
      <c r="S926">
        <v>6</v>
      </c>
      <c r="T926">
        <v>1980</v>
      </c>
      <c r="U926">
        <v>1980</v>
      </c>
      <c r="V926" t="s">
        <v>92</v>
      </c>
      <c r="W926" t="s">
        <v>93</v>
      </c>
      <c r="X926" t="s">
        <v>160</v>
      </c>
      <c r="Y926" t="s">
        <v>160</v>
      </c>
      <c r="Z926" t="s">
        <v>95</v>
      </c>
      <c r="AA926">
        <v>157</v>
      </c>
      <c r="AB926" t="s">
        <v>97</v>
      </c>
      <c r="AC926" t="s">
        <v>96</v>
      </c>
      <c r="AD926" t="s">
        <v>117</v>
      </c>
      <c r="AE926" t="s">
        <v>96</v>
      </c>
      <c r="AF926" t="s">
        <v>97</v>
      </c>
      <c r="AG926" t="s">
        <v>99</v>
      </c>
      <c r="AH926" t="s">
        <v>140</v>
      </c>
      <c r="AI926">
        <v>625</v>
      </c>
      <c r="AJ926" t="s">
        <v>171</v>
      </c>
      <c r="AK926">
        <v>1061</v>
      </c>
      <c r="AL926">
        <v>0</v>
      </c>
      <c r="AM926">
        <v>1686</v>
      </c>
      <c r="AN926" t="s">
        <v>102</v>
      </c>
      <c r="AO926" t="s">
        <v>97</v>
      </c>
      <c r="AP926" t="s">
        <v>104</v>
      </c>
      <c r="AQ926" t="s">
        <v>105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97</v>
      </c>
      <c r="BC926">
        <v>7</v>
      </c>
      <c r="BD926" t="s">
        <v>106</v>
      </c>
      <c r="BE926">
        <v>1</v>
      </c>
      <c r="BF926" t="s">
        <v>97</v>
      </c>
      <c r="BG926" t="s">
        <v>107</v>
      </c>
      <c r="BH926">
        <v>1980</v>
      </c>
      <c r="BI926" t="s">
        <v>101</v>
      </c>
      <c r="BJ926">
        <v>2</v>
      </c>
      <c r="BK926">
        <v>612</v>
      </c>
      <c r="BL926" t="s">
        <v>97</v>
      </c>
      <c r="BM926" t="s">
        <v>97</v>
      </c>
      <c r="BN926" t="s">
        <v>104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X926">
        <v>0</v>
      </c>
      <c r="BY926">
        <v>5</v>
      </c>
      <c r="BZ926">
        <v>2006</v>
      </c>
      <c r="CA926" t="s">
        <v>109</v>
      </c>
      <c r="CB926" t="s">
        <v>110</v>
      </c>
      <c r="CC926">
        <v>207500</v>
      </c>
    </row>
    <row r="927" spans="1:81" x14ac:dyDescent="0.3">
      <c r="A927">
        <v>926</v>
      </c>
      <c r="B927">
        <v>20</v>
      </c>
      <c r="C927" t="s">
        <v>81</v>
      </c>
      <c r="E927">
        <v>15611</v>
      </c>
      <c r="F927" t="s">
        <v>82</v>
      </c>
      <c r="H927" t="s">
        <v>119</v>
      </c>
      <c r="I927" t="s">
        <v>84</v>
      </c>
      <c r="J927" t="s">
        <v>85</v>
      </c>
      <c r="K927" t="s">
        <v>121</v>
      </c>
      <c r="L927" t="s">
        <v>87</v>
      </c>
      <c r="M927" t="s">
        <v>137</v>
      </c>
      <c r="N927" t="s">
        <v>89</v>
      </c>
      <c r="O927" t="s">
        <v>89</v>
      </c>
      <c r="P927" t="s">
        <v>90</v>
      </c>
      <c r="Q927" t="s">
        <v>114</v>
      </c>
      <c r="R927">
        <v>5</v>
      </c>
      <c r="S927">
        <v>6</v>
      </c>
      <c r="T927">
        <v>1977</v>
      </c>
      <c r="U927">
        <v>1977</v>
      </c>
      <c r="V927" t="s">
        <v>92</v>
      </c>
      <c r="W927" t="s">
        <v>93</v>
      </c>
      <c r="X927" t="s">
        <v>94</v>
      </c>
      <c r="Y927" t="s">
        <v>94</v>
      </c>
      <c r="Z927" t="s">
        <v>116</v>
      </c>
      <c r="AA927">
        <v>0</v>
      </c>
      <c r="AB927" t="s">
        <v>97</v>
      </c>
      <c r="AC927" t="s">
        <v>97</v>
      </c>
      <c r="AD927" t="s">
        <v>98</v>
      </c>
      <c r="AE927" t="s">
        <v>96</v>
      </c>
      <c r="AF927" t="s">
        <v>97</v>
      </c>
      <c r="AG927" t="s">
        <v>129</v>
      </c>
      <c r="AH927" t="s">
        <v>118</v>
      </c>
      <c r="AI927">
        <v>767</v>
      </c>
      <c r="AJ927" t="s">
        <v>171</v>
      </c>
      <c r="AK927">
        <v>93</v>
      </c>
      <c r="AL927">
        <v>266</v>
      </c>
      <c r="AM927">
        <v>1126</v>
      </c>
      <c r="AN927" t="s">
        <v>102</v>
      </c>
      <c r="AO927" t="s">
        <v>97</v>
      </c>
      <c r="AP927" t="s">
        <v>104</v>
      </c>
      <c r="AQ927" t="s">
        <v>105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103</v>
      </c>
      <c r="BC927">
        <v>6</v>
      </c>
      <c r="BD927" t="s">
        <v>106</v>
      </c>
      <c r="BE927">
        <v>0</v>
      </c>
      <c r="BG927" t="s">
        <v>107</v>
      </c>
      <c r="BH927">
        <v>1977</v>
      </c>
      <c r="BI927" t="s">
        <v>108</v>
      </c>
      <c r="BJ927">
        <v>2</v>
      </c>
      <c r="BK927">
        <v>540</v>
      </c>
      <c r="BL927" t="s">
        <v>97</v>
      </c>
      <c r="BM927" t="s">
        <v>97</v>
      </c>
      <c r="BN927" t="s">
        <v>104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X927">
        <v>0</v>
      </c>
      <c r="BY927">
        <v>3</v>
      </c>
      <c r="BZ927">
        <v>2008</v>
      </c>
      <c r="CA927" t="s">
        <v>109</v>
      </c>
      <c r="CB927" t="s">
        <v>127</v>
      </c>
      <c r="CC927">
        <v>175000</v>
      </c>
    </row>
    <row r="928" spans="1:81" x14ac:dyDescent="0.3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H928" t="s">
        <v>83</v>
      </c>
      <c r="I928" t="s">
        <v>84</v>
      </c>
      <c r="J928" t="s">
        <v>85</v>
      </c>
      <c r="K928" t="s">
        <v>86</v>
      </c>
      <c r="L928" t="s">
        <v>87</v>
      </c>
      <c r="M928" t="s">
        <v>153</v>
      </c>
      <c r="N928" t="s">
        <v>89</v>
      </c>
      <c r="O928" t="s">
        <v>89</v>
      </c>
      <c r="P928" t="s">
        <v>90</v>
      </c>
      <c r="Q928" t="s">
        <v>91</v>
      </c>
      <c r="R928">
        <v>8</v>
      </c>
      <c r="S928">
        <v>5</v>
      </c>
      <c r="T928">
        <v>2003</v>
      </c>
      <c r="U928">
        <v>2004</v>
      </c>
      <c r="V928" t="s">
        <v>151</v>
      </c>
      <c r="W928" t="s">
        <v>93</v>
      </c>
      <c r="X928" t="s">
        <v>94</v>
      </c>
      <c r="Y928" t="s">
        <v>94</v>
      </c>
      <c r="Z928" t="s">
        <v>95</v>
      </c>
      <c r="AA928">
        <v>340</v>
      </c>
      <c r="AB928" t="s">
        <v>96</v>
      </c>
      <c r="AC928" t="s">
        <v>97</v>
      </c>
      <c r="AD928" t="s">
        <v>98</v>
      </c>
      <c r="AE928" t="s">
        <v>96</v>
      </c>
      <c r="AF928" t="s">
        <v>97</v>
      </c>
      <c r="AG928" t="s">
        <v>99</v>
      </c>
      <c r="AH928" t="s">
        <v>101</v>
      </c>
      <c r="AI928">
        <v>0</v>
      </c>
      <c r="AJ928" t="s">
        <v>101</v>
      </c>
      <c r="AK928">
        <v>0</v>
      </c>
      <c r="AL928">
        <v>1181</v>
      </c>
      <c r="AM928">
        <v>1181</v>
      </c>
      <c r="AN928" t="s">
        <v>102</v>
      </c>
      <c r="AO928" t="s">
        <v>103</v>
      </c>
      <c r="AP928" t="s">
        <v>104</v>
      </c>
      <c r="AQ928" t="s">
        <v>105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103</v>
      </c>
      <c r="BC928">
        <v>10</v>
      </c>
      <c r="BD928" t="s">
        <v>106</v>
      </c>
      <c r="BE928">
        <v>1</v>
      </c>
      <c r="BF928" t="s">
        <v>96</v>
      </c>
      <c r="BG928" t="s">
        <v>155</v>
      </c>
      <c r="BH928">
        <v>2003</v>
      </c>
      <c r="BI928" t="s">
        <v>156</v>
      </c>
      <c r="BJ928">
        <v>3</v>
      </c>
      <c r="BK928">
        <v>656</v>
      </c>
      <c r="BL928" t="s">
        <v>97</v>
      </c>
      <c r="BM928" t="s">
        <v>97</v>
      </c>
      <c r="BN928" t="s">
        <v>104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X928">
        <v>0</v>
      </c>
      <c r="BY928">
        <v>5</v>
      </c>
      <c r="BZ928">
        <v>2007</v>
      </c>
      <c r="CA928" t="s">
        <v>109</v>
      </c>
      <c r="CB928" t="s">
        <v>110</v>
      </c>
      <c r="CC928">
        <v>285000</v>
      </c>
    </row>
    <row r="929" spans="1:81" x14ac:dyDescent="0.3">
      <c r="A929">
        <v>928</v>
      </c>
      <c r="B929">
        <v>60</v>
      </c>
      <c r="C929" t="s">
        <v>81</v>
      </c>
      <c r="E929">
        <v>9900</v>
      </c>
      <c r="F929" t="s">
        <v>82</v>
      </c>
      <c r="H929" t="s">
        <v>83</v>
      </c>
      <c r="I929" t="s">
        <v>84</v>
      </c>
      <c r="J929" t="s">
        <v>85</v>
      </c>
      <c r="K929" t="s">
        <v>86</v>
      </c>
      <c r="L929" t="s">
        <v>87</v>
      </c>
      <c r="M929" t="s">
        <v>137</v>
      </c>
      <c r="N929" t="s">
        <v>113</v>
      </c>
      <c r="O929" t="s">
        <v>89</v>
      </c>
      <c r="P929" t="s">
        <v>90</v>
      </c>
      <c r="Q929" t="s">
        <v>91</v>
      </c>
      <c r="R929">
        <v>7</v>
      </c>
      <c r="S929">
        <v>5</v>
      </c>
      <c r="T929">
        <v>1968</v>
      </c>
      <c r="U929">
        <v>1968</v>
      </c>
      <c r="V929" t="s">
        <v>92</v>
      </c>
      <c r="W929" t="s">
        <v>93</v>
      </c>
      <c r="X929" t="s">
        <v>115</v>
      </c>
      <c r="Y929" t="s">
        <v>115</v>
      </c>
      <c r="Z929" t="s">
        <v>95</v>
      </c>
      <c r="AA929">
        <v>342</v>
      </c>
      <c r="AB929" t="s">
        <v>97</v>
      </c>
      <c r="AC929" t="s">
        <v>97</v>
      </c>
      <c r="AD929" t="s">
        <v>117</v>
      </c>
      <c r="AE929" t="s">
        <v>97</v>
      </c>
      <c r="AF929" t="s">
        <v>97</v>
      </c>
      <c r="AG929" t="s">
        <v>99</v>
      </c>
      <c r="AH929" t="s">
        <v>140</v>
      </c>
      <c r="AI929">
        <v>552</v>
      </c>
      <c r="AJ929" t="s">
        <v>101</v>
      </c>
      <c r="AK929">
        <v>0</v>
      </c>
      <c r="AL929">
        <v>280</v>
      </c>
      <c r="AM929">
        <v>832</v>
      </c>
      <c r="AN929" t="s">
        <v>102</v>
      </c>
      <c r="AO929" t="s">
        <v>96</v>
      </c>
      <c r="AP929" t="s">
        <v>104</v>
      </c>
      <c r="AQ929" t="s">
        <v>105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97</v>
      </c>
      <c r="BC929">
        <v>9</v>
      </c>
      <c r="BD929" t="s">
        <v>106</v>
      </c>
      <c r="BE929">
        <v>1</v>
      </c>
      <c r="BF929" t="s">
        <v>96</v>
      </c>
      <c r="BG929" t="s">
        <v>107</v>
      </c>
      <c r="BH929">
        <v>1968</v>
      </c>
      <c r="BI929" t="s">
        <v>108</v>
      </c>
      <c r="BJ929">
        <v>2</v>
      </c>
      <c r="BK929">
        <v>486</v>
      </c>
      <c r="BL929" t="s">
        <v>97</v>
      </c>
      <c r="BM929" t="s">
        <v>97</v>
      </c>
      <c r="BN929" t="s">
        <v>104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V929" t="s">
        <v>164</v>
      </c>
      <c r="BX929">
        <v>0</v>
      </c>
      <c r="BY929">
        <v>4</v>
      </c>
      <c r="BZ929">
        <v>2008</v>
      </c>
      <c r="CA929" t="s">
        <v>109</v>
      </c>
      <c r="CB929" t="s">
        <v>110</v>
      </c>
      <c r="CC929">
        <v>176000</v>
      </c>
    </row>
    <row r="930" spans="1:81" x14ac:dyDescent="0.3">
      <c r="A930">
        <v>929</v>
      </c>
      <c r="B930">
        <v>20</v>
      </c>
      <c r="C930" t="s">
        <v>81</v>
      </c>
      <c r="E930">
        <v>11838</v>
      </c>
      <c r="F930" t="s">
        <v>82</v>
      </c>
      <c r="H930" t="s">
        <v>83</v>
      </c>
      <c r="I930" t="s">
        <v>84</v>
      </c>
      <c r="J930" t="s">
        <v>85</v>
      </c>
      <c r="K930" t="s">
        <v>86</v>
      </c>
      <c r="L930" t="s">
        <v>87</v>
      </c>
      <c r="M930" t="s">
        <v>88</v>
      </c>
      <c r="N930" t="s">
        <v>89</v>
      </c>
      <c r="O930" t="s">
        <v>89</v>
      </c>
      <c r="P930" t="s">
        <v>90</v>
      </c>
      <c r="Q930" t="s">
        <v>114</v>
      </c>
      <c r="R930">
        <v>8</v>
      </c>
      <c r="S930">
        <v>5</v>
      </c>
      <c r="T930">
        <v>2001</v>
      </c>
      <c r="U930">
        <v>2001</v>
      </c>
      <c r="V930" t="s">
        <v>151</v>
      </c>
      <c r="W930" t="s">
        <v>93</v>
      </c>
      <c r="X930" t="s">
        <v>94</v>
      </c>
      <c r="Y930" t="s">
        <v>94</v>
      </c>
      <c r="Z930" t="s">
        <v>116</v>
      </c>
      <c r="AA930">
        <v>0</v>
      </c>
      <c r="AB930" t="s">
        <v>96</v>
      </c>
      <c r="AC930" t="s">
        <v>97</v>
      </c>
      <c r="AD930" t="s">
        <v>98</v>
      </c>
      <c r="AE930" t="s">
        <v>96</v>
      </c>
      <c r="AF930" t="s">
        <v>97</v>
      </c>
      <c r="AG930" t="s">
        <v>129</v>
      </c>
      <c r="AH930" t="s">
        <v>101</v>
      </c>
      <c r="AI930">
        <v>0</v>
      </c>
      <c r="AJ930" t="s">
        <v>101</v>
      </c>
      <c r="AK930">
        <v>0</v>
      </c>
      <c r="AL930">
        <v>1753</v>
      </c>
      <c r="AM930">
        <v>1753</v>
      </c>
      <c r="AN930" t="s">
        <v>102</v>
      </c>
      <c r="AO930" t="s">
        <v>103</v>
      </c>
      <c r="AP930" t="s">
        <v>104</v>
      </c>
      <c r="AQ930" t="s">
        <v>105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103</v>
      </c>
      <c r="BC930">
        <v>7</v>
      </c>
      <c r="BD930" t="s">
        <v>106</v>
      </c>
      <c r="BE930">
        <v>1</v>
      </c>
      <c r="BF930" t="s">
        <v>97</v>
      </c>
      <c r="BG930" t="s">
        <v>107</v>
      </c>
      <c r="BH930">
        <v>2001</v>
      </c>
      <c r="BI930" t="s">
        <v>108</v>
      </c>
      <c r="BJ930">
        <v>2</v>
      </c>
      <c r="BK930">
        <v>522</v>
      </c>
      <c r="BL930" t="s">
        <v>97</v>
      </c>
      <c r="BM930" t="s">
        <v>97</v>
      </c>
      <c r="BN930" t="s">
        <v>104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X930">
        <v>0</v>
      </c>
      <c r="BY930">
        <v>6</v>
      </c>
      <c r="BZ930">
        <v>2009</v>
      </c>
      <c r="CA930" t="s">
        <v>109</v>
      </c>
      <c r="CB930" t="s">
        <v>110</v>
      </c>
      <c r="CC930">
        <v>236500</v>
      </c>
    </row>
    <row r="931" spans="1:81" x14ac:dyDescent="0.3">
      <c r="A931">
        <v>930</v>
      </c>
      <c r="B931">
        <v>60</v>
      </c>
      <c r="C931" t="s">
        <v>81</v>
      </c>
      <c r="E931">
        <v>13006</v>
      </c>
      <c r="F931" t="s">
        <v>82</v>
      </c>
      <c r="H931" t="s">
        <v>119</v>
      </c>
      <c r="I931" t="s">
        <v>84</v>
      </c>
      <c r="J931" t="s">
        <v>85</v>
      </c>
      <c r="K931" t="s">
        <v>121</v>
      </c>
      <c r="L931" t="s">
        <v>87</v>
      </c>
      <c r="M931" t="s">
        <v>192</v>
      </c>
      <c r="N931" t="s">
        <v>89</v>
      </c>
      <c r="O931" t="s">
        <v>89</v>
      </c>
      <c r="P931" t="s">
        <v>90</v>
      </c>
      <c r="Q931" t="s">
        <v>91</v>
      </c>
      <c r="R931">
        <v>7</v>
      </c>
      <c r="S931">
        <v>5</v>
      </c>
      <c r="T931">
        <v>1997</v>
      </c>
      <c r="U931">
        <v>1997</v>
      </c>
      <c r="V931" t="s">
        <v>92</v>
      </c>
      <c r="W931" t="s">
        <v>93</v>
      </c>
      <c r="X931" t="s">
        <v>139</v>
      </c>
      <c r="Y931" t="s">
        <v>139</v>
      </c>
      <c r="Z931" t="s">
        <v>95</v>
      </c>
      <c r="AA931">
        <v>285</v>
      </c>
      <c r="AB931" t="s">
        <v>97</v>
      </c>
      <c r="AC931" t="s">
        <v>97</v>
      </c>
      <c r="AD931" t="s">
        <v>98</v>
      </c>
      <c r="AE931" t="s">
        <v>96</v>
      </c>
      <c r="AF931" t="s">
        <v>97</v>
      </c>
      <c r="AG931" t="s">
        <v>99</v>
      </c>
      <c r="AH931" t="s">
        <v>101</v>
      </c>
      <c r="AI931">
        <v>0</v>
      </c>
      <c r="AJ931" t="s">
        <v>101</v>
      </c>
      <c r="AK931">
        <v>0</v>
      </c>
      <c r="AL931">
        <v>964</v>
      </c>
      <c r="AM931">
        <v>964</v>
      </c>
      <c r="AN931" t="s">
        <v>102</v>
      </c>
      <c r="AO931" t="s">
        <v>96</v>
      </c>
      <c r="AP931" t="s">
        <v>104</v>
      </c>
      <c r="AQ931" t="s">
        <v>105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96</v>
      </c>
      <c r="BC931">
        <v>8</v>
      </c>
      <c r="BD931" t="s">
        <v>106</v>
      </c>
      <c r="BE931">
        <v>1</v>
      </c>
      <c r="BF931" t="s">
        <v>97</v>
      </c>
      <c r="BG931" t="s">
        <v>155</v>
      </c>
      <c r="BH931">
        <v>1997</v>
      </c>
      <c r="BI931" t="s">
        <v>156</v>
      </c>
      <c r="BJ931">
        <v>2</v>
      </c>
      <c r="BK931">
        <v>642</v>
      </c>
      <c r="BL931" t="s">
        <v>97</v>
      </c>
      <c r="BM931" t="s">
        <v>97</v>
      </c>
      <c r="BN931" t="s">
        <v>104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X931">
        <v>0</v>
      </c>
      <c r="BY931">
        <v>11</v>
      </c>
      <c r="BZ931">
        <v>2006</v>
      </c>
      <c r="CA931" t="s">
        <v>109</v>
      </c>
      <c r="CB931" t="s">
        <v>110</v>
      </c>
      <c r="CC931">
        <v>222000</v>
      </c>
    </row>
    <row r="932" spans="1:81" x14ac:dyDescent="0.3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H932" t="s">
        <v>119</v>
      </c>
      <c r="I932" t="s">
        <v>198</v>
      </c>
      <c r="J932" t="s">
        <v>85</v>
      </c>
      <c r="K932" t="s">
        <v>86</v>
      </c>
      <c r="L932" t="s">
        <v>87</v>
      </c>
      <c r="M932" t="s">
        <v>188</v>
      </c>
      <c r="N932" t="s">
        <v>89</v>
      </c>
      <c r="O932" t="s">
        <v>89</v>
      </c>
      <c r="P932" t="s">
        <v>90</v>
      </c>
      <c r="Q932" t="s">
        <v>114</v>
      </c>
      <c r="R932">
        <v>8</v>
      </c>
      <c r="S932">
        <v>5</v>
      </c>
      <c r="T932">
        <v>2007</v>
      </c>
      <c r="U932">
        <v>2007</v>
      </c>
      <c r="V932" t="s">
        <v>92</v>
      </c>
      <c r="W932" t="s">
        <v>93</v>
      </c>
      <c r="X932" t="s">
        <v>94</v>
      </c>
      <c r="Y932" t="s">
        <v>94</v>
      </c>
      <c r="Z932" t="s">
        <v>116</v>
      </c>
      <c r="AA932">
        <v>0</v>
      </c>
      <c r="AB932" t="s">
        <v>96</v>
      </c>
      <c r="AC932" t="s">
        <v>97</v>
      </c>
      <c r="AD932" t="s">
        <v>98</v>
      </c>
      <c r="AE932" t="s">
        <v>96</v>
      </c>
      <c r="AF932" t="s">
        <v>97</v>
      </c>
      <c r="AG932" t="s">
        <v>129</v>
      </c>
      <c r="AH932" t="s">
        <v>100</v>
      </c>
      <c r="AI932">
        <v>16</v>
      </c>
      <c r="AJ932" t="s">
        <v>101</v>
      </c>
      <c r="AK932">
        <v>0</v>
      </c>
      <c r="AL932">
        <v>1450</v>
      </c>
      <c r="AM932">
        <v>1466</v>
      </c>
      <c r="AN932" t="s">
        <v>102</v>
      </c>
      <c r="AO932" t="s">
        <v>103</v>
      </c>
      <c r="AP932" t="s">
        <v>104</v>
      </c>
      <c r="AQ932" t="s">
        <v>105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96</v>
      </c>
      <c r="BC932">
        <v>7</v>
      </c>
      <c r="BD932" t="s">
        <v>106</v>
      </c>
      <c r="BE932">
        <v>0</v>
      </c>
      <c r="BG932" t="s">
        <v>107</v>
      </c>
      <c r="BH932">
        <v>2007</v>
      </c>
      <c r="BI932" t="s">
        <v>156</v>
      </c>
      <c r="BJ932">
        <v>3</v>
      </c>
      <c r="BK932">
        <v>610</v>
      </c>
      <c r="BL932" t="s">
        <v>97</v>
      </c>
      <c r="BM932" t="s">
        <v>97</v>
      </c>
      <c r="BN932" t="s">
        <v>104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X932">
        <v>0</v>
      </c>
      <c r="BY932">
        <v>7</v>
      </c>
      <c r="BZ932">
        <v>2009</v>
      </c>
      <c r="CA932" t="s">
        <v>109</v>
      </c>
      <c r="CB932" t="s">
        <v>110</v>
      </c>
      <c r="CC932">
        <v>201000</v>
      </c>
    </row>
    <row r="933" spans="1:81" x14ac:dyDescent="0.3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H933" t="s">
        <v>83</v>
      </c>
      <c r="I933" t="s">
        <v>84</v>
      </c>
      <c r="J933" t="s">
        <v>85</v>
      </c>
      <c r="K933" t="s">
        <v>86</v>
      </c>
      <c r="L933" t="s">
        <v>87</v>
      </c>
      <c r="M933" t="s">
        <v>270</v>
      </c>
      <c r="N933" t="s">
        <v>89</v>
      </c>
      <c r="O933" t="s">
        <v>89</v>
      </c>
      <c r="P933" t="s">
        <v>90</v>
      </c>
      <c r="Q933" t="s">
        <v>114</v>
      </c>
      <c r="R933">
        <v>5</v>
      </c>
      <c r="S933">
        <v>6</v>
      </c>
      <c r="T933">
        <v>1965</v>
      </c>
      <c r="U933">
        <v>1965</v>
      </c>
      <c r="V933" t="s">
        <v>92</v>
      </c>
      <c r="W933" t="s">
        <v>93</v>
      </c>
      <c r="X933" t="s">
        <v>94</v>
      </c>
      <c r="Y933" t="s">
        <v>94</v>
      </c>
      <c r="Z933" t="s">
        <v>116</v>
      </c>
      <c r="AA933">
        <v>0</v>
      </c>
      <c r="AB933" t="s">
        <v>97</v>
      </c>
      <c r="AC933" t="s">
        <v>97</v>
      </c>
      <c r="AD933" t="s">
        <v>117</v>
      </c>
      <c r="AE933" t="s">
        <v>97</v>
      </c>
      <c r="AF933" t="s">
        <v>97</v>
      </c>
      <c r="AG933" t="s">
        <v>99</v>
      </c>
      <c r="AH933" t="s">
        <v>140</v>
      </c>
      <c r="AI933">
        <v>338</v>
      </c>
      <c r="AJ933" t="s">
        <v>152</v>
      </c>
      <c r="AK933">
        <v>466</v>
      </c>
      <c r="AL933">
        <v>121</v>
      </c>
      <c r="AM933">
        <v>925</v>
      </c>
      <c r="AN933" t="s">
        <v>102</v>
      </c>
      <c r="AO933" t="s">
        <v>103</v>
      </c>
      <c r="AP933" t="s">
        <v>104</v>
      </c>
      <c r="AQ933" t="s">
        <v>105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97</v>
      </c>
      <c r="BC933">
        <v>5</v>
      </c>
      <c r="BD933" t="s">
        <v>106</v>
      </c>
      <c r="BE933">
        <v>0</v>
      </c>
      <c r="BG933" t="s">
        <v>126</v>
      </c>
      <c r="BH933">
        <v>1965</v>
      </c>
      <c r="BI933" t="s">
        <v>101</v>
      </c>
      <c r="BJ933">
        <v>1</v>
      </c>
      <c r="BK933">
        <v>429</v>
      </c>
      <c r="BL933" t="s">
        <v>97</v>
      </c>
      <c r="BM933" t="s">
        <v>97</v>
      </c>
      <c r="BN933" t="s">
        <v>104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V933" t="s">
        <v>162</v>
      </c>
      <c r="BX933">
        <v>0</v>
      </c>
      <c r="BY933">
        <v>7</v>
      </c>
      <c r="BZ933">
        <v>2009</v>
      </c>
      <c r="CA933" t="s">
        <v>109</v>
      </c>
      <c r="CB933" t="s">
        <v>110</v>
      </c>
      <c r="CC933">
        <v>117500</v>
      </c>
    </row>
    <row r="934" spans="1:81" x14ac:dyDescent="0.3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H934" t="s">
        <v>119</v>
      </c>
      <c r="I934" t="s">
        <v>84</v>
      </c>
      <c r="J934" t="s">
        <v>85</v>
      </c>
      <c r="K934" t="s">
        <v>121</v>
      </c>
      <c r="L934" t="s">
        <v>87</v>
      </c>
      <c r="M934" t="s">
        <v>135</v>
      </c>
      <c r="N934" t="s">
        <v>181</v>
      </c>
      <c r="O934" t="s">
        <v>89</v>
      </c>
      <c r="P934" t="s">
        <v>90</v>
      </c>
      <c r="Q934" t="s">
        <v>114</v>
      </c>
      <c r="R934">
        <v>9</v>
      </c>
      <c r="S934">
        <v>5</v>
      </c>
      <c r="T934">
        <v>2006</v>
      </c>
      <c r="U934">
        <v>2006</v>
      </c>
      <c r="V934" t="s">
        <v>151</v>
      </c>
      <c r="W934" t="s">
        <v>93</v>
      </c>
      <c r="X934" t="s">
        <v>94</v>
      </c>
      <c r="Y934" t="s">
        <v>233</v>
      </c>
      <c r="Z934" t="s">
        <v>136</v>
      </c>
      <c r="AA934">
        <v>302</v>
      </c>
      <c r="AB934" t="s">
        <v>103</v>
      </c>
      <c r="AC934" t="s">
        <v>97</v>
      </c>
      <c r="AD934" t="s">
        <v>98</v>
      </c>
      <c r="AE934" t="s">
        <v>103</v>
      </c>
      <c r="AF934" t="s">
        <v>96</v>
      </c>
      <c r="AG934" t="s">
        <v>99</v>
      </c>
      <c r="AH934" t="s">
        <v>101</v>
      </c>
      <c r="AI934">
        <v>0</v>
      </c>
      <c r="AJ934" t="s">
        <v>101</v>
      </c>
      <c r="AK934">
        <v>0</v>
      </c>
      <c r="AL934">
        <v>1905</v>
      </c>
      <c r="AM934">
        <v>1905</v>
      </c>
      <c r="AN934" t="s">
        <v>102</v>
      </c>
      <c r="AO934" t="s">
        <v>103</v>
      </c>
      <c r="AP934" t="s">
        <v>104</v>
      </c>
      <c r="AQ934" t="s">
        <v>105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103</v>
      </c>
      <c r="BC934">
        <v>8</v>
      </c>
      <c r="BD934" t="s">
        <v>106</v>
      </c>
      <c r="BE934">
        <v>1</v>
      </c>
      <c r="BF934" t="s">
        <v>96</v>
      </c>
      <c r="BG934" t="s">
        <v>107</v>
      </c>
      <c r="BH934">
        <v>2006</v>
      </c>
      <c r="BI934" t="s">
        <v>156</v>
      </c>
      <c r="BJ934">
        <v>3</v>
      </c>
      <c r="BK934">
        <v>788</v>
      </c>
      <c r="BL934" t="s">
        <v>97</v>
      </c>
      <c r="BM934" t="s">
        <v>97</v>
      </c>
      <c r="BN934" t="s">
        <v>104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X934">
        <v>0</v>
      </c>
      <c r="BY934">
        <v>3</v>
      </c>
      <c r="BZ934">
        <v>2007</v>
      </c>
      <c r="CA934" t="s">
        <v>109</v>
      </c>
      <c r="CB934" t="s">
        <v>110</v>
      </c>
      <c r="CC934">
        <v>320000</v>
      </c>
    </row>
    <row r="935" spans="1:81" x14ac:dyDescent="0.3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H935" t="s">
        <v>83</v>
      </c>
      <c r="I935" t="s">
        <v>84</v>
      </c>
      <c r="J935" t="s">
        <v>85</v>
      </c>
      <c r="K935" t="s">
        <v>111</v>
      </c>
      <c r="L935" t="s">
        <v>87</v>
      </c>
      <c r="M935" t="s">
        <v>88</v>
      </c>
      <c r="N935" t="s">
        <v>89</v>
      </c>
      <c r="O935" t="s">
        <v>89</v>
      </c>
      <c r="P935" t="s">
        <v>90</v>
      </c>
      <c r="Q935" t="s">
        <v>114</v>
      </c>
      <c r="R935">
        <v>7</v>
      </c>
      <c r="S935">
        <v>5</v>
      </c>
      <c r="T935">
        <v>2004</v>
      </c>
      <c r="U935">
        <v>2004</v>
      </c>
      <c r="V935" t="s">
        <v>92</v>
      </c>
      <c r="W935" t="s">
        <v>93</v>
      </c>
      <c r="X935" t="s">
        <v>94</v>
      </c>
      <c r="Y935" t="s">
        <v>94</v>
      </c>
      <c r="Z935" t="s">
        <v>95</v>
      </c>
      <c r="AA935">
        <v>210</v>
      </c>
      <c r="AB935" t="s">
        <v>96</v>
      </c>
      <c r="AC935" t="s">
        <v>97</v>
      </c>
      <c r="AD935" t="s">
        <v>98</v>
      </c>
      <c r="AE935" t="s">
        <v>96</v>
      </c>
      <c r="AF935" t="s">
        <v>97</v>
      </c>
      <c r="AG935" t="s">
        <v>129</v>
      </c>
      <c r="AH935" t="s">
        <v>100</v>
      </c>
      <c r="AI935">
        <v>20</v>
      </c>
      <c r="AJ935" t="s">
        <v>101</v>
      </c>
      <c r="AK935">
        <v>0</v>
      </c>
      <c r="AL935">
        <v>1480</v>
      </c>
      <c r="AM935">
        <v>1500</v>
      </c>
      <c r="AN935" t="s">
        <v>102</v>
      </c>
      <c r="AO935" t="s">
        <v>103</v>
      </c>
      <c r="AP935" t="s">
        <v>104</v>
      </c>
      <c r="AQ935" t="s">
        <v>105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96</v>
      </c>
      <c r="BC935">
        <v>6</v>
      </c>
      <c r="BD935" t="s">
        <v>106</v>
      </c>
      <c r="BE935">
        <v>0</v>
      </c>
      <c r="BG935" t="s">
        <v>107</v>
      </c>
      <c r="BH935">
        <v>2004</v>
      </c>
      <c r="BI935" t="s">
        <v>108</v>
      </c>
      <c r="BJ935">
        <v>2</v>
      </c>
      <c r="BK935">
        <v>570</v>
      </c>
      <c r="BL935" t="s">
        <v>97</v>
      </c>
      <c r="BM935" t="s">
        <v>97</v>
      </c>
      <c r="BN935" t="s">
        <v>104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X935">
        <v>0</v>
      </c>
      <c r="BY935">
        <v>8</v>
      </c>
      <c r="BZ935">
        <v>2009</v>
      </c>
      <c r="CA935" t="s">
        <v>109</v>
      </c>
      <c r="CB935" t="s">
        <v>110</v>
      </c>
      <c r="CC935">
        <v>190000</v>
      </c>
    </row>
    <row r="936" spans="1:81" x14ac:dyDescent="0.3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H936" t="s">
        <v>159</v>
      </c>
      <c r="I936" t="s">
        <v>198</v>
      </c>
      <c r="J936" t="s">
        <v>85</v>
      </c>
      <c r="K936" t="s">
        <v>86</v>
      </c>
      <c r="L936" t="s">
        <v>193</v>
      </c>
      <c r="M936" t="s">
        <v>270</v>
      </c>
      <c r="N936" t="s">
        <v>203</v>
      </c>
      <c r="O936" t="s">
        <v>89</v>
      </c>
      <c r="P936" t="s">
        <v>90</v>
      </c>
      <c r="Q936" t="s">
        <v>114</v>
      </c>
      <c r="R936">
        <v>7</v>
      </c>
      <c r="S936">
        <v>7</v>
      </c>
      <c r="T936">
        <v>1960</v>
      </c>
      <c r="U936">
        <v>2007</v>
      </c>
      <c r="V936" t="s">
        <v>213</v>
      </c>
      <c r="W936" t="s">
        <v>241</v>
      </c>
      <c r="X936" t="s">
        <v>123</v>
      </c>
      <c r="Y936" t="s">
        <v>123</v>
      </c>
      <c r="Z936" t="s">
        <v>116</v>
      </c>
      <c r="AA936">
        <v>0</v>
      </c>
      <c r="AB936" t="s">
        <v>97</v>
      </c>
      <c r="AC936" t="s">
        <v>97</v>
      </c>
      <c r="AD936" t="s">
        <v>117</v>
      </c>
      <c r="AE936" t="s">
        <v>96</v>
      </c>
      <c r="AF936" t="s">
        <v>97</v>
      </c>
      <c r="AG936" t="s">
        <v>96</v>
      </c>
      <c r="AH936" t="s">
        <v>100</v>
      </c>
      <c r="AI936">
        <v>425</v>
      </c>
      <c r="AJ936" t="s">
        <v>101</v>
      </c>
      <c r="AK936">
        <v>0</v>
      </c>
      <c r="AL936">
        <v>160</v>
      </c>
      <c r="AM936">
        <v>585</v>
      </c>
      <c r="AN936" t="s">
        <v>102</v>
      </c>
      <c r="AO936" t="s">
        <v>103</v>
      </c>
      <c r="AP936" t="s">
        <v>104</v>
      </c>
      <c r="AQ936" t="s">
        <v>105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96</v>
      </c>
      <c r="BC936">
        <v>9</v>
      </c>
      <c r="BD936" t="s">
        <v>106</v>
      </c>
      <c r="BE936">
        <v>1</v>
      </c>
      <c r="BF936" t="s">
        <v>96</v>
      </c>
      <c r="BG936" t="s">
        <v>107</v>
      </c>
      <c r="BH936">
        <v>1960</v>
      </c>
      <c r="BI936" t="s">
        <v>108</v>
      </c>
      <c r="BJ936">
        <v>2</v>
      </c>
      <c r="BK936">
        <v>505</v>
      </c>
      <c r="BL936" t="s">
        <v>97</v>
      </c>
      <c r="BM936" t="s">
        <v>97</v>
      </c>
      <c r="BN936" t="s">
        <v>104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X936">
        <v>0</v>
      </c>
      <c r="BY936">
        <v>11</v>
      </c>
      <c r="BZ936">
        <v>2008</v>
      </c>
      <c r="CA936" t="s">
        <v>109</v>
      </c>
      <c r="CB936" t="s">
        <v>110</v>
      </c>
      <c r="CC936">
        <v>242000</v>
      </c>
    </row>
    <row r="937" spans="1:81" x14ac:dyDescent="0.3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H937" t="s">
        <v>119</v>
      </c>
      <c r="I937" t="s">
        <v>84</v>
      </c>
      <c r="J937" t="s">
        <v>85</v>
      </c>
      <c r="K937" t="s">
        <v>86</v>
      </c>
      <c r="L937" t="s">
        <v>87</v>
      </c>
      <c r="M937" t="s">
        <v>147</v>
      </c>
      <c r="N937" t="s">
        <v>89</v>
      </c>
      <c r="O937" t="s">
        <v>89</v>
      </c>
      <c r="P937" t="s">
        <v>90</v>
      </c>
      <c r="Q937" t="s">
        <v>114</v>
      </c>
      <c r="R937">
        <v>4</v>
      </c>
      <c r="S937">
        <v>5</v>
      </c>
      <c r="T937">
        <v>1926</v>
      </c>
      <c r="U937">
        <v>1953</v>
      </c>
      <c r="V937" t="s">
        <v>92</v>
      </c>
      <c r="W937" t="s">
        <v>93</v>
      </c>
      <c r="X937" t="s">
        <v>115</v>
      </c>
      <c r="Y937" t="s">
        <v>115</v>
      </c>
      <c r="Z937" t="s">
        <v>95</v>
      </c>
      <c r="AA937">
        <v>108</v>
      </c>
      <c r="AB937" t="s">
        <v>97</v>
      </c>
      <c r="AC937" t="s">
        <v>96</v>
      </c>
      <c r="AD937" t="s">
        <v>98</v>
      </c>
      <c r="AE937" t="s">
        <v>146</v>
      </c>
      <c r="AF937" t="s">
        <v>97</v>
      </c>
      <c r="AG937" t="s">
        <v>120</v>
      </c>
      <c r="AH937" t="s">
        <v>101</v>
      </c>
      <c r="AI937">
        <v>0</v>
      </c>
      <c r="AJ937" t="s">
        <v>101</v>
      </c>
      <c r="AK937">
        <v>0</v>
      </c>
      <c r="AL937">
        <v>600</v>
      </c>
      <c r="AM937">
        <v>600</v>
      </c>
      <c r="AN937" t="s">
        <v>102</v>
      </c>
      <c r="AO937" t="s">
        <v>96</v>
      </c>
      <c r="AP937" t="s">
        <v>104</v>
      </c>
      <c r="AQ937" t="s">
        <v>105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97</v>
      </c>
      <c r="BC937">
        <v>5</v>
      </c>
      <c r="BD937" t="s">
        <v>106</v>
      </c>
      <c r="BE937">
        <v>0</v>
      </c>
      <c r="BG937" t="s">
        <v>126</v>
      </c>
      <c r="BH937">
        <v>1953</v>
      </c>
      <c r="BI937" t="s">
        <v>101</v>
      </c>
      <c r="BJ937">
        <v>2</v>
      </c>
      <c r="BK937">
        <v>528</v>
      </c>
      <c r="BL937" t="s">
        <v>97</v>
      </c>
      <c r="BM937" t="s">
        <v>97</v>
      </c>
      <c r="BN937" t="s">
        <v>104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X937">
        <v>0</v>
      </c>
      <c r="BY937">
        <v>6</v>
      </c>
      <c r="BZ937">
        <v>2006</v>
      </c>
      <c r="CA937" t="s">
        <v>109</v>
      </c>
      <c r="CB937" t="s">
        <v>110</v>
      </c>
      <c r="CC937">
        <v>79900</v>
      </c>
    </row>
    <row r="938" spans="1:81" x14ac:dyDescent="0.3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H938" t="s">
        <v>83</v>
      </c>
      <c r="I938" t="s">
        <v>84</v>
      </c>
      <c r="J938" t="s">
        <v>85</v>
      </c>
      <c r="K938" t="s">
        <v>86</v>
      </c>
      <c r="L938" t="s">
        <v>87</v>
      </c>
      <c r="M938" t="s">
        <v>169</v>
      </c>
      <c r="N938" t="s">
        <v>89</v>
      </c>
      <c r="O938" t="s">
        <v>89</v>
      </c>
      <c r="P938" t="s">
        <v>90</v>
      </c>
      <c r="Q938" t="s">
        <v>114</v>
      </c>
      <c r="R938">
        <v>7</v>
      </c>
      <c r="S938">
        <v>5</v>
      </c>
      <c r="T938">
        <v>2003</v>
      </c>
      <c r="U938">
        <v>2003</v>
      </c>
      <c r="V938" t="s">
        <v>92</v>
      </c>
      <c r="W938" t="s">
        <v>93</v>
      </c>
      <c r="X938" t="s">
        <v>94</v>
      </c>
      <c r="Y938" t="s">
        <v>94</v>
      </c>
      <c r="AB938" t="s">
        <v>96</v>
      </c>
      <c r="AC938" t="s">
        <v>97</v>
      </c>
      <c r="AD938" t="s">
        <v>98</v>
      </c>
      <c r="AE938" t="s">
        <v>96</v>
      </c>
      <c r="AF938" t="s">
        <v>97</v>
      </c>
      <c r="AG938" t="s">
        <v>99</v>
      </c>
      <c r="AH938" t="s">
        <v>100</v>
      </c>
      <c r="AI938">
        <v>833</v>
      </c>
      <c r="AJ938" t="s">
        <v>101</v>
      </c>
      <c r="AK938">
        <v>0</v>
      </c>
      <c r="AL938">
        <v>343</v>
      </c>
      <c r="AM938">
        <v>1176</v>
      </c>
      <c r="AN938" t="s">
        <v>102</v>
      </c>
      <c r="AO938" t="s">
        <v>103</v>
      </c>
      <c r="AP938" t="s">
        <v>104</v>
      </c>
      <c r="AQ938" t="s">
        <v>105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96</v>
      </c>
      <c r="BC938">
        <v>5</v>
      </c>
      <c r="BD938" t="s">
        <v>106</v>
      </c>
      <c r="BE938">
        <v>0</v>
      </c>
      <c r="BG938" t="s">
        <v>107</v>
      </c>
      <c r="BH938">
        <v>2003</v>
      </c>
      <c r="BI938" t="s">
        <v>108</v>
      </c>
      <c r="BJ938">
        <v>2</v>
      </c>
      <c r="BK938">
        <v>555</v>
      </c>
      <c r="BL938" t="s">
        <v>97</v>
      </c>
      <c r="BM938" t="s">
        <v>97</v>
      </c>
      <c r="BN938" t="s">
        <v>104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X938">
        <v>0</v>
      </c>
      <c r="BY938">
        <v>8</v>
      </c>
      <c r="BZ938">
        <v>2009</v>
      </c>
      <c r="CA938" t="s">
        <v>109</v>
      </c>
      <c r="CB938" t="s">
        <v>110</v>
      </c>
      <c r="CC938">
        <v>184900</v>
      </c>
    </row>
    <row r="939" spans="1:81" x14ac:dyDescent="0.3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H939" t="s">
        <v>83</v>
      </c>
      <c r="I939" t="s">
        <v>84</v>
      </c>
      <c r="J939" t="s">
        <v>85</v>
      </c>
      <c r="K939" t="s">
        <v>86</v>
      </c>
      <c r="L939" t="s">
        <v>87</v>
      </c>
      <c r="M939" t="s">
        <v>135</v>
      </c>
      <c r="N939" t="s">
        <v>89</v>
      </c>
      <c r="O939" t="s">
        <v>89</v>
      </c>
      <c r="P939" t="s">
        <v>90</v>
      </c>
      <c r="Q939" t="s">
        <v>91</v>
      </c>
      <c r="R939">
        <v>7</v>
      </c>
      <c r="S939">
        <v>5</v>
      </c>
      <c r="T939">
        <v>2005</v>
      </c>
      <c r="U939">
        <v>2005</v>
      </c>
      <c r="V939" t="s">
        <v>92</v>
      </c>
      <c r="W939" t="s">
        <v>93</v>
      </c>
      <c r="X939" t="s">
        <v>94</v>
      </c>
      <c r="Y939" t="s">
        <v>94</v>
      </c>
      <c r="Z939" t="s">
        <v>116</v>
      </c>
      <c r="AA939">
        <v>0</v>
      </c>
      <c r="AB939" t="s">
        <v>96</v>
      </c>
      <c r="AC939" t="s">
        <v>97</v>
      </c>
      <c r="AD939" t="s">
        <v>98</v>
      </c>
      <c r="AE939" t="s">
        <v>96</v>
      </c>
      <c r="AF939" t="s">
        <v>97</v>
      </c>
      <c r="AG939" t="s">
        <v>120</v>
      </c>
      <c r="AH939" t="s">
        <v>100</v>
      </c>
      <c r="AI939">
        <v>341</v>
      </c>
      <c r="AJ939" t="s">
        <v>101</v>
      </c>
      <c r="AK939">
        <v>0</v>
      </c>
      <c r="AL939">
        <v>772</v>
      </c>
      <c r="AM939">
        <v>1113</v>
      </c>
      <c r="AN939" t="s">
        <v>102</v>
      </c>
      <c r="AO939" t="s">
        <v>103</v>
      </c>
      <c r="AP939" t="s">
        <v>104</v>
      </c>
      <c r="AQ939" t="s">
        <v>105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96</v>
      </c>
      <c r="BC939">
        <v>8</v>
      </c>
      <c r="BD939" t="s">
        <v>106</v>
      </c>
      <c r="BE939">
        <v>1</v>
      </c>
      <c r="BF939" t="s">
        <v>96</v>
      </c>
      <c r="BG939" t="s">
        <v>107</v>
      </c>
      <c r="BH939">
        <v>2005</v>
      </c>
      <c r="BI939" t="s">
        <v>108</v>
      </c>
      <c r="BJ939">
        <v>2</v>
      </c>
      <c r="BK939">
        <v>689</v>
      </c>
      <c r="BL939" t="s">
        <v>97</v>
      </c>
      <c r="BM939" t="s">
        <v>97</v>
      </c>
      <c r="BN939" t="s">
        <v>104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X939">
        <v>0</v>
      </c>
      <c r="BY939">
        <v>2</v>
      </c>
      <c r="BZ939">
        <v>2009</v>
      </c>
      <c r="CA939" t="s">
        <v>109</v>
      </c>
      <c r="CB939" t="s">
        <v>110</v>
      </c>
      <c r="CC939">
        <v>253000</v>
      </c>
    </row>
    <row r="940" spans="1:81" x14ac:dyDescent="0.3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H940" t="s">
        <v>83</v>
      </c>
      <c r="I940" t="s">
        <v>84</v>
      </c>
      <c r="J940" t="s">
        <v>85</v>
      </c>
      <c r="K940" t="s">
        <v>86</v>
      </c>
      <c r="L940" t="s">
        <v>87</v>
      </c>
      <c r="M940" t="s">
        <v>88</v>
      </c>
      <c r="N940" t="s">
        <v>89</v>
      </c>
      <c r="O940" t="s">
        <v>89</v>
      </c>
      <c r="P940" t="s">
        <v>90</v>
      </c>
      <c r="Q940" t="s">
        <v>91</v>
      </c>
      <c r="R940">
        <v>7</v>
      </c>
      <c r="S940">
        <v>5</v>
      </c>
      <c r="T940">
        <v>2006</v>
      </c>
      <c r="U940">
        <v>2006</v>
      </c>
      <c r="V940" t="s">
        <v>92</v>
      </c>
      <c r="W940" t="s">
        <v>93</v>
      </c>
      <c r="X940" t="s">
        <v>94</v>
      </c>
      <c r="Y940" t="s">
        <v>94</v>
      </c>
      <c r="Z940" t="s">
        <v>116</v>
      </c>
      <c r="AA940">
        <v>0</v>
      </c>
      <c r="AB940" t="s">
        <v>96</v>
      </c>
      <c r="AC940" t="s">
        <v>97</v>
      </c>
      <c r="AD940" t="s">
        <v>98</v>
      </c>
      <c r="AE940" t="s">
        <v>96</v>
      </c>
      <c r="AF940" t="s">
        <v>96</v>
      </c>
      <c r="AG940" t="s">
        <v>120</v>
      </c>
      <c r="AH940" t="s">
        <v>100</v>
      </c>
      <c r="AI940">
        <v>464</v>
      </c>
      <c r="AJ940" t="s">
        <v>101</v>
      </c>
      <c r="AK940">
        <v>0</v>
      </c>
      <c r="AL940">
        <v>927</v>
      </c>
      <c r="AM940">
        <v>1391</v>
      </c>
      <c r="AN940" t="s">
        <v>102</v>
      </c>
      <c r="AO940" t="s">
        <v>103</v>
      </c>
      <c r="AP940" t="s">
        <v>104</v>
      </c>
      <c r="AQ940" t="s">
        <v>105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96</v>
      </c>
      <c r="BC940">
        <v>7</v>
      </c>
      <c r="BD940" t="s">
        <v>106</v>
      </c>
      <c r="BE940">
        <v>0</v>
      </c>
      <c r="BG940" t="s">
        <v>107</v>
      </c>
      <c r="BH940">
        <v>2006</v>
      </c>
      <c r="BI940" t="s">
        <v>108</v>
      </c>
      <c r="BJ940">
        <v>3</v>
      </c>
      <c r="BK940">
        <v>868</v>
      </c>
      <c r="BL940" t="s">
        <v>97</v>
      </c>
      <c r="BM940" t="s">
        <v>97</v>
      </c>
      <c r="BN940" t="s">
        <v>104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X940">
        <v>0</v>
      </c>
      <c r="BY940">
        <v>8</v>
      </c>
      <c r="BZ940">
        <v>2006</v>
      </c>
      <c r="CA940" t="s">
        <v>157</v>
      </c>
      <c r="CB940" t="s">
        <v>158</v>
      </c>
      <c r="CC940">
        <v>239799</v>
      </c>
    </row>
    <row r="941" spans="1:81" x14ac:dyDescent="0.3">
      <c r="A941">
        <v>940</v>
      </c>
      <c r="B941">
        <v>70</v>
      </c>
      <c r="C941" t="s">
        <v>81</v>
      </c>
      <c r="E941">
        <v>24090</v>
      </c>
      <c r="F941" t="s">
        <v>82</v>
      </c>
      <c r="H941" t="s">
        <v>83</v>
      </c>
      <c r="I941" t="s">
        <v>84</v>
      </c>
      <c r="J941" t="s">
        <v>85</v>
      </c>
      <c r="K941" t="s">
        <v>86</v>
      </c>
      <c r="L941" t="s">
        <v>87</v>
      </c>
      <c r="M941" t="s">
        <v>204</v>
      </c>
      <c r="N941" t="s">
        <v>89</v>
      </c>
      <c r="O941" t="s">
        <v>89</v>
      </c>
      <c r="P941" t="s">
        <v>90</v>
      </c>
      <c r="Q941" t="s">
        <v>91</v>
      </c>
      <c r="R941">
        <v>7</v>
      </c>
      <c r="S941">
        <v>7</v>
      </c>
      <c r="T941">
        <v>1940</v>
      </c>
      <c r="U941">
        <v>1950</v>
      </c>
      <c r="V941" t="s">
        <v>92</v>
      </c>
      <c r="W941" t="s">
        <v>93</v>
      </c>
      <c r="X941" t="s">
        <v>115</v>
      </c>
      <c r="Y941" t="s">
        <v>115</v>
      </c>
      <c r="Z941" t="s">
        <v>116</v>
      </c>
      <c r="AA941">
        <v>0</v>
      </c>
      <c r="AB941" t="s">
        <v>97</v>
      </c>
      <c r="AC941" t="s">
        <v>96</v>
      </c>
      <c r="AD941" t="s">
        <v>117</v>
      </c>
      <c r="AE941" t="s">
        <v>97</v>
      </c>
      <c r="AF941" t="s">
        <v>97</v>
      </c>
      <c r="AG941" t="s">
        <v>120</v>
      </c>
      <c r="AH941" t="s">
        <v>101</v>
      </c>
      <c r="AI941">
        <v>0</v>
      </c>
      <c r="AJ941" t="s">
        <v>101</v>
      </c>
      <c r="AK941">
        <v>0</v>
      </c>
      <c r="AL941">
        <v>1032</v>
      </c>
      <c r="AM941">
        <v>1032</v>
      </c>
      <c r="AN941" t="s">
        <v>102</v>
      </c>
      <c r="AO941" t="s">
        <v>103</v>
      </c>
      <c r="AP941" t="s">
        <v>104</v>
      </c>
      <c r="AQ941" t="s">
        <v>105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97</v>
      </c>
      <c r="BC941">
        <v>10</v>
      </c>
      <c r="BD941" t="s">
        <v>106</v>
      </c>
      <c r="BE941">
        <v>2</v>
      </c>
      <c r="BF941" t="s">
        <v>97</v>
      </c>
      <c r="BG941" t="s">
        <v>107</v>
      </c>
      <c r="BH941">
        <v>1940</v>
      </c>
      <c r="BI941" t="s">
        <v>101</v>
      </c>
      <c r="BJ941">
        <v>1</v>
      </c>
      <c r="BK941">
        <v>349</v>
      </c>
      <c r="BL941" t="s">
        <v>97</v>
      </c>
      <c r="BM941" t="s">
        <v>97</v>
      </c>
      <c r="BN941" t="s">
        <v>104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X941">
        <v>0</v>
      </c>
      <c r="BY941">
        <v>6</v>
      </c>
      <c r="BZ941">
        <v>2010</v>
      </c>
      <c r="CA941" t="s">
        <v>172</v>
      </c>
      <c r="CB941" t="s">
        <v>110</v>
      </c>
      <c r="CC941">
        <v>244400</v>
      </c>
    </row>
    <row r="942" spans="1:81" x14ac:dyDescent="0.3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H942" t="s">
        <v>119</v>
      </c>
      <c r="I942" t="s">
        <v>84</v>
      </c>
      <c r="J942" t="s">
        <v>85</v>
      </c>
      <c r="K942" t="s">
        <v>86</v>
      </c>
      <c r="L942" t="s">
        <v>87</v>
      </c>
      <c r="M942" t="s">
        <v>130</v>
      </c>
      <c r="N942" t="s">
        <v>89</v>
      </c>
      <c r="O942" t="s">
        <v>89</v>
      </c>
      <c r="P942" t="s">
        <v>166</v>
      </c>
      <c r="Q942" t="s">
        <v>114</v>
      </c>
      <c r="R942">
        <v>6</v>
      </c>
      <c r="S942">
        <v>5</v>
      </c>
      <c r="T942">
        <v>1976</v>
      </c>
      <c r="U942">
        <v>1976</v>
      </c>
      <c r="V942" t="s">
        <v>92</v>
      </c>
      <c r="W942" t="s">
        <v>93</v>
      </c>
      <c r="X942" t="s">
        <v>160</v>
      </c>
      <c r="Y942" t="s">
        <v>160</v>
      </c>
      <c r="Z942" t="s">
        <v>116</v>
      </c>
      <c r="AA942">
        <v>0</v>
      </c>
      <c r="AB942" t="s">
        <v>97</v>
      </c>
      <c r="AC942" t="s">
        <v>97</v>
      </c>
      <c r="AD942" t="s">
        <v>117</v>
      </c>
      <c r="AE942" t="s">
        <v>97</v>
      </c>
      <c r="AF942" t="s">
        <v>97</v>
      </c>
      <c r="AG942" t="s">
        <v>96</v>
      </c>
      <c r="AH942" t="s">
        <v>152</v>
      </c>
      <c r="AI942">
        <v>936</v>
      </c>
      <c r="AJ942" t="s">
        <v>171</v>
      </c>
      <c r="AK942">
        <v>396</v>
      </c>
      <c r="AL942">
        <v>396</v>
      </c>
      <c r="AM942">
        <v>1728</v>
      </c>
      <c r="AN942" t="s">
        <v>102</v>
      </c>
      <c r="AO942" t="s">
        <v>97</v>
      </c>
      <c r="AP942" t="s">
        <v>104</v>
      </c>
      <c r="AQ942" t="s">
        <v>105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97</v>
      </c>
      <c r="BC942">
        <v>8</v>
      </c>
      <c r="BD942" t="s">
        <v>106</v>
      </c>
      <c r="BE942">
        <v>0</v>
      </c>
      <c r="BG942" t="s">
        <v>107</v>
      </c>
      <c r="BH942">
        <v>1976</v>
      </c>
      <c r="BI942" t="s">
        <v>101</v>
      </c>
      <c r="BJ942">
        <v>2</v>
      </c>
      <c r="BK942">
        <v>574</v>
      </c>
      <c r="BL942" t="s">
        <v>97</v>
      </c>
      <c r="BM942" t="s">
        <v>97</v>
      </c>
      <c r="BN942" t="s">
        <v>104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X942">
        <v>0</v>
      </c>
      <c r="BY942">
        <v>7</v>
      </c>
      <c r="BZ942">
        <v>2006</v>
      </c>
      <c r="CA942" t="s">
        <v>109</v>
      </c>
      <c r="CB942" t="s">
        <v>110</v>
      </c>
      <c r="CC942">
        <v>150900</v>
      </c>
    </row>
    <row r="943" spans="1:81" x14ac:dyDescent="0.3">
      <c r="A943">
        <v>942</v>
      </c>
      <c r="B943">
        <v>60</v>
      </c>
      <c r="C943" t="s">
        <v>81</v>
      </c>
      <c r="E943">
        <v>8755</v>
      </c>
      <c r="F943" t="s">
        <v>82</v>
      </c>
      <c r="H943" t="s">
        <v>119</v>
      </c>
      <c r="I943" t="s">
        <v>84</v>
      </c>
      <c r="J943" t="s">
        <v>85</v>
      </c>
      <c r="K943" t="s">
        <v>111</v>
      </c>
      <c r="L943" t="s">
        <v>87</v>
      </c>
      <c r="M943" t="s">
        <v>192</v>
      </c>
      <c r="N943" t="s">
        <v>181</v>
      </c>
      <c r="O943" t="s">
        <v>89</v>
      </c>
      <c r="P943" t="s">
        <v>90</v>
      </c>
      <c r="Q943" t="s">
        <v>91</v>
      </c>
      <c r="R943">
        <v>7</v>
      </c>
      <c r="S943">
        <v>5</v>
      </c>
      <c r="T943">
        <v>1999</v>
      </c>
      <c r="U943">
        <v>1999</v>
      </c>
      <c r="V943" t="s">
        <v>92</v>
      </c>
      <c r="W943" t="s">
        <v>93</v>
      </c>
      <c r="X943" t="s">
        <v>94</v>
      </c>
      <c r="Y943" t="s">
        <v>94</v>
      </c>
      <c r="Z943" t="s">
        <v>95</v>
      </c>
      <c r="AA943">
        <v>298</v>
      </c>
      <c r="AB943" t="s">
        <v>96</v>
      </c>
      <c r="AC943" t="s">
        <v>97</v>
      </c>
      <c r="AD943" t="s">
        <v>98</v>
      </c>
      <c r="AE943" t="s">
        <v>96</v>
      </c>
      <c r="AF943" t="s">
        <v>97</v>
      </c>
      <c r="AG943" t="s">
        <v>99</v>
      </c>
      <c r="AH943" t="s">
        <v>118</v>
      </c>
      <c r="AI943">
        <v>772</v>
      </c>
      <c r="AJ943" t="s">
        <v>101</v>
      </c>
      <c r="AK943">
        <v>0</v>
      </c>
      <c r="AL943">
        <v>220</v>
      </c>
      <c r="AM943">
        <v>992</v>
      </c>
      <c r="AN943" t="s">
        <v>102</v>
      </c>
      <c r="AO943" t="s">
        <v>103</v>
      </c>
      <c r="AP943" t="s">
        <v>104</v>
      </c>
      <c r="AQ943" t="s">
        <v>105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96</v>
      </c>
      <c r="BC943">
        <v>8</v>
      </c>
      <c r="BD943" t="s">
        <v>106</v>
      </c>
      <c r="BE943">
        <v>1</v>
      </c>
      <c r="BF943" t="s">
        <v>97</v>
      </c>
      <c r="BG943" t="s">
        <v>155</v>
      </c>
      <c r="BH943">
        <v>1999</v>
      </c>
      <c r="BI943" t="s">
        <v>108</v>
      </c>
      <c r="BJ943">
        <v>2</v>
      </c>
      <c r="BK943">
        <v>390</v>
      </c>
      <c r="BL943" t="s">
        <v>97</v>
      </c>
      <c r="BM943" t="s">
        <v>97</v>
      </c>
      <c r="BN943" t="s">
        <v>104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V943" t="s">
        <v>164</v>
      </c>
      <c r="BX943">
        <v>0</v>
      </c>
      <c r="BY943">
        <v>6</v>
      </c>
      <c r="BZ943">
        <v>2009</v>
      </c>
      <c r="CA943" t="s">
        <v>109</v>
      </c>
      <c r="CB943" t="s">
        <v>110</v>
      </c>
      <c r="CC943">
        <v>214000</v>
      </c>
    </row>
    <row r="944" spans="1:81" x14ac:dyDescent="0.3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H944" t="s">
        <v>119</v>
      </c>
      <c r="I944" t="s">
        <v>84</v>
      </c>
      <c r="J944" t="s">
        <v>85</v>
      </c>
      <c r="K944" t="s">
        <v>86</v>
      </c>
      <c r="L944" t="s">
        <v>87</v>
      </c>
      <c r="M944" t="s">
        <v>184</v>
      </c>
      <c r="N944" t="s">
        <v>89</v>
      </c>
      <c r="O944" t="s">
        <v>89</v>
      </c>
      <c r="P944" t="s">
        <v>166</v>
      </c>
      <c r="Q944" t="s">
        <v>114</v>
      </c>
      <c r="R944">
        <v>4</v>
      </c>
      <c r="S944">
        <v>3</v>
      </c>
      <c r="T944">
        <v>1977</v>
      </c>
      <c r="U944">
        <v>1977</v>
      </c>
      <c r="V944" t="s">
        <v>92</v>
      </c>
      <c r="W944" t="s">
        <v>93</v>
      </c>
      <c r="X944" t="s">
        <v>115</v>
      </c>
      <c r="Y944" t="s">
        <v>115</v>
      </c>
      <c r="Z944" t="s">
        <v>116</v>
      </c>
      <c r="AA944">
        <v>0</v>
      </c>
      <c r="AB944" t="s">
        <v>97</v>
      </c>
      <c r="AC944" t="s">
        <v>97</v>
      </c>
      <c r="AD944" t="s">
        <v>98</v>
      </c>
      <c r="AE944" t="s">
        <v>96</v>
      </c>
      <c r="AF944" t="s">
        <v>97</v>
      </c>
      <c r="AG944" t="s">
        <v>96</v>
      </c>
      <c r="AH944" t="s">
        <v>100</v>
      </c>
      <c r="AI944">
        <v>1440</v>
      </c>
      <c r="AJ944" t="s">
        <v>101</v>
      </c>
      <c r="AK944">
        <v>0</v>
      </c>
      <c r="AL944">
        <v>0</v>
      </c>
      <c r="AM944">
        <v>1440</v>
      </c>
      <c r="AN944" t="s">
        <v>102</v>
      </c>
      <c r="AO944" t="s">
        <v>97</v>
      </c>
      <c r="AP944" t="s">
        <v>104</v>
      </c>
      <c r="AQ944" t="s">
        <v>105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97</v>
      </c>
      <c r="BC944">
        <v>8</v>
      </c>
      <c r="BD944" t="s">
        <v>106</v>
      </c>
      <c r="BE944">
        <v>0</v>
      </c>
      <c r="BJ944">
        <v>0</v>
      </c>
      <c r="BK944">
        <v>0</v>
      </c>
      <c r="BN944" t="s">
        <v>176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X944">
        <v>0</v>
      </c>
      <c r="BY944">
        <v>8</v>
      </c>
      <c r="BZ944">
        <v>2007</v>
      </c>
      <c r="CA944" t="s">
        <v>248</v>
      </c>
      <c r="CB944" t="s">
        <v>127</v>
      </c>
      <c r="CC944">
        <v>150000</v>
      </c>
    </row>
    <row r="945" spans="1:81" x14ac:dyDescent="0.3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H945" t="s">
        <v>83</v>
      </c>
      <c r="I945" t="s">
        <v>194</v>
      </c>
      <c r="J945" t="s">
        <v>85</v>
      </c>
      <c r="K945" t="s">
        <v>86</v>
      </c>
      <c r="L945" t="s">
        <v>87</v>
      </c>
      <c r="M945" t="s">
        <v>130</v>
      </c>
      <c r="N945" t="s">
        <v>89</v>
      </c>
      <c r="O945" t="s">
        <v>89</v>
      </c>
      <c r="P945" t="s">
        <v>166</v>
      </c>
      <c r="Q945" t="s">
        <v>114</v>
      </c>
      <c r="R945">
        <v>5</v>
      </c>
      <c r="S945">
        <v>4</v>
      </c>
      <c r="T945">
        <v>1967</v>
      </c>
      <c r="U945">
        <v>1967</v>
      </c>
      <c r="V945" t="s">
        <v>92</v>
      </c>
      <c r="W945" t="s">
        <v>93</v>
      </c>
      <c r="X945" t="s">
        <v>139</v>
      </c>
      <c r="Y945" t="s">
        <v>160</v>
      </c>
      <c r="Z945" t="s">
        <v>116</v>
      </c>
      <c r="AA945">
        <v>0</v>
      </c>
      <c r="AB945" t="s">
        <v>97</v>
      </c>
      <c r="AC945" t="s">
        <v>97</v>
      </c>
      <c r="AD945" t="s">
        <v>117</v>
      </c>
      <c r="AE945" t="s">
        <v>97</v>
      </c>
      <c r="AF945" t="s">
        <v>97</v>
      </c>
      <c r="AG945" t="s">
        <v>129</v>
      </c>
      <c r="AH945" t="s">
        <v>101</v>
      </c>
      <c r="AI945">
        <v>0</v>
      </c>
      <c r="AJ945" t="s">
        <v>101</v>
      </c>
      <c r="AK945">
        <v>0</v>
      </c>
      <c r="AL945">
        <v>1632</v>
      </c>
      <c r="AM945">
        <v>1632</v>
      </c>
      <c r="AN945" t="s">
        <v>102</v>
      </c>
      <c r="AO945" t="s">
        <v>97</v>
      </c>
      <c r="AP945" t="s">
        <v>104</v>
      </c>
      <c r="AQ945" t="s">
        <v>105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97</v>
      </c>
      <c r="BC945">
        <v>8</v>
      </c>
      <c r="BD945" t="s">
        <v>106</v>
      </c>
      <c r="BE945">
        <v>0</v>
      </c>
      <c r="BG945" t="s">
        <v>107</v>
      </c>
      <c r="BH945">
        <v>1967</v>
      </c>
      <c r="BI945" t="s">
        <v>101</v>
      </c>
      <c r="BJ945">
        <v>2</v>
      </c>
      <c r="BK945">
        <v>576</v>
      </c>
      <c r="BL945" t="s">
        <v>97</v>
      </c>
      <c r="BM945" t="s">
        <v>97</v>
      </c>
      <c r="BN945" t="s">
        <v>189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X945">
        <v>0</v>
      </c>
      <c r="BY945">
        <v>6</v>
      </c>
      <c r="BZ945">
        <v>2007</v>
      </c>
      <c r="CA945" t="s">
        <v>109</v>
      </c>
      <c r="CB945" t="s">
        <v>110</v>
      </c>
      <c r="CC945">
        <v>143000</v>
      </c>
    </row>
    <row r="946" spans="1:81" x14ac:dyDescent="0.3">
      <c r="A946">
        <v>945</v>
      </c>
      <c r="B946">
        <v>20</v>
      </c>
      <c r="C946" t="s">
        <v>81</v>
      </c>
      <c r="E946">
        <v>14375</v>
      </c>
      <c r="F946" t="s">
        <v>82</v>
      </c>
      <c r="H946" t="s">
        <v>119</v>
      </c>
      <c r="I946" t="s">
        <v>84</v>
      </c>
      <c r="J946" t="s">
        <v>249</v>
      </c>
      <c r="K946" t="s">
        <v>165</v>
      </c>
      <c r="L946" t="s">
        <v>87</v>
      </c>
      <c r="M946" t="s">
        <v>188</v>
      </c>
      <c r="N946" t="s">
        <v>89</v>
      </c>
      <c r="O946" t="s">
        <v>89</v>
      </c>
      <c r="P946" t="s">
        <v>90</v>
      </c>
      <c r="Q946" t="s">
        <v>196</v>
      </c>
      <c r="R946">
        <v>6</v>
      </c>
      <c r="S946">
        <v>6</v>
      </c>
      <c r="T946">
        <v>1958</v>
      </c>
      <c r="U946">
        <v>1958</v>
      </c>
      <c r="V946" t="s">
        <v>92</v>
      </c>
      <c r="W946" t="s">
        <v>93</v>
      </c>
      <c r="X946" t="s">
        <v>139</v>
      </c>
      <c r="Y946" t="s">
        <v>139</v>
      </c>
      <c r="Z946" t="s">
        <v>95</v>
      </c>
      <c r="AA946">
        <v>541</v>
      </c>
      <c r="AB946" t="s">
        <v>97</v>
      </c>
      <c r="AC946" t="s">
        <v>97</v>
      </c>
      <c r="AD946" t="s">
        <v>117</v>
      </c>
      <c r="AE946" t="s">
        <v>97</v>
      </c>
      <c r="AF946" t="s">
        <v>97</v>
      </c>
      <c r="AG946" t="s">
        <v>99</v>
      </c>
      <c r="AH946" t="s">
        <v>100</v>
      </c>
      <c r="AI946">
        <v>111</v>
      </c>
      <c r="AJ946" t="s">
        <v>152</v>
      </c>
      <c r="AK946">
        <v>354</v>
      </c>
      <c r="AL946">
        <v>354</v>
      </c>
      <c r="AM946">
        <v>819</v>
      </c>
      <c r="AN946" t="s">
        <v>102</v>
      </c>
      <c r="AO946" t="s">
        <v>96</v>
      </c>
      <c r="AP946" t="s">
        <v>104</v>
      </c>
      <c r="AQ946" t="s">
        <v>163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96</v>
      </c>
      <c r="BC946">
        <v>7</v>
      </c>
      <c r="BD946" t="s">
        <v>106</v>
      </c>
      <c r="BE946">
        <v>1</v>
      </c>
      <c r="BF946" t="s">
        <v>96</v>
      </c>
      <c r="BG946" t="s">
        <v>208</v>
      </c>
      <c r="BH946">
        <v>1958</v>
      </c>
      <c r="BI946" t="s">
        <v>108</v>
      </c>
      <c r="BJ946">
        <v>2</v>
      </c>
      <c r="BK946">
        <v>525</v>
      </c>
      <c r="BL946" t="s">
        <v>97</v>
      </c>
      <c r="BM946" t="s">
        <v>97</v>
      </c>
      <c r="BN946" t="s">
        <v>104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X946">
        <v>0</v>
      </c>
      <c r="BY946">
        <v>1</v>
      </c>
      <c r="BZ946">
        <v>2009</v>
      </c>
      <c r="CA946" t="s">
        <v>172</v>
      </c>
      <c r="CB946" t="s">
        <v>127</v>
      </c>
      <c r="CC946">
        <v>137500</v>
      </c>
    </row>
    <row r="947" spans="1:81" x14ac:dyDescent="0.3">
      <c r="A947">
        <v>946</v>
      </c>
      <c r="B947">
        <v>50</v>
      </c>
      <c r="C947" t="s">
        <v>141</v>
      </c>
      <c r="D947">
        <v>98</v>
      </c>
      <c r="E947">
        <v>8820</v>
      </c>
      <c r="F947" t="s">
        <v>82</v>
      </c>
      <c r="H947" t="s">
        <v>83</v>
      </c>
      <c r="I947" t="s">
        <v>84</v>
      </c>
      <c r="J947" t="s">
        <v>85</v>
      </c>
      <c r="K947" t="s">
        <v>121</v>
      </c>
      <c r="L947" t="s">
        <v>87</v>
      </c>
      <c r="M947" t="s">
        <v>142</v>
      </c>
      <c r="N947" t="s">
        <v>89</v>
      </c>
      <c r="O947" t="s">
        <v>89</v>
      </c>
      <c r="P947" t="s">
        <v>90</v>
      </c>
      <c r="Q947" t="s">
        <v>131</v>
      </c>
      <c r="R947">
        <v>5</v>
      </c>
      <c r="S947">
        <v>6</v>
      </c>
      <c r="T947">
        <v>1890</v>
      </c>
      <c r="U947">
        <v>1996</v>
      </c>
      <c r="V947" t="s">
        <v>151</v>
      </c>
      <c r="W947" t="s">
        <v>93</v>
      </c>
      <c r="X947" t="s">
        <v>94</v>
      </c>
      <c r="Y947" t="s">
        <v>94</v>
      </c>
      <c r="Z947" t="s">
        <v>116</v>
      </c>
      <c r="AA947">
        <v>0</v>
      </c>
      <c r="AB947" t="s">
        <v>97</v>
      </c>
      <c r="AC947" t="s">
        <v>97</v>
      </c>
      <c r="AD947" t="s">
        <v>125</v>
      </c>
      <c r="AE947" t="s">
        <v>97</v>
      </c>
      <c r="AF947" t="s">
        <v>97</v>
      </c>
      <c r="AG947" t="s">
        <v>99</v>
      </c>
      <c r="AH947" t="s">
        <v>171</v>
      </c>
      <c r="AI947">
        <v>1088</v>
      </c>
      <c r="AJ947" t="s">
        <v>101</v>
      </c>
      <c r="AK947">
        <v>0</v>
      </c>
      <c r="AL947">
        <v>0</v>
      </c>
      <c r="AM947">
        <v>1088</v>
      </c>
      <c r="AN947" t="s">
        <v>102</v>
      </c>
      <c r="AO947" t="s">
        <v>97</v>
      </c>
      <c r="AP947" t="s">
        <v>104</v>
      </c>
      <c r="AQ947" t="s">
        <v>105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97</v>
      </c>
      <c r="BC947">
        <v>7</v>
      </c>
      <c r="BD947" t="s">
        <v>106</v>
      </c>
      <c r="BE947">
        <v>0</v>
      </c>
      <c r="BG947" t="s">
        <v>126</v>
      </c>
      <c r="BH947">
        <v>1963</v>
      </c>
      <c r="BI947" t="s">
        <v>101</v>
      </c>
      <c r="BJ947">
        <v>2</v>
      </c>
      <c r="BK947">
        <v>456</v>
      </c>
      <c r="BL947" t="s">
        <v>97</v>
      </c>
      <c r="BM947" t="s">
        <v>97</v>
      </c>
      <c r="BN947" t="s">
        <v>104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V947" t="s">
        <v>217</v>
      </c>
      <c r="BX947">
        <v>0</v>
      </c>
      <c r="BY947">
        <v>9</v>
      </c>
      <c r="BZ947">
        <v>2009</v>
      </c>
      <c r="CA947" t="s">
        <v>109</v>
      </c>
      <c r="CB947" t="s">
        <v>110</v>
      </c>
      <c r="CC947">
        <v>124900</v>
      </c>
    </row>
    <row r="948" spans="1:81" x14ac:dyDescent="0.3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H948" t="s">
        <v>83</v>
      </c>
      <c r="I948" t="s">
        <v>84</v>
      </c>
      <c r="J948" t="s">
        <v>85</v>
      </c>
      <c r="K948" t="s">
        <v>86</v>
      </c>
      <c r="L948" t="s">
        <v>87</v>
      </c>
      <c r="M948" t="s">
        <v>270</v>
      </c>
      <c r="N948" t="s">
        <v>89</v>
      </c>
      <c r="O948" t="s">
        <v>89</v>
      </c>
      <c r="P948" t="s">
        <v>90</v>
      </c>
      <c r="Q948" t="s">
        <v>196</v>
      </c>
      <c r="R948">
        <v>5</v>
      </c>
      <c r="S948">
        <v>6</v>
      </c>
      <c r="T948">
        <v>1959</v>
      </c>
      <c r="U948">
        <v>1959</v>
      </c>
      <c r="V948" t="s">
        <v>92</v>
      </c>
      <c r="W948" t="s">
        <v>93</v>
      </c>
      <c r="X948" t="s">
        <v>139</v>
      </c>
      <c r="Y948" t="s">
        <v>139</v>
      </c>
      <c r="Z948" t="s">
        <v>95</v>
      </c>
      <c r="AA948">
        <v>128</v>
      </c>
      <c r="AB948" t="s">
        <v>97</v>
      </c>
      <c r="AC948" t="s">
        <v>96</v>
      </c>
      <c r="AD948" t="s">
        <v>117</v>
      </c>
      <c r="AE948" t="s">
        <v>97</v>
      </c>
      <c r="AF948" t="s">
        <v>97</v>
      </c>
      <c r="AG948" t="s">
        <v>129</v>
      </c>
      <c r="AH948" t="s">
        <v>118</v>
      </c>
      <c r="AI948">
        <v>748</v>
      </c>
      <c r="AJ948" t="s">
        <v>140</v>
      </c>
      <c r="AK948">
        <v>294</v>
      </c>
      <c r="AL948">
        <v>102</v>
      </c>
      <c r="AM948">
        <v>1144</v>
      </c>
      <c r="AN948" t="s">
        <v>102</v>
      </c>
      <c r="AO948" t="s">
        <v>97</v>
      </c>
      <c r="AP948" t="s">
        <v>104</v>
      </c>
      <c r="AQ948" t="s">
        <v>105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97</v>
      </c>
      <c r="BC948">
        <v>6</v>
      </c>
      <c r="BD948" t="s">
        <v>106</v>
      </c>
      <c r="BE948">
        <v>1</v>
      </c>
      <c r="BF948" t="s">
        <v>97</v>
      </c>
      <c r="BG948" t="s">
        <v>107</v>
      </c>
      <c r="BH948">
        <v>1959</v>
      </c>
      <c r="BI948" t="s">
        <v>108</v>
      </c>
      <c r="BJ948">
        <v>1</v>
      </c>
      <c r="BK948">
        <v>796</v>
      </c>
      <c r="BL948" t="s">
        <v>97</v>
      </c>
      <c r="BM948" t="s">
        <v>97</v>
      </c>
      <c r="BN948" t="s">
        <v>104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X948">
        <v>0</v>
      </c>
      <c r="BY948">
        <v>3</v>
      </c>
      <c r="BZ948">
        <v>2006</v>
      </c>
      <c r="CA948" t="s">
        <v>109</v>
      </c>
      <c r="CB948" t="s">
        <v>110</v>
      </c>
      <c r="CC948">
        <v>143000</v>
      </c>
    </row>
    <row r="949" spans="1:81" x14ac:dyDescent="0.3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H949" t="s">
        <v>83</v>
      </c>
      <c r="I949" t="s">
        <v>84</v>
      </c>
      <c r="J949" t="s">
        <v>85</v>
      </c>
      <c r="K949" t="s">
        <v>86</v>
      </c>
      <c r="L949" t="s">
        <v>87</v>
      </c>
      <c r="M949" t="s">
        <v>188</v>
      </c>
      <c r="N949" t="s">
        <v>89</v>
      </c>
      <c r="O949" t="s">
        <v>89</v>
      </c>
      <c r="P949" t="s">
        <v>90</v>
      </c>
      <c r="Q949" t="s">
        <v>114</v>
      </c>
      <c r="R949">
        <v>8</v>
      </c>
      <c r="S949">
        <v>5</v>
      </c>
      <c r="T949">
        <v>2002</v>
      </c>
      <c r="U949">
        <v>2003</v>
      </c>
      <c r="V949" t="s">
        <v>151</v>
      </c>
      <c r="W949" t="s">
        <v>93</v>
      </c>
      <c r="X949" t="s">
        <v>94</v>
      </c>
      <c r="Y949" t="s">
        <v>94</v>
      </c>
      <c r="Z949" t="s">
        <v>95</v>
      </c>
      <c r="AA949">
        <v>236</v>
      </c>
      <c r="AB949" t="s">
        <v>96</v>
      </c>
      <c r="AC949" t="s">
        <v>97</v>
      </c>
      <c r="AD949" t="s">
        <v>98</v>
      </c>
      <c r="AE949" t="s">
        <v>96</v>
      </c>
      <c r="AF949" t="s">
        <v>97</v>
      </c>
      <c r="AG949" t="s">
        <v>129</v>
      </c>
      <c r="AH949" t="s">
        <v>100</v>
      </c>
      <c r="AI949">
        <v>1300</v>
      </c>
      <c r="AJ949" t="s">
        <v>101</v>
      </c>
      <c r="AK949">
        <v>0</v>
      </c>
      <c r="AL949">
        <v>316</v>
      </c>
      <c r="AM949">
        <v>1616</v>
      </c>
      <c r="AN949" t="s">
        <v>102</v>
      </c>
      <c r="AO949" t="s">
        <v>103</v>
      </c>
      <c r="AP949" t="s">
        <v>104</v>
      </c>
      <c r="AQ949" t="s">
        <v>105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96</v>
      </c>
      <c r="BC949">
        <v>9</v>
      </c>
      <c r="BD949" t="s">
        <v>106</v>
      </c>
      <c r="BE949">
        <v>1</v>
      </c>
      <c r="BF949" t="s">
        <v>96</v>
      </c>
      <c r="BG949" t="s">
        <v>107</v>
      </c>
      <c r="BH949">
        <v>2002</v>
      </c>
      <c r="BI949" t="s">
        <v>156</v>
      </c>
      <c r="BJ949">
        <v>3</v>
      </c>
      <c r="BK949">
        <v>808</v>
      </c>
      <c r="BL949" t="s">
        <v>97</v>
      </c>
      <c r="BM949" t="s">
        <v>97</v>
      </c>
      <c r="BN949" t="s">
        <v>104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X949">
        <v>0</v>
      </c>
      <c r="BY949">
        <v>11</v>
      </c>
      <c r="BZ949">
        <v>2007</v>
      </c>
      <c r="CA949" t="s">
        <v>109</v>
      </c>
      <c r="CB949" t="s">
        <v>110</v>
      </c>
      <c r="CC949">
        <v>270000</v>
      </c>
    </row>
    <row r="950" spans="1:81" x14ac:dyDescent="0.3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H950" t="s">
        <v>119</v>
      </c>
      <c r="I950" t="s">
        <v>84</v>
      </c>
      <c r="J950" t="s">
        <v>85</v>
      </c>
      <c r="K950" t="s">
        <v>86</v>
      </c>
      <c r="L950" t="s">
        <v>87</v>
      </c>
      <c r="M950" t="s">
        <v>88</v>
      </c>
      <c r="N950" t="s">
        <v>89</v>
      </c>
      <c r="O950" t="s">
        <v>89</v>
      </c>
      <c r="P950" t="s">
        <v>90</v>
      </c>
      <c r="Q950" t="s">
        <v>91</v>
      </c>
      <c r="R950">
        <v>7</v>
      </c>
      <c r="S950">
        <v>5</v>
      </c>
      <c r="T950">
        <v>2002</v>
      </c>
      <c r="U950">
        <v>2002</v>
      </c>
      <c r="V950" t="s">
        <v>92</v>
      </c>
      <c r="W950" t="s">
        <v>93</v>
      </c>
      <c r="X950" t="s">
        <v>94</v>
      </c>
      <c r="Y950" t="s">
        <v>94</v>
      </c>
      <c r="Z950" t="s">
        <v>95</v>
      </c>
      <c r="AA950">
        <v>144</v>
      </c>
      <c r="AB950" t="s">
        <v>96</v>
      </c>
      <c r="AC950" t="s">
        <v>97</v>
      </c>
      <c r="AD950" t="s">
        <v>98</v>
      </c>
      <c r="AE950" t="s">
        <v>96</v>
      </c>
      <c r="AF950" t="s">
        <v>97</v>
      </c>
      <c r="AH950" t="s">
        <v>101</v>
      </c>
      <c r="AI950">
        <v>0</v>
      </c>
      <c r="AJ950" t="s">
        <v>101</v>
      </c>
      <c r="AK950">
        <v>0</v>
      </c>
      <c r="AL950">
        <v>936</v>
      </c>
      <c r="AM950">
        <v>936</v>
      </c>
      <c r="AN950" t="s">
        <v>102</v>
      </c>
      <c r="AO950" t="s">
        <v>103</v>
      </c>
      <c r="AP950" t="s">
        <v>104</v>
      </c>
      <c r="AQ950" t="s">
        <v>105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96</v>
      </c>
      <c r="BC950">
        <v>7</v>
      </c>
      <c r="BD950" t="s">
        <v>106</v>
      </c>
      <c r="BE950">
        <v>1</v>
      </c>
      <c r="BF950" t="s">
        <v>97</v>
      </c>
      <c r="BG950" t="s">
        <v>107</v>
      </c>
      <c r="BH950">
        <v>2002</v>
      </c>
      <c r="BI950" t="s">
        <v>108</v>
      </c>
      <c r="BJ950">
        <v>2</v>
      </c>
      <c r="BK950">
        <v>474</v>
      </c>
      <c r="BL950" t="s">
        <v>97</v>
      </c>
      <c r="BM950" t="s">
        <v>97</v>
      </c>
      <c r="BN950" t="s">
        <v>104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X950">
        <v>0</v>
      </c>
      <c r="BY950">
        <v>2</v>
      </c>
      <c r="BZ950">
        <v>2006</v>
      </c>
      <c r="CA950" t="s">
        <v>109</v>
      </c>
      <c r="CB950" t="s">
        <v>110</v>
      </c>
      <c r="CC950">
        <v>192500</v>
      </c>
    </row>
    <row r="951" spans="1:81" x14ac:dyDescent="0.3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H951" t="s">
        <v>83</v>
      </c>
      <c r="I951" t="s">
        <v>84</v>
      </c>
      <c r="J951" t="s">
        <v>85</v>
      </c>
      <c r="K951" t="s">
        <v>86</v>
      </c>
      <c r="L951" t="s">
        <v>87</v>
      </c>
      <c r="M951" t="s">
        <v>137</v>
      </c>
      <c r="N951" t="s">
        <v>89</v>
      </c>
      <c r="O951" t="s">
        <v>89</v>
      </c>
      <c r="P951" t="s">
        <v>90</v>
      </c>
      <c r="Q951" t="s">
        <v>114</v>
      </c>
      <c r="R951">
        <v>6</v>
      </c>
      <c r="S951">
        <v>7</v>
      </c>
      <c r="T951">
        <v>1972</v>
      </c>
      <c r="U951">
        <v>2006</v>
      </c>
      <c r="V951" t="s">
        <v>151</v>
      </c>
      <c r="W951" t="s">
        <v>93</v>
      </c>
      <c r="X951" t="s">
        <v>160</v>
      </c>
      <c r="Y951" t="s">
        <v>160</v>
      </c>
      <c r="Z951" t="s">
        <v>116</v>
      </c>
      <c r="AA951">
        <v>0</v>
      </c>
      <c r="AB951" t="s">
        <v>97</v>
      </c>
      <c r="AC951" t="s">
        <v>97</v>
      </c>
      <c r="AD951" t="s">
        <v>117</v>
      </c>
      <c r="AE951" t="s">
        <v>97</v>
      </c>
      <c r="AF951" t="s">
        <v>97</v>
      </c>
      <c r="AG951" t="s">
        <v>99</v>
      </c>
      <c r="AH951" t="s">
        <v>118</v>
      </c>
      <c r="AI951">
        <v>982</v>
      </c>
      <c r="AJ951" t="s">
        <v>101</v>
      </c>
      <c r="AK951">
        <v>0</v>
      </c>
      <c r="AL951">
        <v>179</v>
      </c>
      <c r="AM951">
        <v>1161</v>
      </c>
      <c r="AN951" t="s">
        <v>102</v>
      </c>
      <c r="AO951" t="s">
        <v>97</v>
      </c>
      <c r="AP951" t="s">
        <v>104</v>
      </c>
      <c r="AQ951" t="s">
        <v>105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96</v>
      </c>
      <c r="BC951">
        <v>5</v>
      </c>
      <c r="BD951" t="s">
        <v>106</v>
      </c>
      <c r="BE951">
        <v>1</v>
      </c>
      <c r="BF951" t="s">
        <v>97</v>
      </c>
      <c r="BG951" t="s">
        <v>107</v>
      </c>
      <c r="BH951">
        <v>1972</v>
      </c>
      <c r="BI951" t="s">
        <v>108</v>
      </c>
      <c r="BJ951">
        <v>2</v>
      </c>
      <c r="BK951">
        <v>676</v>
      </c>
      <c r="BL951" t="s">
        <v>97</v>
      </c>
      <c r="BM951" t="s">
        <v>97</v>
      </c>
      <c r="BN951" t="s">
        <v>104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X951">
        <v>0</v>
      </c>
      <c r="BY951">
        <v>3</v>
      </c>
      <c r="BZ951">
        <v>2010</v>
      </c>
      <c r="CA951" t="s">
        <v>109</v>
      </c>
      <c r="CB951" t="s">
        <v>110</v>
      </c>
      <c r="CC951">
        <v>197500</v>
      </c>
    </row>
    <row r="952" spans="1:81" x14ac:dyDescent="0.3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H952" t="s">
        <v>83</v>
      </c>
      <c r="I952" t="s">
        <v>84</v>
      </c>
      <c r="J952" t="s">
        <v>85</v>
      </c>
      <c r="K952" t="s">
        <v>86</v>
      </c>
      <c r="L952" t="s">
        <v>87</v>
      </c>
      <c r="M952" t="s">
        <v>270</v>
      </c>
      <c r="N952" t="s">
        <v>89</v>
      </c>
      <c r="O952" t="s">
        <v>89</v>
      </c>
      <c r="P952" t="s">
        <v>90</v>
      </c>
      <c r="Q952" t="s">
        <v>114</v>
      </c>
      <c r="R952">
        <v>5</v>
      </c>
      <c r="S952">
        <v>8</v>
      </c>
      <c r="T952">
        <v>1950</v>
      </c>
      <c r="U952">
        <v>2002</v>
      </c>
      <c r="V952" t="s">
        <v>92</v>
      </c>
      <c r="W952" t="s">
        <v>93</v>
      </c>
      <c r="X952" t="s">
        <v>94</v>
      </c>
      <c r="Y952" t="s">
        <v>94</v>
      </c>
      <c r="Z952" t="s">
        <v>116</v>
      </c>
      <c r="AA952">
        <v>0</v>
      </c>
      <c r="AB952" t="s">
        <v>97</v>
      </c>
      <c r="AC952" t="s">
        <v>97</v>
      </c>
      <c r="AD952" t="s">
        <v>117</v>
      </c>
      <c r="AE952" t="s">
        <v>97</v>
      </c>
      <c r="AF952" t="s">
        <v>97</v>
      </c>
      <c r="AG952" t="s">
        <v>99</v>
      </c>
      <c r="AH952" t="s">
        <v>118</v>
      </c>
      <c r="AI952">
        <v>398</v>
      </c>
      <c r="AJ952" t="s">
        <v>140</v>
      </c>
      <c r="AK952">
        <v>149</v>
      </c>
      <c r="AL952">
        <v>317</v>
      </c>
      <c r="AM952">
        <v>864</v>
      </c>
      <c r="AN952" t="s">
        <v>102</v>
      </c>
      <c r="AO952" t="s">
        <v>96</v>
      </c>
      <c r="AP952" t="s">
        <v>104</v>
      </c>
      <c r="AQ952" t="s">
        <v>105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96</v>
      </c>
      <c r="BC952">
        <v>5</v>
      </c>
      <c r="BD952" t="s">
        <v>106</v>
      </c>
      <c r="BE952">
        <v>0</v>
      </c>
      <c r="BG952" t="s">
        <v>126</v>
      </c>
      <c r="BH952">
        <v>1980</v>
      </c>
      <c r="BI952" t="s">
        <v>108</v>
      </c>
      <c r="BJ952">
        <v>2</v>
      </c>
      <c r="BK952">
        <v>720</v>
      </c>
      <c r="BL952" t="s">
        <v>97</v>
      </c>
      <c r="BM952" t="s">
        <v>97</v>
      </c>
      <c r="BN952" t="s">
        <v>104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X952">
        <v>0</v>
      </c>
      <c r="BY952">
        <v>7</v>
      </c>
      <c r="BZ952">
        <v>2007</v>
      </c>
      <c r="CA952" t="s">
        <v>109</v>
      </c>
      <c r="CB952" t="s">
        <v>110</v>
      </c>
      <c r="CC952">
        <v>129000</v>
      </c>
    </row>
    <row r="953" spans="1:81" x14ac:dyDescent="0.3">
      <c r="A953">
        <v>952</v>
      </c>
      <c r="B953">
        <v>20</v>
      </c>
      <c r="C953" t="s">
        <v>238</v>
      </c>
      <c r="D953">
        <v>60</v>
      </c>
      <c r="E953">
        <v>7800</v>
      </c>
      <c r="F953" t="s">
        <v>82</v>
      </c>
      <c r="H953" t="s">
        <v>83</v>
      </c>
      <c r="I953" t="s">
        <v>84</v>
      </c>
      <c r="J953" t="s">
        <v>85</v>
      </c>
      <c r="K953" t="s">
        <v>121</v>
      </c>
      <c r="L953" t="s">
        <v>87</v>
      </c>
      <c r="M953" t="s">
        <v>169</v>
      </c>
      <c r="N953" t="s">
        <v>89</v>
      </c>
      <c r="O953" t="s">
        <v>89</v>
      </c>
      <c r="P953" t="s">
        <v>90</v>
      </c>
      <c r="Q953" t="s">
        <v>114</v>
      </c>
      <c r="R953">
        <v>5</v>
      </c>
      <c r="S953">
        <v>5</v>
      </c>
      <c r="T953">
        <v>1965</v>
      </c>
      <c r="U953">
        <v>1965</v>
      </c>
      <c r="V953" t="s">
        <v>92</v>
      </c>
      <c r="W953" t="s">
        <v>93</v>
      </c>
      <c r="X953" t="s">
        <v>94</v>
      </c>
      <c r="Y953" t="s">
        <v>94</v>
      </c>
      <c r="Z953" t="s">
        <v>116</v>
      </c>
      <c r="AA953">
        <v>0</v>
      </c>
      <c r="AB953" t="s">
        <v>97</v>
      </c>
      <c r="AC953" t="s">
        <v>97</v>
      </c>
      <c r="AD953" t="s">
        <v>117</v>
      </c>
      <c r="AE953" t="s">
        <v>97</v>
      </c>
      <c r="AF953" t="s">
        <v>97</v>
      </c>
      <c r="AG953" t="s">
        <v>99</v>
      </c>
      <c r="AH953" t="s">
        <v>140</v>
      </c>
      <c r="AI953">
        <v>641</v>
      </c>
      <c r="AJ953" t="s">
        <v>101</v>
      </c>
      <c r="AK953">
        <v>0</v>
      </c>
      <c r="AL953">
        <v>187</v>
      </c>
      <c r="AM953">
        <v>828</v>
      </c>
      <c r="AN953" t="s">
        <v>102</v>
      </c>
      <c r="AO953" t="s">
        <v>96</v>
      </c>
      <c r="AP953" t="s">
        <v>104</v>
      </c>
      <c r="AQ953" t="s">
        <v>105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97</v>
      </c>
      <c r="BC953">
        <v>6</v>
      </c>
      <c r="BD953" t="s">
        <v>106</v>
      </c>
      <c r="BE953">
        <v>0</v>
      </c>
      <c r="BG953" t="s">
        <v>126</v>
      </c>
      <c r="BH953">
        <v>1979</v>
      </c>
      <c r="BI953" t="s">
        <v>101</v>
      </c>
      <c r="BJ953">
        <v>1</v>
      </c>
      <c r="BK953">
        <v>300</v>
      </c>
      <c r="BL953" t="s">
        <v>97</v>
      </c>
      <c r="BM953" t="s">
        <v>97</v>
      </c>
      <c r="BN953" t="s">
        <v>104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V953" t="s">
        <v>133</v>
      </c>
      <c r="BX953">
        <v>0</v>
      </c>
      <c r="BY953">
        <v>7</v>
      </c>
      <c r="BZ953">
        <v>2006</v>
      </c>
      <c r="CA953" t="s">
        <v>109</v>
      </c>
      <c r="CB953" t="s">
        <v>127</v>
      </c>
      <c r="CC953">
        <v>119900</v>
      </c>
    </row>
    <row r="954" spans="1:81" x14ac:dyDescent="0.3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H954" t="s">
        <v>83</v>
      </c>
      <c r="I954" t="s">
        <v>84</v>
      </c>
      <c r="J954" t="s">
        <v>85</v>
      </c>
      <c r="K954" t="s">
        <v>86</v>
      </c>
      <c r="L954" t="s">
        <v>87</v>
      </c>
      <c r="M954" t="s">
        <v>88</v>
      </c>
      <c r="N954" t="s">
        <v>89</v>
      </c>
      <c r="O954" t="s">
        <v>89</v>
      </c>
      <c r="P954" t="s">
        <v>90</v>
      </c>
      <c r="Q954" t="s">
        <v>190</v>
      </c>
      <c r="R954">
        <v>5</v>
      </c>
      <c r="S954">
        <v>8</v>
      </c>
      <c r="T954">
        <v>1972</v>
      </c>
      <c r="U954">
        <v>2003</v>
      </c>
      <c r="V954" t="s">
        <v>92</v>
      </c>
      <c r="W954" t="s">
        <v>93</v>
      </c>
      <c r="X954" t="s">
        <v>154</v>
      </c>
      <c r="Y954" t="s">
        <v>139</v>
      </c>
      <c r="Z954" t="s">
        <v>116</v>
      </c>
      <c r="AA954">
        <v>0</v>
      </c>
      <c r="AB954" t="s">
        <v>97</v>
      </c>
      <c r="AC954" t="s">
        <v>96</v>
      </c>
      <c r="AD954" t="s">
        <v>117</v>
      </c>
      <c r="AE954" t="s">
        <v>96</v>
      </c>
      <c r="AF954" t="s">
        <v>97</v>
      </c>
      <c r="AG954" t="s">
        <v>129</v>
      </c>
      <c r="AH954" t="s">
        <v>100</v>
      </c>
      <c r="AI954">
        <v>660</v>
      </c>
      <c r="AJ954" t="s">
        <v>101</v>
      </c>
      <c r="AK954">
        <v>0</v>
      </c>
      <c r="AL954">
        <v>108</v>
      </c>
      <c r="AM954">
        <v>768</v>
      </c>
      <c r="AN954" t="s">
        <v>102</v>
      </c>
      <c r="AO954" t="s">
        <v>96</v>
      </c>
      <c r="AP954" t="s">
        <v>104</v>
      </c>
      <c r="AQ954" t="s">
        <v>105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97</v>
      </c>
      <c r="BC954">
        <v>5</v>
      </c>
      <c r="BD954" t="s">
        <v>106</v>
      </c>
      <c r="BE954">
        <v>0</v>
      </c>
      <c r="BG954" t="s">
        <v>126</v>
      </c>
      <c r="BH954">
        <v>1974</v>
      </c>
      <c r="BI954" t="s">
        <v>156</v>
      </c>
      <c r="BJ954">
        <v>1</v>
      </c>
      <c r="BK954">
        <v>396</v>
      </c>
      <c r="BL954" t="s">
        <v>97</v>
      </c>
      <c r="BM954" t="s">
        <v>97</v>
      </c>
      <c r="BN954" t="s">
        <v>104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V954" t="s">
        <v>133</v>
      </c>
      <c r="BX954">
        <v>0</v>
      </c>
      <c r="BY954">
        <v>4</v>
      </c>
      <c r="BZ954">
        <v>2009</v>
      </c>
      <c r="CA954" t="s">
        <v>109</v>
      </c>
      <c r="CB954" t="s">
        <v>110</v>
      </c>
      <c r="CC954">
        <v>133900</v>
      </c>
    </row>
    <row r="955" spans="1:81" x14ac:dyDescent="0.3">
      <c r="A955">
        <v>954</v>
      </c>
      <c r="B955">
        <v>60</v>
      </c>
      <c r="C955" t="s">
        <v>81</v>
      </c>
      <c r="E955">
        <v>11075</v>
      </c>
      <c r="F955" t="s">
        <v>82</v>
      </c>
      <c r="H955" t="s">
        <v>119</v>
      </c>
      <c r="I955" t="s">
        <v>84</v>
      </c>
      <c r="J955" t="s">
        <v>85</v>
      </c>
      <c r="K955" t="s">
        <v>86</v>
      </c>
      <c r="L955" t="s">
        <v>193</v>
      </c>
      <c r="M955" t="s">
        <v>130</v>
      </c>
      <c r="N955" t="s">
        <v>89</v>
      </c>
      <c r="O955" t="s">
        <v>89</v>
      </c>
      <c r="P955" t="s">
        <v>90</v>
      </c>
      <c r="Q955" t="s">
        <v>91</v>
      </c>
      <c r="R955">
        <v>5</v>
      </c>
      <c r="S955">
        <v>4</v>
      </c>
      <c r="T955">
        <v>1969</v>
      </c>
      <c r="U955">
        <v>1969</v>
      </c>
      <c r="V955" t="s">
        <v>92</v>
      </c>
      <c r="W955" t="s">
        <v>93</v>
      </c>
      <c r="X955" t="s">
        <v>139</v>
      </c>
      <c r="Y955" t="s">
        <v>139</v>
      </c>
      <c r="Z955" t="s">
        <v>95</v>
      </c>
      <c r="AA955">
        <v>232</v>
      </c>
      <c r="AB955" t="s">
        <v>97</v>
      </c>
      <c r="AC955" t="s">
        <v>97</v>
      </c>
      <c r="AD955" t="s">
        <v>117</v>
      </c>
      <c r="AE955" t="s">
        <v>97</v>
      </c>
      <c r="AF955" t="s">
        <v>97</v>
      </c>
      <c r="AG955" t="s">
        <v>129</v>
      </c>
      <c r="AH955" t="s">
        <v>118</v>
      </c>
      <c r="AI955">
        <v>562</v>
      </c>
      <c r="AJ955" t="s">
        <v>171</v>
      </c>
      <c r="AK955">
        <v>193</v>
      </c>
      <c r="AL955">
        <v>29</v>
      </c>
      <c r="AM955">
        <v>784</v>
      </c>
      <c r="AN955" t="s">
        <v>102</v>
      </c>
      <c r="AO955" t="s">
        <v>103</v>
      </c>
      <c r="AP955" t="s">
        <v>104</v>
      </c>
      <c r="AQ955" t="s">
        <v>105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97</v>
      </c>
      <c r="BC955">
        <v>7</v>
      </c>
      <c r="BD955" t="s">
        <v>223</v>
      </c>
      <c r="BE955">
        <v>1</v>
      </c>
      <c r="BF955" t="s">
        <v>211</v>
      </c>
      <c r="BG955" t="s">
        <v>107</v>
      </c>
      <c r="BH955">
        <v>1969</v>
      </c>
      <c r="BI955" t="s">
        <v>108</v>
      </c>
      <c r="BJ955">
        <v>2</v>
      </c>
      <c r="BK955">
        <v>530</v>
      </c>
      <c r="BL955" t="s">
        <v>97</v>
      </c>
      <c r="BM955" t="s">
        <v>97</v>
      </c>
      <c r="BN955" t="s">
        <v>104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V955" t="s">
        <v>133</v>
      </c>
      <c r="BW955" t="s">
        <v>134</v>
      </c>
      <c r="BX955">
        <v>400</v>
      </c>
      <c r="BY955">
        <v>9</v>
      </c>
      <c r="BZ955">
        <v>2008</v>
      </c>
      <c r="CA955" t="s">
        <v>109</v>
      </c>
      <c r="CB955" t="s">
        <v>110</v>
      </c>
      <c r="CC955">
        <v>172000</v>
      </c>
    </row>
    <row r="956" spans="1:81" x14ac:dyDescent="0.3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H956" t="s">
        <v>119</v>
      </c>
      <c r="I956" t="s">
        <v>84</v>
      </c>
      <c r="J956" t="s">
        <v>85</v>
      </c>
      <c r="K956" t="s">
        <v>165</v>
      </c>
      <c r="L956" t="s">
        <v>87</v>
      </c>
      <c r="M956" t="s">
        <v>184</v>
      </c>
      <c r="N956" t="s">
        <v>89</v>
      </c>
      <c r="O956" t="s">
        <v>89</v>
      </c>
      <c r="P956" t="s">
        <v>166</v>
      </c>
      <c r="Q956" t="s">
        <v>190</v>
      </c>
      <c r="R956">
        <v>6</v>
      </c>
      <c r="S956">
        <v>5</v>
      </c>
      <c r="T956">
        <v>1975</v>
      </c>
      <c r="U956">
        <v>1975</v>
      </c>
      <c r="V956" t="s">
        <v>213</v>
      </c>
      <c r="W956" t="s">
        <v>241</v>
      </c>
      <c r="X956" t="s">
        <v>154</v>
      </c>
      <c r="Y956" t="s">
        <v>160</v>
      </c>
      <c r="Z956" t="s">
        <v>95</v>
      </c>
      <c r="AA956">
        <v>250</v>
      </c>
      <c r="AB956" t="s">
        <v>97</v>
      </c>
      <c r="AC956" t="s">
        <v>97</v>
      </c>
      <c r="AD956" t="s">
        <v>117</v>
      </c>
      <c r="AE956" t="s">
        <v>96</v>
      </c>
      <c r="AF956" t="s">
        <v>96</v>
      </c>
      <c r="AG956" t="s">
        <v>96</v>
      </c>
      <c r="AH956" t="s">
        <v>100</v>
      </c>
      <c r="AI956">
        <v>945</v>
      </c>
      <c r="AJ956" t="s">
        <v>101</v>
      </c>
      <c r="AK956">
        <v>0</v>
      </c>
      <c r="AL956">
        <v>0</v>
      </c>
      <c r="AM956">
        <v>945</v>
      </c>
      <c r="AN956" t="s">
        <v>102</v>
      </c>
      <c r="AO956" t="s">
        <v>97</v>
      </c>
      <c r="AP956" t="s">
        <v>104</v>
      </c>
      <c r="AQ956" t="s">
        <v>105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97</v>
      </c>
      <c r="BC956">
        <v>4</v>
      </c>
      <c r="BD956" t="s">
        <v>106</v>
      </c>
      <c r="BE956">
        <v>0</v>
      </c>
      <c r="BJ956">
        <v>0</v>
      </c>
      <c r="BK956">
        <v>0</v>
      </c>
      <c r="BN956" t="s">
        <v>104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X956">
        <v>0</v>
      </c>
      <c r="BY956">
        <v>10</v>
      </c>
      <c r="BZ956">
        <v>2006</v>
      </c>
      <c r="CA956" t="s">
        <v>109</v>
      </c>
      <c r="CB956" t="s">
        <v>187</v>
      </c>
      <c r="CC956">
        <v>127500</v>
      </c>
    </row>
    <row r="957" spans="1:81" x14ac:dyDescent="0.3">
      <c r="A957">
        <v>956</v>
      </c>
      <c r="B957">
        <v>90</v>
      </c>
      <c r="C957" t="s">
        <v>238</v>
      </c>
      <c r="D957">
        <v>82</v>
      </c>
      <c r="E957">
        <v>7136</v>
      </c>
      <c r="F957" t="s">
        <v>82</v>
      </c>
      <c r="H957" t="s">
        <v>119</v>
      </c>
      <c r="I957" t="s">
        <v>198</v>
      </c>
      <c r="J957" t="s">
        <v>85</v>
      </c>
      <c r="K957" t="s">
        <v>86</v>
      </c>
      <c r="L957" t="s">
        <v>87</v>
      </c>
      <c r="M957" t="s">
        <v>122</v>
      </c>
      <c r="N957" t="s">
        <v>89</v>
      </c>
      <c r="O957" t="s">
        <v>89</v>
      </c>
      <c r="P957" t="s">
        <v>166</v>
      </c>
      <c r="Q957" t="s">
        <v>91</v>
      </c>
      <c r="R957">
        <v>6</v>
      </c>
      <c r="S957">
        <v>6</v>
      </c>
      <c r="T957">
        <v>1946</v>
      </c>
      <c r="U957">
        <v>1950</v>
      </c>
      <c r="V957" t="s">
        <v>92</v>
      </c>
      <c r="W957" t="s">
        <v>93</v>
      </c>
      <c r="X957" t="s">
        <v>115</v>
      </c>
      <c r="Y957" t="s">
        <v>115</v>
      </c>
      <c r="Z957" t="s">
        <v>95</v>
      </c>
      <c r="AA957">
        <v>423</v>
      </c>
      <c r="AB957" t="s">
        <v>97</v>
      </c>
      <c r="AC957" t="s">
        <v>97</v>
      </c>
      <c r="AD957" t="s">
        <v>117</v>
      </c>
      <c r="AE957" t="s">
        <v>96</v>
      </c>
      <c r="AF957" t="s">
        <v>97</v>
      </c>
      <c r="AG957" t="s">
        <v>99</v>
      </c>
      <c r="AH957" t="s">
        <v>152</v>
      </c>
      <c r="AI957">
        <v>484</v>
      </c>
      <c r="AJ957" t="s">
        <v>101</v>
      </c>
      <c r="AK957">
        <v>0</v>
      </c>
      <c r="AL957">
        <v>495</v>
      </c>
      <c r="AM957">
        <v>979</v>
      </c>
      <c r="AN957" t="s">
        <v>102</v>
      </c>
      <c r="AO957" t="s">
        <v>97</v>
      </c>
      <c r="AP957" t="s">
        <v>176</v>
      </c>
      <c r="AQ957" t="s">
        <v>144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97</v>
      </c>
      <c r="BC957">
        <v>8</v>
      </c>
      <c r="BD957" t="s">
        <v>106</v>
      </c>
      <c r="BE957">
        <v>0</v>
      </c>
      <c r="BG957" t="s">
        <v>107</v>
      </c>
      <c r="BH957">
        <v>1946</v>
      </c>
      <c r="BI957" t="s">
        <v>101</v>
      </c>
      <c r="BJ957">
        <v>2</v>
      </c>
      <c r="BK957">
        <v>492</v>
      </c>
      <c r="BL957" t="s">
        <v>97</v>
      </c>
      <c r="BM957" t="s">
        <v>97</v>
      </c>
      <c r="BN957" t="s">
        <v>104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X957">
        <v>0</v>
      </c>
      <c r="BY957">
        <v>8</v>
      </c>
      <c r="BZ957">
        <v>2007</v>
      </c>
      <c r="CA957" t="s">
        <v>109</v>
      </c>
      <c r="CB957" t="s">
        <v>110</v>
      </c>
      <c r="CC957">
        <v>145000</v>
      </c>
    </row>
    <row r="958" spans="1:81" x14ac:dyDescent="0.3">
      <c r="A958">
        <v>957</v>
      </c>
      <c r="B958">
        <v>160</v>
      </c>
      <c r="C958" t="s">
        <v>141</v>
      </c>
      <c r="D958">
        <v>24</v>
      </c>
      <c r="E958">
        <v>1300</v>
      </c>
      <c r="F958" t="s">
        <v>82</v>
      </c>
      <c r="H958" t="s">
        <v>83</v>
      </c>
      <c r="I958" t="s">
        <v>84</v>
      </c>
      <c r="J958" t="s">
        <v>85</v>
      </c>
      <c r="K958" t="s">
        <v>86</v>
      </c>
      <c r="L958" t="s">
        <v>87</v>
      </c>
      <c r="M958" t="s">
        <v>246</v>
      </c>
      <c r="N958" t="s">
        <v>89</v>
      </c>
      <c r="O958" t="s">
        <v>89</v>
      </c>
      <c r="P958" t="s">
        <v>178</v>
      </c>
      <c r="Q958" t="s">
        <v>91</v>
      </c>
      <c r="R958">
        <v>6</v>
      </c>
      <c r="S958">
        <v>6</v>
      </c>
      <c r="T958">
        <v>1980</v>
      </c>
      <c r="U958">
        <v>1980</v>
      </c>
      <c r="V958" t="s">
        <v>92</v>
      </c>
      <c r="W958" t="s">
        <v>93</v>
      </c>
      <c r="X958" t="s">
        <v>115</v>
      </c>
      <c r="Y958" t="s">
        <v>115</v>
      </c>
      <c r="Z958" t="s">
        <v>116</v>
      </c>
      <c r="AA958">
        <v>0</v>
      </c>
      <c r="AB958" t="s">
        <v>97</v>
      </c>
      <c r="AC958" t="s">
        <v>97</v>
      </c>
      <c r="AD958" t="s">
        <v>117</v>
      </c>
      <c r="AE958" t="s">
        <v>96</v>
      </c>
      <c r="AF958" t="s">
        <v>97</v>
      </c>
      <c r="AG958" t="s">
        <v>99</v>
      </c>
      <c r="AH958" t="s">
        <v>118</v>
      </c>
      <c r="AI958">
        <v>285</v>
      </c>
      <c r="AJ958" t="s">
        <v>101</v>
      </c>
      <c r="AK958">
        <v>0</v>
      </c>
      <c r="AL958">
        <v>276</v>
      </c>
      <c r="AM958">
        <v>561</v>
      </c>
      <c r="AN958" t="s">
        <v>102</v>
      </c>
      <c r="AO958" t="s">
        <v>97</v>
      </c>
      <c r="AP958" t="s">
        <v>104</v>
      </c>
      <c r="AQ958" t="s">
        <v>105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97</v>
      </c>
      <c r="BC958">
        <v>5</v>
      </c>
      <c r="BD958" t="s">
        <v>106</v>
      </c>
      <c r="BE958">
        <v>1</v>
      </c>
      <c r="BF958" t="s">
        <v>97</v>
      </c>
      <c r="BG958" t="s">
        <v>107</v>
      </c>
      <c r="BH958">
        <v>1980</v>
      </c>
      <c r="BI958" t="s">
        <v>156</v>
      </c>
      <c r="BJ958">
        <v>2</v>
      </c>
      <c r="BK958">
        <v>462</v>
      </c>
      <c r="BL958" t="s">
        <v>97</v>
      </c>
      <c r="BM958" t="s">
        <v>97</v>
      </c>
      <c r="BN958" t="s">
        <v>104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V958" t="s">
        <v>164</v>
      </c>
      <c r="BX958">
        <v>0</v>
      </c>
      <c r="BY958">
        <v>5</v>
      </c>
      <c r="BZ958">
        <v>2009</v>
      </c>
      <c r="CA958" t="s">
        <v>109</v>
      </c>
      <c r="CB958" t="s">
        <v>110</v>
      </c>
      <c r="CC958">
        <v>124000</v>
      </c>
    </row>
    <row r="959" spans="1:81" x14ac:dyDescent="0.3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H959" t="s">
        <v>83</v>
      </c>
      <c r="I959" t="s">
        <v>84</v>
      </c>
      <c r="J959" t="s">
        <v>85</v>
      </c>
      <c r="K959" t="s">
        <v>86</v>
      </c>
      <c r="L959" t="s">
        <v>87</v>
      </c>
      <c r="M959" t="s">
        <v>150</v>
      </c>
      <c r="N959" t="s">
        <v>89</v>
      </c>
      <c r="O959" t="s">
        <v>89</v>
      </c>
      <c r="P959" t="s">
        <v>90</v>
      </c>
      <c r="Q959" t="s">
        <v>114</v>
      </c>
      <c r="R959">
        <v>5</v>
      </c>
      <c r="S959">
        <v>5</v>
      </c>
      <c r="T959">
        <v>1962</v>
      </c>
      <c r="U959">
        <v>1962</v>
      </c>
      <c r="V959" t="s">
        <v>151</v>
      </c>
      <c r="W959" t="s">
        <v>93</v>
      </c>
      <c r="X959" t="s">
        <v>115</v>
      </c>
      <c r="Y959" t="s">
        <v>115</v>
      </c>
      <c r="Z959" t="s">
        <v>116</v>
      </c>
      <c r="AA959">
        <v>0</v>
      </c>
      <c r="AB959" t="s">
        <v>97</v>
      </c>
      <c r="AC959" t="s">
        <v>97</v>
      </c>
      <c r="AD959" t="s">
        <v>117</v>
      </c>
      <c r="AE959" t="s">
        <v>97</v>
      </c>
      <c r="AF959" t="s">
        <v>97</v>
      </c>
      <c r="AG959" t="s">
        <v>99</v>
      </c>
      <c r="AH959" t="s">
        <v>152</v>
      </c>
      <c r="AI959">
        <v>417</v>
      </c>
      <c r="AJ959" t="s">
        <v>101</v>
      </c>
      <c r="AK959">
        <v>0</v>
      </c>
      <c r="AL959">
        <v>640</v>
      </c>
      <c r="AM959">
        <v>1057</v>
      </c>
      <c r="AN959" t="s">
        <v>102</v>
      </c>
      <c r="AO959" t="s">
        <v>97</v>
      </c>
      <c r="AP959" t="s">
        <v>104</v>
      </c>
      <c r="AQ959" t="s">
        <v>105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97</v>
      </c>
      <c r="BC959">
        <v>6</v>
      </c>
      <c r="BD959" t="s">
        <v>106</v>
      </c>
      <c r="BE959">
        <v>0</v>
      </c>
      <c r="BG959" t="s">
        <v>126</v>
      </c>
      <c r="BH959">
        <v>1977</v>
      </c>
      <c r="BI959" t="s">
        <v>156</v>
      </c>
      <c r="BJ959">
        <v>2</v>
      </c>
      <c r="BK959">
        <v>576</v>
      </c>
      <c r="BL959" t="s">
        <v>97</v>
      </c>
      <c r="BM959" t="s">
        <v>97</v>
      </c>
      <c r="BN959" t="s">
        <v>104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X959">
        <v>0</v>
      </c>
      <c r="BY959">
        <v>4</v>
      </c>
      <c r="BZ959">
        <v>2007</v>
      </c>
      <c r="CA959" t="s">
        <v>109</v>
      </c>
      <c r="CB959" t="s">
        <v>110</v>
      </c>
      <c r="CC959">
        <v>132000</v>
      </c>
    </row>
    <row r="960" spans="1:81" x14ac:dyDescent="0.3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H960" t="s">
        <v>83</v>
      </c>
      <c r="I960" t="s">
        <v>84</v>
      </c>
      <c r="J960" t="s">
        <v>85</v>
      </c>
      <c r="K960" t="s">
        <v>86</v>
      </c>
      <c r="L960" t="s">
        <v>87</v>
      </c>
      <c r="M960" t="s">
        <v>88</v>
      </c>
      <c r="N960" t="s">
        <v>89</v>
      </c>
      <c r="O960" t="s">
        <v>89</v>
      </c>
      <c r="P960" t="s">
        <v>90</v>
      </c>
      <c r="Q960" t="s">
        <v>114</v>
      </c>
      <c r="R960">
        <v>7</v>
      </c>
      <c r="S960">
        <v>5</v>
      </c>
      <c r="T960">
        <v>2003</v>
      </c>
      <c r="U960">
        <v>2003</v>
      </c>
      <c r="V960" t="s">
        <v>92</v>
      </c>
      <c r="W960" t="s">
        <v>93</v>
      </c>
      <c r="X960" t="s">
        <v>94</v>
      </c>
      <c r="Y960" t="s">
        <v>94</v>
      </c>
      <c r="Z960" t="s">
        <v>116</v>
      </c>
      <c r="AA960">
        <v>0</v>
      </c>
      <c r="AB960" t="s">
        <v>96</v>
      </c>
      <c r="AC960" t="s">
        <v>97</v>
      </c>
      <c r="AD960" t="s">
        <v>98</v>
      </c>
      <c r="AE960" t="s">
        <v>96</v>
      </c>
      <c r="AF960" t="s">
        <v>97</v>
      </c>
      <c r="AG960" t="s">
        <v>120</v>
      </c>
      <c r="AH960" t="s">
        <v>100</v>
      </c>
      <c r="AI960">
        <v>699</v>
      </c>
      <c r="AJ960" t="s">
        <v>101</v>
      </c>
      <c r="AK960">
        <v>0</v>
      </c>
      <c r="AL960">
        <v>638</v>
      </c>
      <c r="AM960">
        <v>1337</v>
      </c>
      <c r="AN960" t="s">
        <v>102</v>
      </c>
      <c r="AO960" t="s">
        <v>103</v>
      </c>
      <c r="AP960" t="s">
        <v>104</v>
      </c>
      <c r="AQ960" t="s">
        <v>105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96</v>
      </c>
      <c r="BC960">
        <v>6</v>
      </c>
      <c r="BD960" t="s">
        <v>106</v>
      </c>
      <c r="BE960">
        <v>0</v>
      </c>
      <c r="BG960" t="s">
        <v>107</v>
      </c>
      <c r="BH960">
        <v>2003</v>
      </c>
      <c r="BI960" t="s">
        <v>108</v>
      </c>
      <c r="BJ960">
        <v>2</v>
      </c>
      <c r="BK960">
        <v>531</v>
      </c>
      <c r="BL960" t="s">
        <v>97</v>
      </c>
      <c r="BM960" t="s">
        <v>97</v>
      </c>
      <c r="BN960" t="s">
        <v>104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X960">
        <v>0</v>
      </c>
      <c r="BY960">
        <v>10</v>
      </c>
      <c r="BZ960">
        <v>2007</v>
      </c>
      <c r="CA960" t="s">
        <v>109</v>
      </c>
      <c r="CB960" t="s">
        <v>110</v>
      </c>
      <c r="CC960">
        <v>185000</v>
      </c>
    </row>
    <row r="961" spans="1:81" x14ac:dyDescent="0.3">
      <c r="A961">
        <v>960</v>
      </c>
      <c r="B961">
        <v>160</v>
      </c>
      <c r="C961" t="s">
        <v>191</v>
      </c>
      <c r="D961">
        <v>24</v>
      </c>
      <c r="E961">
        <v>2572</v>
      </c>
      <c r="F961" t="s">
        <v>82</v>
      </c>
      <c r="H961" t="s">
        <v>83</v>
      </c>
      <c r="I961" t="s">
        <v>84</v>
      </c>
      <c r="J961" t="s">
        <v>85</v>
      </c>
      <c r="K961" t="s">
        <v>111</v>
      </c>
      <c r="L961" t="s">
        <v>87</v>
      </c>
      <c r="M961" t="s">
        <v>135</v>
      </c>
      <c r="N961" t="s">
        <v>89</v>
      </c>
      <c r="O961" t="s">
        <v>89</v>
      </c>
      <c r="P961" t="s">
        <v>197</v>
      </c>
      <c r="Q961" t="s">
        <v>91</v>
      </c>
      <c r="R961">
        <v>7</v>
      </c>
      <c r="S961">
        <v>5</v>
      </c>
      <c r="T961">
        <v>1999</v>
      </c>
      <c r="U961">
        <v>1999</v>
      </c>
      <c r="V961" t="s">
        <v>151</v>
      </c>
      <c r="W961" t="s">
        <v>93</v>
      </c>
      <c r="X961" t="s">
        <v>115</v>
      </c>
      <c r="Y961" t="s">
        <v>115</v>
      </c>
      <c r="Z961" t="s">
        <v>116</v>
      </c>
      <c r="AA961">
        <v>0</v>
      </c>
      <c r="AB961" t="s">
        <v>96</v>
      </c>
      <c r="AC961" t="s">
        <v>97</v>
      </c>
      <c r="AD961" t="s">
        <v>98</v>
      </c>
      <c r="AE961" t="s">
        <v>96</v>
      </c>
      <c r="AF961" t="s">
        <v>97</v>
      </c>
      <c r="AG961" t="s">
        <v>99</v>
      </c>
      <c r="AH961" t="s">
        <v>118</v>
      </c>
      <c r="AI961">
        <v>604</v>
      </c>
      <c r="AJ961" t="s">
        <v>101</v>
      </c>
      <c r="AK961">
        <v>0</v>
      </c>
      <c r="AL961">
        <v>92</v>
      </c>
      <c r="AM961">
        <v>696</v>
      </c>
      <c r="AN961" t="s">
        <v>102</v>
      </c>
      <c r="AO961" t="s">
        <v>103</v>
      </c>
      <c r="AP961" t="s">
        <v>104</v>
      </c>
      <c r="AQ961" t="s">
        <v>105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96</v>
      </c>
      <c r="BC961">
        <v>6</v>
      </c>
      <c r="BD961" t="s">
        <v>106</v>
      </c>
      <c r="BE961">
        <v>0</v>
      </c>
      <c r="BG961" t="s">
        <v>126</v>
      </c>
      <c r="BH961">
        <v>1999</v>
      </c>
      <c r="BI961" t="s">
        <v>101</v>
      </c>
      <c r="BJ961">
        <v>2</v>
      </c>
      <c r="BK961">
        <v>484</v>
      </c>
      <c r="BL961" t="s">
        <v>97</v>
      </c>
      <c r="BM961" t="s">
        <v>97</v>
      </c>
      <c r="BN961" t="s">
        <v>104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X961">
        <v>0</v>
      </c>
      <c r="BY961">
        <v>5</v>
      </c>
      <c r="BZ961">
        <v>2010</v>
      </c>
      <c r="CA961" t="s">
        <v>109</v>
      </c>
      <c r="CB961" t="s">
        <v>110</v>
      </c>
      <c r="CC961">
        <v>155000</v>
      </c>
    </row>
    <row r="962" spans="1:81" x14ac:dyDescent="0.3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H962" t="s">
        <v>119</v>
      </c>
      <c r="I962" t="s">
        <v>84</v>
      </c>
      <c r="J962" t="s">
        <v>85</v>
      </c>
      <c r="K962" t="s">
        <v>86</v>
      </c>
      <c r="L962" t="s">
        <v>87</v>
      </c>
      <c r="M962" t="s">
        <v>147</v>
      </c>
      <c r="N962" t="s">
        <v>89</v>
      </c>
      <c r="O962" t="s">
        <v>89</v>
      </c>
      <c r="P962" t="s">
        <v>90</v>
      </c>
      <c r="Q962" t="s">
        <v>114</v>
      </c>
      <c r="R962">
        <v>5</v>
      </c>
      <c r="S962">
        <v>7</v>
      </c>
      <c r="T962">
        <v>1958</v>
      </c>
      <c r="U962">
        <v>2008</v>
      </c>
      <c r="V962" t="s">
        <v>92</v>
      </c>
      <c r="W962" t="s">
        <v>93</v>
      </c>
      <c r="X962" t="s">
        <v>123</v>
      </c>
      <c r="Y962" t="s">
        <v>160</v>
      </c>
      <c r="Z962" t="s">
        <v>116</v>
      </c>
      <c r="AA962">
        <v>0</v>
      </c>
      <c r="AB962" t="s">
        <v>97</v>
      </c>
      <c r="AC962" t="s">
        <v>96</v>
      </c>
      <c r="AD962" t="s">
        <v>117</v>
      </c>
      <c r="AE962" t="s">
        <v>97</v>
      </c>
      <c r="AF962" t="s">
        <v>97</v>
      </c>
      <c r="AG962" t="s">
        <v>96</v>
      </c>
      <c r="AH962" t="s">
        <v>140</v>
      </c>
      <c r="AI962">
        <v>696</v>
      </c>
      <c r="AJ962" t="s">
        <v>101</v>
      </c>
      <c r="AK962">
        <v>0</v>
      </c>
      <c r="AL962">
        <v>162</v>
      </c>
      <c r="AM962">
        <v>858</v>
      </c>
      <c r="AN962" t="s">
        <v>102</v>
      </c>
      <c r="AO962" t="s">
        <v>96</v>
      </c>
      <c r="AP962" t="s">
        <v>104</v>
      </c>
      <c r="AQ962" t="s">
        <v>105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97</v>
      </c>
      <c r="BC962">
        <v>4</v>
      </c>
      <c r="BD962" t="s">
        <v>106</v>
      </c>
      <c r="BE962">
        <v>0</v>
      </c>
      <c r="BJ962">
        <v>0</v>
      </c>
      <c r="BK962">
        <v>0</v>
      </c>
      <c r="BN962" t="s">
        <v>104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X962">
        <v>0</v>
      </c>
      <c r="BY962">
        <v>2</v>
      </c>
      <c r="BZ962">
        <v>2010</v>
      </c>
      <c r="CA962" t="s">
        <v>109</v>
      </c>
      <c r="CB962" t="s">
        <v>110</v>
      </c>
      <c r="CC962">
        <v>116500</v>
      </c>
    </row>
    <row r="963" spans="1:81" x14ac:dyDescent="0.3">
      <c r="A963">
        <v>962</v>
      </c>
      <c r="B963">
        <v>60</v>
      </c>
      <c r="C963" t="s">
        <v>81</v>
      </c>
      <c r="E963">
        <v>12227</v>
      </c>
      <c r="F963" t="s">
        <v>82</v>
      </c>
      <c r="H963" t="s">
        <v>119</v>
      </c>
      <c r="I963" t="s">
        <v>84</v>
      </c>
      <c r="J963" t="s">
        <v>85</v>
      </c>
      <c r="K963" t="s">
        <v>121</v>
      </c>
      <c r="L963" t="s">
        <v>87</v>
      </c>
      <c r="M963" t="s">
        <v>137</v>
      </c>
      <c r="N963" t="s">
        <v>138</v>
      </c>
      <c r="O963" t="s">
        <v>89</v>
      </c>
      <c r="P963" t="s">
        <v>90</v>
      </c>
      <c r="Q963" t="s">
        <v>91</v>
      </c>
      <c r="R963">
        <v>6</v>
      </c>
      <c r="S963">
        <v>7</v>
      </c>
      <c r="T963">
        <v>1977</v>
      </c>
      <c r="U963">
        <v>1995</v>
      </c>
      <c r="V963" t="s">
        <v>92</v>
      </c>
      <c r="W963" t="s">
        <v>93</v>
      </c>
      <c r="X963" t="s">
        <v>139</v>
      </c>
      <c r="Y963" t="s">
        <v>139</v>
      </c>
      <c r="Z963" t="s">
        <v>95</v>
      </c>
      <c r="AA963">
        <v>424</v>
      </c>
      <c r="AB963" t="s">
        <v>97</v>
      </c>
      <c r="AC963" t="s">
        <v>96</v>
      </c>
      <c r="AD963" t="s">
        <v>117</v>
      </c>
      <c r="AE963" t="s">
        <v>96</v>
      </c>
      <c r="AF963" t="s">
        <v>96</v>
      </c>
      <c r="AG963" t="s">
        <v>99</v>
      </c>
      <c r="AH963" t="s">
        <v>118</v>
      </c>
      <c r="AI963">
        <v>896</v>
      </c>
      <c r="AJ963" t="s">
        <v>101</v>
      </c>
      <c r="AK963">
        <v>0</v>
      </c>
      <c r="AL963">
        <v>434</v>
      </c>
      <c r="AM963">
        <v>1330</v>
      </c>
      <c r="AN963" t="s">
        <v>102</v>
      </c>
      <c r="AO963" t="s">
        <v>97</v>
      </c>
      <c r="AP963" t="s">
        <v>104</v>
      </c>
      <c r="AQ963" t="s">
        <v>105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97</v>
      </c>
      <c r="BC963">
        <v>11</v>
      </c>
      <c r="BD963" t="s">
        <v>106</v>
      </c>
      <c r="BE963">
        <v>1</v>
      </c>
      <c r="BF963" t="s">
        <v>97</v>
      </c>
      <c r="BG963" t="s">
        <v>107</v>
      </c>
      <c r="BH963">
        <v>1977</v>
      </c>
      <c r="BI963" t="s">
        <v>156</v>
      </c>
      <c r="BJ963">
        <v>2</v>
      </c>
      <c r="BK963">
        <v>619</v>
      </c>
      <c r="BL963" t="s">
        <v>97</v>
      </c>
      <c r="BM963" t="s">
        <v>97</v>
      </c>
      <c r="BN963" t="s">
        <v>104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X963">
        <v>0</v>
      </c>
      <c r="BY963">
        <v>7</v>
      </c>
      <c r="BZ963">
        <v>2008</v>
      </c>
      <c r="CA963" t="s">
        <v>109</v>
      </c>
      <c r="CB963" t="s">
        <v>110</v>
      </c>
      <c r="CC963">
        <v>272000</v>
      </c>
    </row>
    <row r="964" spans="1:81" x14ac:dyDescent="0.3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H964" t="s">
        <v>83</v>
      </c>
      <c r="I964" t="s">
        <v>84</v>
      </c>
      <c r="J964" t="s">
        <v>85</v>
      </c>
      <c r="K964" t="s">
        <v>121</v>
      </c>
      <c r="L964" t="s">
        <v>87</v>
      </c>
      <c r="M964" t="s">
        <v>215</v>
      </c>
      <c r="N964" t="s">
        <v>89</v>
      </c>
      <c r="O964" t="s">
        <v>89</v>
      </c>
      <c r="P964" t="s">
        <v>178</v>
      </c>
      <c r="Q964" t="s">
        <v>91</v>
      </c>
      <c r="R964">
        <v>6</v>
      </c>
      <c r="S964">
        <v>6</v>
      </c>
      <c r="T964">
        <v>1976</v>
      </c>
      <c r="U964">
        <v>1976</v>
      </c>
      <c r="V964" t="s">
        <v>92</v>
      </c>
      <c r="W964" t="s">
        <v>93</v>
      </c>
      <c r="X964" t="s">
        <v>160</v>
      </c>
      <c r="Y964" t="s">
        <v>225</v>
      </c>
      <c r="Z964" t="s">
        <v>116</v>
      </c>
      <c r="AA964">
        <v>0</v>
      </c>
      <c r="AB964" t="s">
        <v>97</v>
      </c>
      <c r="AC964" t="s">
        <v>97</v>
      </c>
      <c r="AD964" t="s">
        <v>117</v>
      </c>
      <c r="AE964" t="s">
        <v>96</v>
      </c>
      <c r="AF964" t="s">
        <v>97</v>
      </c>
      <c r="AG964" t="s">
        <v>99</v>
      </c>
      <c r="AH964" t="s">
        <v>118</v>
      </c>
      <c r="AI964">
        <v>556</v>
      </c>
      <c r="AJ964" t="s">
        <v>101</v>
      </c>
      <c r="AK964">
        <v>0</v>
      </c>
      <c r="AL964">
        <v>248</v>
      </c>
      <c r="AM964">
        <v>804</v>
      </c>
      <c r="AN964" t="s">
        <v>102</v>
      </c>
      <c r="AO964" t="s">
        <v>97</v>
      </c>
      <c r="AP964" t="s">
        <v>104</v>
      </c>
      <c r="AQ964" t="s">
        <v>105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96</v>
      </c>
      <c r="BC964">
        <v>7</v>
      </c>
      <c r="BD964" t="s">
        <v>106</v>
      </c>
      <c r="BE964">
        <v>1</v>
      </c>
      <c r="BF964" t="s">
        <v>97</v>
      </c>
      <c r="BG964" t="s">
        <v>126</v>
      </c>
      <c r="BH964">
        <v>1976</v>
      </c>
      <c r="BI964" t="s">
        <v>101</v>
      </c>
      <c r="BJ964">
        <v>2</v>
      </c>
      <c r="BK964">
        <v>440</v>
      </c>
      <c r="BL964" t="s">
        <v>97</v>
      </c>
      <c r="BM964" t="s">
        <v>97</v>
      </c>
      <c r="BN964" t="s">
        <v>104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X964">
        <v>0</v>
      </c>
      <c r="BY964">
        <v>7</v>
      </c>
      <c r="BZ964">
        <v>2007</v>
      </c>
      <c r="CA964" t="s">
        <v>109</v>
      </c>
      <c r="CB964" t="s">
        <v>110</v>
      </c>
      <c r="CC964">
        <v>155000</v>
      </c>
    </row>
    <row r="965" spans="1:81" x14ac:dyDescent="0.3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H965" t="s">
        <v>119</v>
      </c>
      <c r="I965" t="s">
        <v>84</v>
      </c>
      <c r="J965" t="s">
        <v>85</v>
      </c>
      <c r="K965" t="s">
        <v>121</v>
      </c>
      <c r="L965" t="s">
        <v>87</v>
      </c>
      <c r="M965" t="s">
        <v>88</v>
      </c>
      <c r="N965" t="s">
        <v>89</v>
      </c>
      <c r="O965" t="s">
        <v>89</v>
      </c>
      <c r="P965" t="s">
        <v>90</v>
      </c>
      <c r="Q965" t="s">
        <v>114</v>
      </c>
      <c r="R965">
        <v>9</v>
      </c>
      <c r="S965">
        <v>5</v>
      </c>
      <c r="T965">
        <v>2007</v>
      </c>
      <c r="U965">
        <v>2007</v>
      </c>
      <c r="V965" t="s">
        <v>92</v>
      </c>
      <c r="W965" t="s">
        <v>93</v>
      </c>
      <c r="X965" t="s">
        <v>94</v>
      </c>
      <c r="Y965" t="s">
        <v>94</v>
      </c>
      <c r="Z965" t="s">
        <v>116</v>
      </c>
      <c r="AA965">
        <v>0</v>
      </c>
      <c r="AB965" t="s">
        <v>96</v>
      </c>
      <c r="AC965" t="s">
        <v>97</v>
      </c>
      <c r="AD965" t="s">
        <v>98</v>
      </c>
      <c r="AE965" t="s">
        <v>103</v>
      </c>
      <c r="AF965" t="s">
        <v>97</v>
      </c>
      <c r="AG965" t="s">
        <v>99</v>
      </c>
      <c r="AH965" t="s">
        <v>101</v>
      </c>
      <c r="AI965">
        <v>0</v>
      </c>
      <c r="AJ965" t="s">
        <v>101</v>
      </c>
      <c r="AK965">
        <v>0</v>
      </c>
      <c r="AL965">
        <v>1800</v>
      </c>
      <c r="AM965">
        <v>1800</v>
      </c>
      <c r="AN965" t="s">
        <v>102</v>
      </c>
      <c r="AO965" t="s">
        <v>103</v>
      </c>
      <c r="AP965" t="s">
        <v>104</v>
      </c>
      <c r="AQ965" t="s">
        <v>105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103</v>
      </c>
      <c r="BC965">
        <v>7</v>
      </c>
      <c r="BD965" t="s">
        <v>106</v>
      </c>
      <c r="BE965">
        <v>0</v>
      </c>
      <c r="BG965" t="s">
        <v>107</v>
      </c>
      <c r="BH965">
        <v>2007</v>
      </c>
      <c r="BI965" t="s">
        <v>156</v>
      </c>
      <c r="BJ965">
        <v>2</v>
      </c>
      <c r="BK965">
        <v>702</v>
      </c>
      <c r="BL965" t="s">
        <v>97</v>
      </c>
      <c r="BM965" t="s">
        <v>97</v>
      </c>
      <c r="BN965" t="s">
        <v>104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X965">
        <v>0</v>
      </c>
      <c r="BY965">
        <v>5</v>
      </c>
      <c r="BZ965">
        <v>2009</v>
      </c>
      <c r="CA965" t="s">
        <v>109</v>
      </c>
      <c r="CB965" t="s">
        <v>110</v>
      </c>
      <c r="CC965">
        <v>239000</v>
      </c>
    </row>
    <row r="966" spans="1:81" x14ac:dyDescent="0.3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H966" t="s">
        <v>83</v>
      </c>
      <c r="I966" t="s">
        <v>84</v>
      </c>
      <c r="J966" t="s">
        <v>85</v>
      </c>
      <c r="K966" t="s">
        <v>121</v>
      </c>
      <c r="L966" t="s">
        <v>87</v>
      </c>
      <c r="M966" t="s">
        <v>188</v>
      </c>
      <c r="N966" t="s">
        <v>89</v>
      </c>
      <c r="O966" t="s">
        <v>89</v>
      </c>
      <c r="P966" t="s">
        <v>90</v>
      </c>
      <c r="Q966" t="s">
        <v>91</v>
      </c>
      <c r="R966">
        <v>7</v>
      </c>
      <c r="S966">
        <v>5</v>
      </c>
      <c r="T966">
        <v>2002</v>
      </c>
      <c r="U966">
        <v>2003</v>
      </c>
      <c r="V966" t="s">
        <v>92</v>
      </c>
      <c r="W966" t="s">
        <v>93</v>
      </c>
      <c r="X966" t="s">
        <v>94</v>
      </c>
      <c r="Y966" t="s">
        <v>94</v>
      </c>
      <c r="Z966" t="s">
        <v>95</v>
      </c>
      <c r="AA966">
        <v>44</v>
      </c>
      <c r="AB966" t="s">
        <v>96</v>
      </c>
      <c r="AC966" t="s">
        <v>97</v>
      </c>
      <c r="AD966" t="s">
        <v>98</v>
      </c>
      <c r="AE966" t="s">
        <v>96</v>
      </c>
      <c r="AF966" t="s">
        <v>97</v>
      </c>
      <c r="AG966" t="s">
        <v>99</v>
      </c>
      <c r="AH966" t="s">
        <v>100</v>
      </c>
      <c r="AI966">
        <v>624</v>
      </c>
      <c r="AJ966" t="s">
        <v>101</v>
      </c>
      <c r="AK966">
        <v>0</v>
      </c>
      <c r="AL966">
        <v>193</v>
      </c>
      <c r="AM966">
        <v>817</v>
      </c>
      <c r="AN966" t="s">
        <v>102</v>
      </c>
      <c r="AO966" t="s">
        <v>103</v>
      </c>
      <c r="AP966" t="s">
        <v>104</v>
      </c>
      <c r="AQ966" t="s">
        <v>105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96</v>
      </c>
      <c r="BC966">
        <v>8</v>
      </c>
      <c r="BD966" t="s">
        <v>106</v>
      </c>
      <c r="BE966">
        <v>1</v>
      </c>
      <c r="BF966" t="s">
        <v>96</v>
      </c>
      <c r="BG966" t="s">
        <v>155</v>
      </c>
      <c r="BH966">
        <v>2002</v>
      </c>
      <c r="BI966" t="s">
        <v>156</v>
      </c>
      <c r="BJ966">
        <v>2</v>
      </c>
      <c r="BK966">
        <v>510</v>
      </c>
      <c r="BL966" t="s">
        <v>97</v>
      </c>
      <c r="BM966" t="s">
        <v>97</v>
      </c>
      <c r="BN966" t="s">
        <v>104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X966">
        <v>0</v>
      </c>
      <c r="BY966">
        <v>2</v>
      </c>
      <c r="BZ966">
        <v>2010</v>
      </c>
      <c r="CA966" t="s">
        <v>109</v>
      </c>
      <c r="CB966" t="s">
        <v>110</v>
      </c>
      <c r="CC966">
        <v>214900</v>
      </c>
    </row>
    <row r="967" spans="1:81" x14ac:dyDescent="0.3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H967" t="s">
        <v>83</v>
      </c>
      <c r="I967" t="s">
        <v>84</v>
      </c>
      <c r="J967" t="s">
        <v>85</v>
      </c>
      <c r="K967" t="s">
        <v>86</v>
      </c>
      <c r="L967" t="s">
        <v>87</v>
      </c>
      <c r="M967" t="s">
        <v>192</v>
      </c>
      <c r="N967" t="s">
        <v>201</v>
      </c>
      <c r="O967" t="s">
        <v>89</v>
      </c>
      <c r="P967" t="s">
        <v>90</v>
      </c>
      <c r="Q967" t="s">
        <v>91</v>
      </c>
      <c r="R967">
        <v>6</v>
      </c>
      <c r="S967">
        <v>5</v>
      </c>
      <c r="T967">
        <v>2005</v>
      </c>
      <c r="U967">
        <v>2007</v>
      </c>
      <c r="V967" t="s">
        <v>92</v>
      </c>
      <c r="W967" t="s">
        <v>93</v>
      </c>
      <c r="X967" t="s">
        <v>94</v>
      </c>
      <c r="Y967" t="s">
        <v>94</v>
      </c>
      <c r="Z967" t="s">
        <v>116</v>
      </c>
      <c r="AA967">
        <v>0</v>
      </c>
      <c r="AB967" t="s">
        <v>96</v>
      </c>
      <c r="AC967" t="s">
        <v>97</v>
      </c>
      <c r="AD967" t="s">
        <v>98</v>
      </c>
      <c r="AE967" t="s">
        <v>96</v>
      </c>
      <c r="AF967" t="s">
        <v>97</v>
      </c>
      <c r="AG967" t="s">
        <v>99</v>
      </c>
      <c r="AH967" t="s">
        <v>101</v>
      </c>
      <c r="AI967">
        <v>0</v>
      </c>
      <c r="AJ967" t="s">
        <v>101</v>
      </c>
      <c r="AK967">
        <v>0</v>
      </c>
      <c r="AL967">
        <v>783</v>
      </c>
      <c r="AM967">
        <v>783</v>
      </c>
      <c r="AN967" t="s">
        <v>102</v>
      </c>
      <c r="AO967" t="s">
        <v>103</v>
      </c>
      <c r="AP967" t="s">
        <v>104</v>
      </c>
      <c r="AQ967" t="s">
        <v>105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96</v>
      </c>
      <c r="BC967">
        <v>8</v>
      </c>
      <c r="BD967" t="s">
        <v>106</v>
      </c>
      <c r="BE967">
        <v>1</v>
      </c>
      <c r="BF967" t="s">
        <v>96</v>
      </c>
      <c r="BG967" t="s">
        <v>107</v>
      </c>
      <c r="BH967">
        <v>2005</v>
      </c>
      <c r="BI967" t="s">
        <v>156</v>
      </c>
      <c r="BJ967">
        <v>2</v>
      </c>
      <c r="BK967">
        <v>393</v>
      </c>
      <c r="BL967" t="s">
        <v>97</v>
      </c>
      <c r="BM967" t="s">
        <v>97</v>
      </c>
      <c r="BN967" t="s">
        <v>104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X967">
        <v>0</v>
      </c>
      <c r="BY967">
        <v>7</v>
      </c>
      <c r="BZ967">
        <v>2007</v>
      </c>
      <c r="CA967" t="s">
        <v>157</v>
      </c>
      <c r="CB967" t="s">
        <v>158</v>
      </c>
      <c r="CC967">
        <v>178900</v>
      </c>
    </row>
    <row r="968" spans="1:81" x14ac:dyDescent="0.3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H968" t="s">
        <v>119</v>
      </c>
      <c r="I968" t="s">
        <v>198</v>
      </c>
      <c r="J968" t="s">
        <v>85</v>
      </c>
      <c r="K968" t="s">
        <v>86</v>
      </c>
      <c r="L968" t="s">
        <v>87</v>
      </c>
      <c r="M968" t="s">
        <v>122</v>
      </c>
      <c r="N968" t="s">
        <v>89</v>
      </c>
      <c r="O968" t="s">
        <v>89</v>
      </c>
      <c r="P968" t="s">
        <v>90</v>
      </c>
      <c r="Q968" t="s">
        <v>131</v>
      </c>
      <c r="R968">
        <v>5</v>
      </c>
      <c r="S968">
        <v>7</v>
      </c>
      <c r="T968">
        <v>1940</v>
      </c>
      <c r="U968">
        <v>1950</v>
      </c>
      <c r="V968" t="s">
        <v>92</v>
      </c>
      <c r="W968" t="s">
        <v>93</v>
      </c>
      <c r="X968" t="s">
        <v>115</v>
      </c>
      <c r="Y968" t="s">
        <v>115</v>
      </c>
      <c r="Z968" t="s">
        <v>116</v>
      </c>
      <c r="AA968">
        <v>0</v>
      </c>
      <c r="AB968" t="s">
        <v>96</v>
      </c>
      <c r="AC968" t="s">
        <v>96</v>
      </c>
      <c r="AD968" t="s">
        <v>125</v>
      </c>
      <c r="AE968" t="s">
        <v>97</v>
      </c>
      <c r="AF968" t="s">
        <v>146</v>
      </c>
      <c r="AG968" t="s">
        <v>99</v>
      </c>
      <c r="AH968" t="s">
        <v>152</v>
      </c>
      <c r="AI968">
        <v>428</v>
      </c>
      <c r="AJ968" t="s">
        <v>101</v>
      </c>
      <c r="AK968">
        <v>0</v>
      </c>
      <c r="AL968">
        <v>300</v>
      </c>
      <c r="AM968">
        <v>728</v>
      </c>
      <c r="AN968" t="s">
        <v>102</v>
      </c>
      <c r="AO968" t="s">
        <v>103</v>
      </c>
      <c r="AP968" t="s">
        <v>104</v>
      </c>
      <c r="AQ968" t="s">
        <v>105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97</v>
      </c>
      <c r="BC968">
        <v>7</v>
      </c>
      <c r="BD968" t="s">
        <v>223</v>
      </c>
      <c r="BE968">
        <v>2</v>
      </c>
      <c r="BF968" t="s">
        <v>97</v>
      </c>
      <c r="BG968" t="s">
        <v>126</v>
      </c>
      <c r="BH968">
        <v>1940</v>
      </c>
      <c r="BI968" t="s">
        <v>101</v>
      </c>
      <c r="BJ968">
        <v>1</v>
      </c>
      <c r="BK968">
        <v>256</v>
      </c>
      <c r="BL968" t="s">
        <v>97</v>
      </c>
      <c r="BM968" t="s">
        <v>97</v>
      </c>
      <c r="BN968" t="s">
        <v>104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X968">
        <v>0</v>
      </c>
      <c r="BY968">
        <v>6</v>
      </c>
      <c r="BZ968">
        <v>2009</v>
      </c>
      <c r="CA968" t="s">
        <v>109</v>
      </c>
      <c r="CB968" t="s">
        <v>110</v>
      </c>
      <c r="CC968">
        <v>160000</v>
      </c>
    </row>
    <row r="969" spans="1:81" x14ac:dyDescent="0.3">
      <c r="A969">
        <v>968</v>
      </c>
      <c r="B969">
        <v>20</v>
      </c>
      <c r="C969" t="s">
        <v>81</v>
      </c>
      <c r="E969">
        <v>7390</v>
      </c>
      <c r="F969" t="s">
        <v>82</v>
      </c>
      <c r="H969" t="s">
        <v>119</v>
      </c>
      <c r="I969" t="s">
        <v>84</v>
      </c>
      <c r="J969" t="s">
        <v>85</v>
      </c>
      <c r="K969" t="s">
        <v>86</v>
      </c>
      <c r="L969" t="s">
        <v>87</v>
      </c>
      <c r="M969" t="s">
        <v>270</v>
      </c>
      <c r="N969" t="s">
        <v>89</v>
      </c>
      <c r="O969" t="s">
        <v>89</v>
      </c>
      <c r="P969" t="s">
        <v>90</v>
      </c>
      <c r="Q969" t="s">
        <v>114</v>
      </c>
      <c r="R969">
        <v>5</v>
      </c>
      <c r="S969">
        <v>7</v>
      </c>
      <c r="T969">
        <v>1955</v>
      </c>
      <c r="U969">
        <v>1955</v>
      </c>
      <c r="V969" t="s">
        <v>151</v>
      </c>
      <c r="W969" t="s">
        <v>93</v>
      </c>
      <c r="X969" t="s">
        <v>123</v>
      </c>
      <c r="Y969" t="s">
        <v>123</v>
      </c>
      <c r="Z969" t="s">
        <v>95</v>
      </c>
      <c r="AA969">
        <v>151</v>
      </c>
      <c r="AB969" t="s">
        <v>97</v>
      </c>
      <c r="AC969" t="s">
        <v>97</v>
      </c>
      <c r="AD969" t="s">
        <v>117</v>
      </c>
      <c r="AE969" t="s">
        <v>97</v>
      </c>
      <c r="AF969" t="s">
        <v>97</v>
      </c>
      <c r="AG969" t="s">
        <v>99</v>
      </c>
      <c r="AH969" t="s">
        <v>118</v>
      </c>
      <c r="AI969">
        <v>902</v>
      </c>
      <c r="AJ969" t="s">
        <v>101</v>
      </c>
      <c r="AK969">
        <v>0</v>
      </c>
      <c r="AL969">
        <v>196</v>
      </c>
      <c r="AM969">
        <v>1098</v>
      </c>
      <c r="AN969" t="s">
        <v>102</v>
      </c>
      <c r="AO969" t="s">
        <v>97</v>
      </c>
      <c r="AP969" t="s">
        <v>104</v>
      </c>
      <c r="AQ969" t="s">
        <v>105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97</v>
      </c>
      <c r="BC969">
        <v>6</v>
      </c>
      <c r="BD969" t="s">
        <v>106</v>
      </c>
      <c r="BE969">
        <v>0</v>
      </c>
      <c r="BG969" t="s">
        <v>107</v>
      </c>
      <c r="BH969">
        <v>1955</v>
      </c>
      <c r="BI969" t="s">
        <v>101</v>
      </c>
      <c r="BJ969">
        <v>1</v>
      </c>
      <c r="BK969">
        <v>260</v>
      </c>
      <c r="BL969" t="s">
        <v>97</v>
      </c>
      <c r="BM969" t="s">
        <v>97</v>
      </c>
      <c r="BN969" t="s">
        <v>104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X969">
        <v>0</v>
      </c>
      <c r="BY969">
        <v>7</v>
      </c>
      <c r="BZ969">
        <v>2008</v>
      </c>
      <c r="CA969" t="s">
        <v>109</v>
      </c>
      <c r="CB969" t="s">
        <v>110</v>
      </c>
      <c r="CC969">
        <v>135000</v>
      </c>
    </row>
    <row r="970" spans="1:81" x14ac:dyDescent="0.3">
      <c r="A970">
        <v>969</v>
      </c>
      <c r="B970">
        <v>50</v>
      </c>
      <c r="C970" t="s">
        <v>141</v>
      </c>
      <c r="D970">
        <v>50</v>
      </c>
      <c r="E970">
        <v>5925</v>
      </c>
      <c r="F970" t="s">
        <v>82</v>
      </c>
      <c r="H970" t="s">
        <v>83</v>
      </c>
      <c r="I970" t="s">
        <v>84</v>
      </c>
      <c r="J970" t="s">
        <v>85</v>
      </c>
      <c r="K970" t="s">
        <v>86</v>
      </c>
      <c r="L970" t="s">
        <v>87</v>
      </c>
      <c r="M970" t="s">
        <v>142</v>
      </c>
      <c r="N970" t="s">
        <v>89</v>
      </c>
      <c r="O970" t="s">
        <v>89</v>
      </c>
      <c r="P970" t="s">
        <v>90</v>
      </c>
      <c r="Q970" t="s">
        <v>131</v>
      </c>
      <c r="R970">
        <v>3</v>
      </c>
      <c r="S970">
        <v>6</v>
      </c>
      <c r="T970">
        <v>1910</v>
      </c>
      <c r="U970">
        <v>1950</v>
      </c>
      <c r="V970" t="s">
        <v>92</v>
      </c>
      <c r="W970" t="s">
        <v>93</v>
      </c>
      <c r="X970" t="s">
        <v>94</v>
      </c>
      <c r="Y970" t="s">
        <v>94</v>
      </c>
      <c r="Z970" t="s">
        <v>116</v>
      </c>
      <c r="AA970">
        <v>0</v>
      </c>
      <c r="AB970" t="s">
        <v>97</v>
      </c>
      <c r="AC970" t="s">
        <v>97</v>
      </c>
      <c r="AD970" t="s">
        <v>125</v>
      </c>
      <c r="AE970" t="s">
        <v>97</v>
      </c>
      <c r="AF970" t="s">
        <v>97</v>
      </c>
      <c r="AG970" t="s">
        <v>99</v>
      </c>
      <c r="AH970" t="s">
        <v>101</v>
      </c>
      <c r="AI970">
        <v>0</v>
      </c>
      <c r="AJ970" t="s">
        <v>101</v>
      </c>
      <c r="AK970">
        <v>0</v>
      </c>
      <c r="AL970">
        <v>600</v>
      </c>
      <c r="AM970">
        <v>600</v>
      </c>
      <c r="AN970" t="s">
        <v>221</v>
      </c>
      <c r="AO970" t="s">
        <v>146</v>
      </c>
      <c r="AP970" t="s">
        <v>176</v>
      </c>
      <c r="AQ970" t="s">
        <v>105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97</v>
      </c>
      <c r="BC970">
        <v>6</v>
      </c>
      <c r="BD970" t="s">
        <v>106</v>
      </c>
      <c r="BE970">
        <v>0</v>
      </c>
      <c r="BJ970">
        <v>0</v>
      </c>
      <c r="BK970">
        <v>0</v>
      </c>
      <c r="BN970" t="s">
        <v>104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V970" t="s">
        <v>162</v>
      </c>
      <c r="BX970">
        <v>0</v>
      </c>
      <c r="BY970">
        <v>5</v>
      </c>
      <c r="BZ970">
        <v>2009</v>
      </c>
      <c r="CA970" t="s">
        <v>109</v>
      </c>
      <c r="CB970" t="s">
        <v>127</v>
      </c>
      <c r="CC970">
        <v>37900</v>
      </c>
    </row>
    <row r="971" spans="1:81" x14ac:dyDescent="0.3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H971" t="s">
        <v>83</v>
      </c>
      <c r="I971" t="s">
        <v>84</v>
      </c>
      <c r="J971" t="s">
        <v>85</v>
      </c>
      <c r="K971" t="s">
        <v>86</v>
      </c>
      <c r="L971" t="s">
        <v>87</v>
      </c>
      <c r="M971" t="s">
        <v>270</v>
      </c>
      <c r="N971" t="s">
        <v>89</v>
      </c>
      <c r="O971" t="s">
        <v>89</v>
      </c>
      <c r="P971" t="s">
        <v>148</v>
      </c>
      <c r="Q971" t="s">
        <v>196</v>
      </c>
      <c r="R971">
        <v>6</v>
      </c>
      <c r="S971">
        <v>5</v>
      </c>
      <c r="T971">
        <v>1958</v>
      </c>
      <c r="U971">
        <v>1958</v>
      </c>
      <c r="V971" t="s">
        <v>151</v>
      </c>
      <c r="W971" t="s">
        <v>93</v>
      </c>
      <c r="X971" t="s">
        <v>139</v>
      </c>
      <c r="Y971" t="s">
        <v>139</v>
      </c>
      <c r="Z971" t="s">
        <v>95</v>
      </c>
      <c r="AA971">
        <v>105</v>
      </c>
      <c r="AB971" t="s">
        <v>97</v>
      </c>
      <c r="AC971" t="s">
        <v>146</v>
      </c>
      <c r="AD971" t="s">
        <v>117</v>
      </c>
      <c r="AE971" t="s">
        <v>97</v>
      </c>
      <c r="AF971" t="s">
        <v>97</v>
      </c>
      <c r="AG971" t="s">
        <v>96</v>
      </c>
      <c r="AH971" t="s">
        <v>118</v>
      </c>
      <c r="AI971">
        <v>513</v>
      </c>
      <c r="AJ971" t="s">
        <v>101</v>
      </c>
      <c r="AK971">
        <v>0</v>
      </c>
      <c r="AL971">
        <v>75</v>
      </c>
      <c r="AM971">
        <v>588</v>
      </c>
      <c r="AN971" t="s">
        <v>102</v>
      </c>
      <c r="AO971" t="s">
        <v>97</v>
      </c>
      <c r="AP971" t="s">
        <v>104</v>
      </c>
      <c r="AQ971" t="s">
        <v>105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97</v>
      </c>
      <c r="BC971">
        <v>6</v>
      </c>
      <c r="BD971" t="s">
        <v>106</v>
      </c>
      <c r="BE971">
        <v>0</v>
      </c>
      <c r="BG971" t="s">
        <v>107</v>
      </c>
      <c r="BH971">
        <v>1958</v>
      </c>
      <c r="BI971" t="s">
        <v>108</v>
      </c>
      <c r="BJ971">
        <v>1</v>
      </c>
      <c r="BK971">
        <v>264</v>
      </c>
      <c r="BL971" t="s">
        <v>97</v>
      </c>
      <c r="BM971" t="s">
        <v>97</v>
      </c>
      <c r="BN971" t="s">
        <v>104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X971">
        <v>0</v>
      </c>
      <c r="BY971">
        <v>3</v>
      </c>
      <c r="BZ971">
        <v>2006</v>
      </c>
      <c r="CA971" t="s">
        <v>207</v>
      </c>
      <c r="CB971" t="s">
        <v>110</v>
      </c>
      <c r="CC971">
        <v>140000</v>
      </c>
    </row>
    <row r="972" spans="1:81" x14ac:dyDescent="0.3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H972" t="s">
        <v>83</v>
      </c>
      <c r="I972" t="s">
        <v>84</v>
      </c>
      <c r="J972" t="s">
        <v>85</v>
      </c>
      <c r="K972" t="s">
        <v>86</v>
      </c>
      <c r="L972" t="s">
        <v>87</v>
      </c>
      <c r="M972" t="s">
        <v>270</v>
      </c>
      <c r="N972" t="s">
        <v>89</v>
      </c>
      <c r="O972" t="s">
        <v>89</v>
      </c>
      <c r="P972" t="s">
        <v>90</v>
      </c>
      <c r="Q972" t="s">
        <v>131</v>
      </c>
      <c r="R972">
        <v>4</v>
      </c>
      <c r="S972">
        <v>4</v>
      </c>
      <c r="T972">
        <v>1949</v>
      </c>
      <c r="U972">
        <v>1950</v>
      </c>
      <c r="V972" t="s">
        <v>92</v>
      </c>
      <c r="W972" t="s">
        <v>93</v>
      </c>
      <c r="X972" t="s">
        <v>185</v>
      </c>
      <c r="Y972" t="s">
        <v>185</v>
      </c>
      <c r="Z972" t="s">
        <v>116</v>
      </c>
      <c r="AA972">
        <v>0</v>
      </c>
      <c r="AB972" t="s">
        <v>97</v>
      </c>
      <c r="AC972" t="s">
        <v>97</v>
      </c>
      <c r="AD972" t="s">
        <v>117</v>
      </c>
      <c r="AE972" t="s">
        <v>97</v>
      </c>
      <c r="AF972" t="s">
        <v>97</v>
      </c>
      <c r="AG972" t="s">
        <v>99</v>
      </c>
      <c r="AH972" t="s">
        <v>101</v>
      </c>
      <c r="AI972">
        <v>0</v>
      </c>
      <c r="AJ972" t="s">
        <v>101</v>
      </c>
      <c r="AK972">
        <v>0</v>
      </c>
      <c r="AL972">
        <v>720</v>
      </c>
      <c r="AM972">
        <v>720</v>
      </c>
      <c r="AN972" t="s">
        <v>102</v>
      </c>
      <c r="AO972" t="s">
        <v>97</v>
      </c>
      <c r="AP972" t="s">
        <v>176</v>
      </c>
      <c r="AQ972" t="s">
        <v>163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97</v>
      </c>
      <c r="BC972">
        <v>6</v>
      </c>
      <c r="BD972" t="s">
        <v>106</v>
      </c>
      <c r="BE972">
        <v>0</v>
      </c>
      <c r="BJ972">
        <v>0</v>
      </c>
      <c r="BK972">
        <v>0</v>
      </c>
      <c r="BN972" t="s">
        <v>104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X972">
        <v>0</v>
      </c>
      <c r="BY972">
        <v>12</v>
      </c>
      <c r="BZ972">
        <v>2006</v>
      </c>
      <c r="CA972" t="s">
        <v>109</v>
      </c>
      <c r="CB972" t="s">
        <v>127</v>
      </c>
      <c r="CC972">
        <v>135000</v>
      </c>
    </row>
    <row r="973" spans="1:81" x14ac:dyDescent="0.3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H973" t="s">
        <v>83</v>
      </c>
      <c r="I973" t="s">
        <v>84</v>
      </c>
      <c r="J973" t="s">
        <v>85</v>
      </c>
      <c r="K973" t="s">
        <v>86</v>
      </c>
      <c r="L973" t="s">
        <v>87</v>
      </c>
      <c r="M973" t="s">
        <v>153</v>
      </c>
      <c r="N973" t="s">
        <v>89</v>
      </c>
      <c r="O973" t="s">
        <v>89</v>
      </c>
      <c r="P973" t="s">
        <v>197</v>
      </c>
      <c r="Q973" t="s">
        <v>91</v>
      </c>
      <c r="R973">
        <v>7</v>
      </c>
      <c r="S973">
        <v>5</v>
      </c>
      <c r="T973">
        <v>2003</v>
      </c>
      <c r="U973">
        <v>2004</v>
      </c>
      <c r="V973" t="s">
        <v>92</v>
      </c>
      <c r="W973" t="s">
        <v>93</v>
      </c>
      <c r="X973" t="s">
        <v>94</v>
      </c>
      <c r="Y973" t="s">
        <v>124</v>
      </c>
      <c r="Z973" t="s">
        <v>136</v>
      </c>
      <c r="AA973">
        <v>106</v>
      </c>
      <c r="AB973" t="s">
        <v>96</v>
      </c>
      <c r="AC973" t="s">
        <v>97</v>
      </c>
      <c r="AD973" t="s">
        <v>98</v>
      </c>
      <c r="AE973" t="s">
        <v>96</v>
      </c>
      <c r="AF973" t="s">
        <v>97</v>
      </c>
      <c r="AG973" t="s">
        <v>99</v>
      </c>
      <c r="AH973" t="s">
        <v>100</v>
      </c>
      <c r="AI973">
        <v>567</v>
      </c>
      <c r="AJ973" t="s">
        <v>101</v>
      </c>
      <c r="AK973">
        <v>0</v>
      </c>
      <c r="AL973">
        <v>197</v>
      </c>
      <c r="AM973">
        <v>764</v>
      </c>
      <c r="AN973" t="s">
        <v>102</v>
      </c>
      <c r="AO973" t="s">
        <v>103</v>
      </c>
      <c r="AP973" t="s">
        <v>104</v>
      </c>
      <c r="AQ973" t="s">
        <v>105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96</v>
      </c>
      <c r="BC973">
        <v>6</v>
      </c>
      <c r="BD973" t="s">
        <v>106</v>
      </c>
      <c r="BE973">
        <v>0</v>
      </c>
      <c r="BG973" t="s">
        <v>155</v>
      </c>
      <c r="BH973">
        <v>2003</v>
      </c>
      <c r="BI973" t="s">
        <v>108</v>
      </c>
      <c r="BJ973">
        <v>2</v>
      </c>
      <c r="BK973">
        <v>474</v>
      </c>
      <c r="BL973" t="s">
        <v>97</v>
      </c>
      <c r="BM973" t="s">
        <v>97</v>
      </c>
      <c r="BN973" t="s">
        <v>104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X973">
        <v>0</v>
      </c>
      <c r="BY973">
        <v>7</v>
      </c>
      <c r="BZ973">
        <v>2009</v>
      </c>
      <c r="CA973" t="s">
        <v>109</v>
      </c>
      <c r="CB973" t="s">
        <v>110</v>
      </c>
      <c r="CC973">
        <v>173000</v>
      </c>
    </row>
    <row r="974" spans="1:81" x14ac:dyDescent="0.3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169</v>
      </c>
      <c r="N974" t="s">
        <v>89</v>
      </c>
      <c r="O974" t="s">
        <v>89</v>
      </c>
      <c r="P974" t="s">
        <v>178</v>
      </c>
      <c r="Q974" t="s">
        <v>114</v>
      </c>
      <c r="R974">
        <v>6</v>
      </c>
      <c r="S974">
        <v>5</v>
      </c>
      <c r="T974">
        <v>1979</v>
      </c>
      <c r="U974">
        <v>1979</v>
      </c>
      <c r="V974" t="s">
        <v>92</v>
      </c>
      <c r="W974" t="s">
        <v>93</v>
      </c>
      <c r="X974" t="s">
        <v>160</v>
      </c>
      <c r="Y974" t="s">
        <v>160</v>
      </c>
      <c r="Z974" t="s">
        <v>116</v>
      </c>
      <c r="AA974">
        <v>0</v>
      </c>
      <c r="AB974" t="s">
        <v>97</v>
      </c>
      <c r="AC974" t="s">
        <v>97</v>
      </c>
      <c r="AD974" t="s">
        <v>117</v>
      </c>
      <c r="AE974" t="s">
        <v>96</v>
      </c>
      <c r="AF974" t="s">
        <v>97</v>
      </c>
      <c r="AG974" t="s">
        <v>99</v>
      </c>
      <c r="AH974" t="s">
        <v>101</v>
      </c>
      <c r="AI974">
        <v>0</v>
      </c>
      <c r="AJ974" t="s">
        <v>101</v>
      </c>
      <c r="AK974">
        <v>0</v>
      </c>
      <c r="AL974">
        <v>918</v>
      </c>
      <c r="AM974">
        <v>918</v>
      </c>
      <c r="AN974" t="s">
        <v>102</v>
      </c>
      <c r="AO974" t="s">
        <v>97</v>
      </c>
      <c r="AP974" t="s">
        <v>104</v>
      </c>
      <c r="AQ974" t="s">
        <v>105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97</v>
      </c>
      <c r="BC974">
        <v>5</v>
      </c>
      <c r="BD974" t="s">
        <v>106</v>
      </c>
      <c r="BE974">
        <v>1</v>
      </c>
      <c r="BF974" t="s">
        <v>97</v>
      </c>
      <c r="BG974" t="s">
        <v>107</v>
      </c>
      <c r="BH974">
        <v>1979</v>
      </c>
      <c r="BI974" t="s">
        <v>101</v>
      </c>
      <c r="BJ974">
        <v>1</v>
      </c>
      <c r="BK974">
        <v>264</v>
      </c>
      <c r="BL974" t="s">
        <v>97</v>
      </c>
      <c r="BM974" t="s">
        <v>97</v>
      </c>
      <c r="BN974" t="s">
        <v>104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X974">
        <v>0</v>
      </c>
      <c r="BY974">
        <v>4</v>
      </c>
      <c r="BZ974">
        <v>2010</v>
      </c>
      <c r="CA974" t="s">
        <v>109</v>
      </c>
      <c r="CB974" t="s">
        <v>110</v>
      </c>
      <c r="CC974">
        <v>99500</v>
      </c>
    </row>
    <row r="975" spans="1:81" x14ac:dyDescent="0.3">
      <c r="A975">
        <v>974</v>
      </c>
      <c r="B975">
        <v>20</v>
      </c>
      <c r="C975" t="s">
        <v>191</v>
      </c>
      <c r="D975">
        <v>95</v>
      </c>
      <c r="E975">
        <v>11639</v>
      </c>
      <c r="F975" t="s">
        <v>82</v>
      </c>
      <c r="H975" t="s">
        <v>83</v>
      </c>
      <c r="I975" t="s">
        <v>84</v>
      </c>
      <c r="J975" t="s">
        <v>85</v>
      </c>
      <c r="K975" t="s">
        <v>121</v>
      </c>
      <c r="L975" t="s">
        <v>87</v>
      </c>
      <c r="M975" t="s">
        <v>135</v>
      </c>
      <c r="N975" t="s">
        <v>89</v>
      </c>
      <c r="O975" t="s">
        <v>89</v>
      </c>
      <c r="P975" t="s">
        <v>90</v>
      </c>
      <c r="Q975" t="s">
        <v>114</v>
      </c>
      <c r="R975">
        <v>7</v>
      </c>
      <c r="S975">
        <v>5</v>
      </c>
      <c r="T975">
        <v>2007</v>
      </c>
      <c r="U975">
        <v>2008</v>
      </c>
      <c r="V975" t="s">
        <v>92</v>
      </c>
      <c r="W975" t="s">
        <v>93</v>
      </c>
      <c r="X975" t="s">
        <v>179</v>
      </c>
      <c r="Y975" t="s">
        <v>180</v>
      </c>
      <c r="AB975" t="s">
        <v>96</v>
      </c>
      <c r="AC975" t="s">
        <v>97</v>
      </c>
      <c r="AD975" t="s">
        <v>98</v>
      </c>
      <c r="AE975" t="s">
        <v>96</v>
      </c>
      <c r="AF975" t="s">
        <v>97</v>
      </c>
      <c r="AG975" t="s">
        <v>99</v>
      </c>
      <c r="AH975" t="s">
        <v>101</v>
      </c>
      <c r="AI975">
        <v>0</v>
      </c>
      <c r="AJ975" t="s">
        <v>101</v>
      </c>
      <c r="AK975">
        <v>0</v>
      </c>
      <c r="AL975">
        <v>1428</v>
      </c>
      <c r="AM975">
        <v>1428</v>
      </c>
      <c r="AN975" t="s">
        <v>102</v>
      </c>
      <c r="AO975" t="s">
        <v>103</v>
      </c>
      <c r="AP975" t="s">
        <v>104</v>
      </c>
      <c r="AQ975" t="s">
        <v>105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96</v>
      </c>
      <c r="BC975">
        <v>6</v>
      </c>
      <c r="BD975" t="s">
        <v>106</v>
      </c>
      <c r="BE975">
        <v>0</v>
      </c>
      <c r="BG975" t="s">
        <v>107</v>
      </c>
      <c r="BH975">
        <v>2007</v>
      </c>
      <c r="BI975" t="s">
        <v>156</v>
      </c>
      <c r="BJ975">
        <v>2</v>
      </c>
      <c r="BK975">
        <v>480</v>
      </c>
      <c r="BL975" t="s">
        <v>97</v>
      </c>
      <c r="BM975" t="s">
        <v>97</v>
      </c>
      <c r="BN975" t="s">
        <v>104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X975">
        <v>0</v>
      </c>
      <c r="BY975">
        <v>12</v>
      </c>
      <c r="BZ975">
        <v>2008</v>
      </c>
      <c r="CA975" t="s">
        <v>157</v>
      </c>
      <c r="CB975" t="s">
        <v>158</v>
      </c>
      <c r="CC975">
        <v>182000</v>
      </c>
    </row>
    <row r="976" spans="1:81" x14ac:dyDescent="0.3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H976" t="s">
        <v>119</v>
      </c>
      <c r="I976" t="s">
        <v>84</v>
      </c>
      <c r="J976" t="s">
        <v>85</v>
      </c>
      <c r="K976" t="s">
        <v>121</v>
      </c>
      <c r="L976" t="s">
        <v>87</v>
      </c>
      <c r="M976" t="s">
        <v>147</v>
      </c>
      <c r="N976" t="s">
        <v>201</v>
      </c>
      <c r="O976" t="s">
        <v>113</v>
      </c>
      <c r="P976" t="s">
        <v>90</v>
      </c>
      <c r="Q976" t="s">
        <v>91</v>
      </c>
      <c r="R976">
        <v>7</v>
      </c>
      <c r="S976">
        <v>8</v>
      </c>
      <c r="T976">
        <v>1910</v>
      </c>
      <c r="U976">
        <v>1993</v>
      </c>
      <c r="V976" t="s">
        <v>92</v>
      </c>
      <c r="W976" t="s">
        <v>93</v>
      </c>
      <c r="X976" t="s">
        <v>139</v>
      </c>
      <c r="Y976" t="s">
        <v>139</v>
      </c>
      <c r="Z976" t="s">
        <v>116</v>
      </c>
      <c r="AA976">
        <v>0</v>
      </c>
      <c r="AB976" t="s">
        <v>97</v>
      </c>
      <c r="AC976" t="s">
        <v>96</v>
      </c>
      <c r="AD976" t="s">
        <v>125</v>
      </c>
      <c r="AE976" t="s">
        <v>96</v>
      </c>
      <c r="AF976" t="s">
        <v>97</v>
      </c>
      <c r="AG976" t="s">
        <v>99</v>
      </c>
      <c r="AH976" t="s">
        <v>101</v>
      </c>
      <c r="AI976">
        <v>0</v>
      </c>
      <c r="AJ976" t="s">
        <v>101</v>
      </c>
      <c r="AK976">
        <v>0</v>
      </c>
      <c r="AL976">
        <v>728</v>
      </c>
      <c r="AM976">
        <v>728</v>
      </c>
      <c r="AN976" t="s">
        <v>102</v>
      </c>
      <c r="AO976" t="s">
        <v>97</v>
      </c>
      <c r="AP976" t="s">
        <v>176</v>
      </c>
      <c r="AQ976" t="s">
        <v>105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96</v>
      </c>
      <c r="BC976">
        <v>8</v>
      </c>
      <c r="BD976" t="s">
        <v>106</v>
      </c>
      <c r="BE976">
        <v>0</v>
      </c>
      <c r="BG976" t="s">
        <v>126</v>
      </c>
      <c r="BH976">
        <v>1997</v>
      </c>
      <c r="BI976" t="s">
        <v>101</v>
      </c>
      <c r="BJ976">
        <v>2</v>
      </c>
      <c r="BK976">
        <v>532</v>
      </c>
      <c r="BL976" t="s">
        <v>97</v>
      </c>
      <c r="BM976" t="s">
        <v>97</v>
      </c>
      <c r="BN976" t="s">
        <v>104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V976" t="s">
        <v>164</v>
      </c>
      <c r="BX976">
        <v>0</v>
      </c>
      <c r="BY976">
        <v>10</v>
      </c>
      <c r="BZ976">
        <v>2009</v>
      </c>
      <c r="CA976" t="s">
        <v>109</v>
      </c>
      <c r="CB976" t="s">
        <v>110</v>
      </c>
      <c r="CC976">
        <v>167500</v>
      </c>
    </row>
    <row r="977" spans="1:81" x14ac:dyDescent="0.3">
      <c r="A977">
        <v>976</v>
      </c>
      <c r="B977">
        <v>160</v>
      </c>
      <c r="C977" t="s">
        <v>191</v>
      </c>
      <c r="E977">
        <v>2651</v>
      </c>
      <c r="F977" t="s">
        <v>82</v>
      </c>
      <c r="H977" t="s">
        <v>83</v>
      </c>
      <c r="I977" t="s">
        <v>84</v>
      </c>
      <c r="J977" t="s">
        <v>85</v>
      </c>
      <c r="K977" t="s">
        <v>111</v>
      </c>
      <c r="L977" t="s">
        <v>87</v>
      </c>
      <c r="M977" t="s">
        <v>135</v>
      </c>
      <c r="N977" t="s">
        <v>89</v>
      </c>
      <c r="O977" t="s">
        <v>89</v>
      </c>
      <c r="P977" t="s">
        <v>197</v>
      </c>
      <c r="Q977" t="s">
        <v>91</v>
      </c>
      <c r="R977">
        <v>7</v>
      </c>
      <c r="S977">
        <v>5</v>
      </c>
      <c r="T977">
        <v>2000</v>
      </c>
      <c r="U977">
        <v>2000</v>
      </c>
      <c r="V977" t="s">
        <v>92</v>
      </c>
      <c r="W977" t="s">
        <v>93</v>
      </c>
      <c r="X977" t="s">
        <v>115</v>
      </c>
      <c r="Y977" t="s">
        <v>115</v>
      </c>
      <c r="Z977" t="s">
        <v>116</v>
      </c>
      <c r="AA977">
        <v>0</v>
      </c>
      <c r="AB977" t="s">
        <v>96</v>
      </c>
      <c r="AC977" t="s">
        <v>97</v>
      </c>
      <c r="AD977" t="s">
        <v>98</v>
      </c>
      <c r="AE977" t="s">
        <v>96</v>
      </c>
      <c r="AF977" t="s">
        <v>97</v>
      </c>
      <c r="AG977" t="s">
        <v>99</v>
      </c>
      <c r="AH977" t="s">
        <v>100</v>
      </c>
      <c r="AI977">
        <v>641</v>
      </c>
      <c r="AJ977" t="s">
        <v>101</v>
      </c>
      <c r="AK977">
        <v>0</v>
      </c>
      <c r="AL977">
        <v>32</v>
      </c>
      <c r="AM977">
        <v>673</v>
      </c>
      <c r="AN977" t="s">
        <v>102</v>
      </c>
      <c r="AO977" t="s">
        <v>103</v>
      </c>
      <c r="AP977" t="s">
        <v>104</v>
      </c>
      <c r="AQ977" t="s">
        <v>105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96</v>
      </c>
      <c r="BC977">
        <v>6</v>
      </c>
      <c r="BD977" t="s">
        <v>106</v>
      </c>
      <c r="BE977">
        <v>0</v>
      </c>
      <c r="BG977" t="s">
        <v>126</v>
      </c>
      <c r="BH977">
        <v>2000</v>
      </c>
      <c r="BI977" t="s">
        <v>101</v>
      </c>
      <c r="BJ977">
        <v>2</v>
      </c>
      <c r="BK977">
        <v>490</v>
      </c>
      <c r="BL977" t="s">
        <v>97</v>
      </c>
      <c r="BM977" t="s">
        <v>97</v>
      </c>
      <c r="BN977" t="s">
        <v>104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X977">
        <v>0</v>
      </c>
      <c r="BY977">
        <v>4</v>
      </c>
      <c r="BZ977">
        <v>2006</v>
      </c>
      <c r="CA977" t="s">
        <v>109</v>
      </c>
      <c r="CB977" t="s">
        <v>110</v>
      </c>
      <c r="CC977">
        <v>165000</v>
      </c>
    </row>
    <row r="978" spans="1:81" x14ac:dyDescent="0.3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H978" t="s">
        <v>119</v>
      </c>
      <c r="I978" t="s">
        <v>174</v>
      </c>
      <c r="J978" t="s">
        <v>85</v>
      </c>
      <c r="K978" t="s">
        <v>86</v>
      </c>
      <c r="L978" t="s">
        <v>87</v>
      </c>
      <c r="M978" t="s">
        <v>147</v>
      </c>
      <c r="N978" t="s">
        <v>89</v>
      </c>
      <c r="O978" t="s">
        <v>89</v>
      </c>
      <c r="P978" t="s">
        <v>90</v>
      </c>
      <c r="Q978" t="s">
        <v>114</v>
      </c>
      <c r="R978">
        <v>4</v>
      </c>
      <c r="S978">
        <v>7</v>
      </c>
      <c r="T978">
        <v>1923</v>
      </c>
      <c r="U978">
        <v>1958</v>
      </c>
      <c r="V978" t="s">
        <v>92</v>
      </c>
      <c r="W978" t="s">
        <v>93</v>
      </c>
      <c r="X978" t="s">
        <v>123</v>
      </c>
      <c r="Y978" t="s">
        <v>123</v>
      </c>
      <c r="Z978" t="s">
        <v>116</v>
      </c>
      <c r="AA978">
        <v>0</v>
      </c>
      <c r="AB978" t="s">
        <v>97</v>
      </c>
      <c r="AC978" t="s">
        <v>97</v>
      </c>
      <c r="AD978" t="s">
        <v>98</v>
      </c>
      <c r="AE978" t="s">
        <v>96</v>
      </c>
      <c r="AF978" t="s">
        <v>97</v>
      </c>
      <c r="AG978" t="s">
        <v>99</v>
      </c>
      <c r="AH978" t="s">
        <v>101</v>
      </c>
      <c r="AI978">
        <v>0</v>
      </c>
      <c r="AJ978" t="s">
        <v>101</v>
      </c>
      <c r="AK978">
        <v>0</v>
      </c>
      <c r="AL978">
        <v>440</v>
      </c>
      <c r="AM978">
        <v>440</v>
      </c>
      <c r="AN978" t="s">
        <v>102</v>
      </c>
      <c r="AO978" t="s">
        <v>97</v>
      </c>
      <c r="AP978" t="s">
        <v>104</v>
      </c>
      <c r="AQ978" t="s">
        <v>163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146</v>
      </c>
      <c r="BC978">
        <v>4</v>
      </c>
      <c r="BD978" t="s">
        <v>106</v>
      </c>
      <c r="BE978">
        <v>0</v>
      </c>
      <c r="BJ978">
        <v>0</v>
      </c>
      <c r="BK978">
        <v>0</v>
      </c>
      <c r="BN978" t="s">
        <v>104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X978">
        <v>0</v>
      </c>
      <c r="BY978">
        <v>8</v>
      </c>
      <c r="BZ978">
        <v>2006</v>
      </c>
      <c r="CA978" t="s">
        <v>109</v>
      </c>
      <c r="CB978" t="s">
        <v>110</v>
      </c>
      <c r="CC978">
        <v>85500</v>
      </c>
    </row>
    <row r="979" spans="1:81" x14ac:dyDescent="0.3">
      <c r="A979">
        <v>978</v>
      </c>
      <c r="B979">
        <v>120</v>
      </c>
      <c r="C979" t="s">
        <v>191</v>
      </c>
      <c r="D979">
        <v>35</v>
      </c>
      <c r="E979">
        <v>4274</v>
      </c>
      <c r="F979" t="s">
        <v>82</v>
      </c>
      <c r="G979" t="s">
        <v>82</v>
      </c>
      <c r="H979" t="s">
        <v>119</v>
      </c>
      <c r="I979" t="s">
        <v>84</v>
      </c>
      <c r="J979" t="s">
        <v>85</v>
      </c>
      <c r="K979" t="s">
        <v>86</v>
      </c>
      <c r="L979" t="s">
        <v>87</v>
      </c>
      <c r="M979" t="s">
        <v>135</v>
      </c>
      <c r="N979" t="s">
        <v>89</v>
      </c>
      <c r="O979" t="s">
        <v>89</v>
      </c>
      <c r="P979" t="s">
        <v>178</v>
      </c>
      <c r="Q979" t="s">
        <v>114</v>
      </c>
      <c r="R979">
        <v>7</v>
      </c>
      <c r="S979">
        <v>5</v>
      </c>
      <c r="T979">
        <v>2006</v>
      </c>
      <c r="U979">
        <v>2007</v>
      </c>
      <c r="V979" t="s">
        <v>92</v>
      </c>
      <c r="W979" t="s">
        <v>93</v>
      </c>
      <c r="X979" t="s">
        <v>94</v>
      </c>
      <c r="Y979" t="s">
        <v>94</v>
      </c>
      <c r="AB979" t="s">
        <v>96</v>
      </c>
      <c r="AC979" t="s">
        <v>97</v>
      </c>
      <c r="AD979" t="s">
        <v>98</v>
      </c>
      <c r="AE979" t="s">
        <v>96</v>
      </c>
      <c r="AF979" t="s">
        <v>97</v>
      </c>
      <c r="AG979" t="s">
        <v>99</v>
      </c>
      <c r="AH979" t="s">
        <v>100</v>
      </c>
      <c r="AI979">
        <v>1106</v>
      </c>
      <c r="AJ979" t="s">
        <v>101</v>
      </c>
      <c r="AK979">
        <v>0</v>
      </c>
      <c r="AL979">
        <v>135</v>
      </c>
      <c r="AM979">
        <v>1241</v>
      </c>
      <c r="AN979" t="s">
        <v>102</v>
      </c>
      <c r="AO979" t="s">
        <v>103</v>
      </c>
      <c r="AP979" t="s">
        <v>104</v>
      </c>
      <c r="AQ979" t="s">
        <v>105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96</v>
      </c>
      <c r="BC979">
        <v>4</v>
      </c>
      <c r="BD979" t="s">
        <v>106</v>
      </c>
      <c r="BE979">
        <v>0</v>
      </c>
      <c r="BG979" t="s">
        <v>107</v>
      </c>
      <c r="BH979">
        <v>2007</v>
      </c>
      <c r="BI979" t="s">
        <v>156</v>
      </c>
      <c r="BJ979">
        <v>2</v>
      </c>
      <c r="BK979">
        <v>569</v>
      </c>
      <c r="BL979" t="s">
        <v>97</v>
      </c>
      <c r="BM979" t="s">
        <v>97</v>
      </c>
      <c r="BN979" t="s">
        <v>104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X979">
        <v>0</v>
      </c>
      <c r="BY979">
        <v>11</v>
      </c>
      <c r="BZ979">
        <v>2007</v>
      </c>
      <c r="CA979" t="s">
        <v>157</v>
      </c>
      <c r="CB979" t="s">
        <v>158</v>
      </c>
      <c r="CC979">
        <v>199900</v>
      </c>
    </row>
    <row r="980" spans="1:81" x14ac:dyDescent="0.3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H980" t="s">
        <v>83</v>
      </c>
      <c r="I980" t="s">
        <v>174</v>
      </c>
      <c r="J980" t="s">
        <v>85</v>
      </c>
      <c r="K980" t="s">
        <v>86</v>
      </c>
      <c r="L980" t="s">
        <v>193</v>
      </c>
      <c r="M980" t="s">
        <v>184</v>
      </c>
      <c r="N980" t="s">
        <v>89</v>
      </c>
      <c r="O980" t="s">
        <v>89</v>
      </c>
      <c r="P980" t="s">
        <v>90</v>
      </c>
      <c r="Q980" t="s">
        <v>114</v>
      </c>
      <c r="R980">
        <v>4</v>
      </c>
      <c r="S980">
        <v>5</v>
      </c>
      <c r="T980">
        <v>1954</v>
      </c>
      <c r="U980">
        <v>1954</v>
      </c>
      <c r="V980" t="s">
        <v>92</v>
      </c>
      <c r="W980" t="s">
        <v>93</v>
      </c>
      <c r="X980" t="s">
        <v>115</v>
      </c>
      <c r="Y980" t="s">
        <v>115</v>
      </c>
      <c r="Z980" t="s">
        <v>116</v>
      </c>
      <c r="AA980">
        <v>0</v>
      </c>
      <c r="AB980" t="s">
        <v>97</v>
      </c>
      <c r="AC980" t="s">
        <v>97</v>
      </c>
      <c r="AD980" t="s">
        <v>117</v>
      </c>
      <c r="AE980" t="s">
        <v>97</v>
      </c>
      <c r="AF980" t="s">
        <v>97</v>
      </c>
      <c r="AG980" t="s">
        <v>99</v>
      </c>
      <c r="AH980" t="s">
        <v>171</v>
      </c>
      <c r="AI980">
        <v>552</v>
      </c>
      <c r="AJ980" t="s">
        <v>101</v>
      </c>
      <c r="AK980">
        <v>0</v>
      </c>
      <c r="AL980">
        <v>342</v>
      </c>
      <c r="AM980">
        <v>894</v>
      </c>
      <c r="AN980" t="s">
        <v>102</v>
      </c>
      <c r="AO980" t="s">
        <v>103</v>
      </c>
      <c r="AP980" t="s">
        <v>104</v>
      </c>
      <c r="AQ980" t="s">
        <v>105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97</v>
      </c>
      <c r="BC980">
        <v>5</v>
      </c>
      <c r="BD980" t="s">
        <v>106</v>
      </c>
      <c r="BE980">
        <v>0</v>
      </c>
      <c r="BG980" t="s">
        <v>126</v>
      </c>
      <c r="BH980">
        <v>1999</v>
      </c>
      <c r="BI980" t="s">
        <v>101</v>
      </c>
      <c r="BJ980">
        <v>2</v>
      </c>
      <c r="BK980">
        <v>400</v>
      </c>
      <c r="BL980" t="s">
        <v>97</v>
      </c>
      <c r="BM980" t="s">
        <v>97</v>
      </c>
      <c r="BN980" t="s">
        <v>104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X980">
        <v>0</v>
      </c>
      <c r="BY980">
        <v>5</v>
      </c>
      <c r="BZ980">
        <v>2007</v>
      </c>
      <c r="CA980" t="s">
        <v>109</v>
      </c>
      <c r="CB980" t="s">
        <v>127</v>
      </c>
      <c r="CC980">
        <v>110000</v>
      </c>
    </row>
    <row r="981" spans="1:81" x14ac:dyDescent="0.3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H981" t="s">
        <v>83</v>
      </c>
      <c r="I981" t="s">
        <v>84</v>
      </c>
      <c r="J981" t="s">
        <v>85</v>
      </c>
      <c r="K981" t="s">
        <v>121</v>
      </c>
      <c r="L981" t="s">
        <v>87</v>
      </c>
      <c r="M981" t="s">
        <v>150</v>
      </c>
      <c r="N981" t="s">
        <v>113</v>
      </c>
      <c r="O981" t="s">
        <v>89</v>
      </c>
      <c r="P981" t="s">
        <v>90</v>
      </c>
      <c r="Q981" t="s">
        <v>114</v>
      </c>
      <c r="R981">
        <v>5</v>
      </c>
      <c r="S981">
        <v>6</v>
      </c>
      <c r="T981">
        <v>1963</v>
      </c>
      <c r="U981">
        <v>1963</v>
      </c>
      <c r="V981" t="s">
        <v>92</v>
      </c>
      <c r="W981" t="s">
        <v>93</v>
      </c>
      <c r="X981" t="s">
        <v>94</v>
      </c>
      <c r="Y981" t="s">
        <v>94</v>
      </c>
      <c r="Z981" t="s">
        <v>116</v>
      </c>
      <c r="AA981">
        <v>0</v>
      </c>
      <c r="AB981" t="s">
        <v>97</v>
      </c>
      <c r="AC981" t="s">
        <v>97</v>
      </c>
      <c r="AD981" t="s">
        <v>98</v>
      </c>
      <c r="AE981" t="s">
        <v>97</v>
      </c>
      <c r="AF981" t="s">
        <v>97</v>
      </c>
      <c r="AG981" t="s">
        <v>99</v>
      </c>
      <c r="AH981" t="s">
        <v>152</v>
      </c>
      <c r="AI981">
        <v>651</v>
      </c>
      <c r="AJ981" t="s">
        <v>101</v>
      </c>
      <c r="AK981">
        <v>0</v>
      </c>
      <c r="AL981">
        <v>470</v>
      </c>
      <c r="AM981">
        <v>1121</v>
      </c>
      <c r="AN981" t="s">
        <v>102</v>
      </c>
      <c r="AO981" t="s">
        <v>97</v>
      </c>
      <c r="AP981" t="s">
        <v>104</v>
      </c>
      <c r="AQ981" t="s">
        <v>105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97</v>
      </c>
      <c r="BC981">
        <v>5</v>
      </c>
      <c r="BD981" t="s">
        <v>106</v>
      </c>
      <c r="BE981">
        <v>0</v>
      </c>
      <c r="BG981" t="s">
        <v>126</v>
      </c>
      <c r="BH981">
        <v>1963</v>
      </c>
      <c r="BI981" t="s">
        <v>101</v>
      </c>
      <c r="BJ981">
        <v>2</v>
      </c>
      <c r="BK981">
        <v>480</v>
      </c>
      <c r="BL981" t="s">
        <v>97</v>
      </c>
      <c r="BM981" t="s">
        <v>97</v>
      </c>
      <c r="BN981" t="s">
        <v>104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V981" t="s">
        <v>133</v>
      </c>
      <c r="BX981">
        <v>0</v>
      </c>
      <c r="BY981">
        <v>6</v>
      </c>
      <c r="BZ981">
        <v>2009</v>
      </c>
      <c r="CA981" t="s">
        <v>109</v>
      </c>
      <c r="CB981" t="s">
        <v>110</v>
      </c>
      <c r="CC981">
        <v>139000</v>
      </c>
    </row>
    <row r="982" spans="1:81" x14ac:dyDescent="0.3">
      <c r="A982">
        <v>981</v>
      </c>
      <c r="B982">
        <v>85</v>
      </c>
      <c r="C982" t="s">
        <v>81</v>
      </c>
      <c r="E982">
        <v>12122</v>
      </c>
      <c r="F982" t="s">
        <v>82</v>
      </c>
      <c r="H982" t="s">
        <v>119</v>
      </c>
      <c r="I982" t="s">
        <v>84</v>
      </c>
      <c r="J982" t="s">
        <v>85</v>
      </c>
      <c r="K982" t="s">
        <v>121</v>
      </c>
      <c r="L982" t="s">
        <v>87</v>
      </c>
      <c r="M982" t="s">
        <v>270</v>
      </c>
      <c r="N982" t="s">
        <v>89</v>
      </c>
      <c r="O982" t="s">
        <v>89</v>
      </c>
      <c r="P982" t="s">
        <v>90</v>
      </c>
      <c r="Q982" t="s">
        <v>190</v>
      </c>
      <c r="R982">
        <v>7</v>
      </c>
      <c r="S982">
        <v>9</v>
      </c>
      <c r="T982">
        <v>1961</v>
      </c>
      <c r="U982">
        <v>2007</v>
      </c>
      <c r="V982" t="s">
        <v>92</v>
      </c>
      <c r="W982" t="s">
        <v>93</v>
      </c>
      <c r="X982" t="s">
        <v>179</v>
      </c>
      <c r="Y982" t="s">
        <v>180</v>
      </c>
      <c r="Z982" t="s">
        <v>136</v>
      </c>
      <c r="AA982">
        <v>210</v>
      </c>
      <c r="AB982" t="s">
        <v>103</v>
      </c>
      <c r="AC982" t="s">
        <v>97</v>
      </c>
      <c r="AD982" t="s">
        <v>117</v>
      </c>
      <c r="AE982" t="s">
        <v>97</v>
      </c>
      <c r="AF982" t="s">
        <v>97</v>
      </c>
      <c r="AG982" t="s">
        <v>129</v>
      </c>
      <c r="AH982" t="s">
        <v>118</v>
      </c>
      <c r="AI982">
        <v>867</v>
      </c>
      <c r="AJ982" t="s">
        <v>101</v>
      </c>
      <c r="AK982">
        <v>0</v>
      </c>
      <c r="AL982">
        <v>77</v>
      </c>
      <c r="AM982">
        <v>944</v>
      </c>
      <c r="AN982" t="s">
        <v>102</v>
      </c>
      <c r="AO982" t="s">
        <v>96</v>
      </c>
      <c r="AP982" t="s">
        <v>104</v>
      </c>
      <c r="AQ982" t="s">
        <v>105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103</v>
      </c>
      <c r="BC982">
        <v>6</v>
      </c>
      <c r="BD982" t="s">
        <v>106</v>
      </c>
      <c r="BE982">
        <v>0</v>
      </c>
      <c r="BG982" t="s">
        <v>107</v>
      </c>
      <c r="BH982">
        <v>1961</v>
      </c>
      <c r="BI982" t="s">
        <v>108</v>
      </c>
      <c r="BJ982">
        <v>2</v>
      </c>
      <c r="BK982">
        <v>588</v>
      </c>
      <c r="BL982" t="s">
        <v>97</v>
      </c>
      <c r="BM982" t="s">
        <v>97</v>
      </c>
      <c r="BN982" t="s">
        <v>104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X982">
        <v>0</v>
      </c>
      <c r="BY982">
        <v>7</v>
      </c>
      <c r="BZ982">
        <v>2008</v>
      </c>
      <c r="CA982" t="s">
        <v>109</v>
      </c>
      <c r="CB982" t="s">
        <v>110</v>
      </c>
      <c r="CC982">
        <v>178400</v>
      </c>
    </row>
    <row r="983" spans="1:81" x14ac:dyDescent="0.3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H983" t="s">
        <v>119</v>
      </c>
      <c r="I983" t="s">
        <v>84</v>
      </c>
      <c r="J983" t="s">
        <v>85</v>
      </c>
      <c r="K983" t="s">
        <v>121</v>
      </c>
      <c r="L983" t="s">
        <v>87</v>
      </c>
      <c r="M983" t="s">
        <v>128</v>
      </c>
      <c r="N983" t="s">
        <v>89</v>
      </c>
      <c r="O983" t="s">
        <v>89</v>
      </c>
      <c r="P983" t="s">
        <v>90</v>
      </c>
      <c r="Q983" t="s">
        <v>91</v>
      </c>
      <c r="R983">
        <v>8</v>
      </c>
      <c r="S983">
        <v>5</v>
      </c>
      <c r="T983">
        <v>1998</v>
      </c>
      <c r="U983">
        <v>1999</v>
      </c>
      <c r="V983" t="s">
        <v>151</v>
      </c>
      <c r="W983" t="s">
        <v>93</v>
      </c>
      <c r="X983" t="s">
        <v>94</v>
      </c>
      <c r="Y983" t="s">
        <v>94</v>
      </c>
      <c r="Z983" t="s">
        <v>95</v>
      </c>
      <c r="AA983">
        <v>975</v>
      </c>
      <c r="AB983" t="s">
        <v>96</v>
      </c>
      <c r="AC983" t="s">
        <v>97</v>
      </c>
      <c r="AD983" t="s">
        <v>98</v>
      </c>
      <c r="AE983" t="s">
        <v>96</v>
      </c>
      <c r="AF983" t="s">
        <v>97</v>
      </c>
      <c r="AG983" t="s">
        <v>99</v>
      </c>
      <c r="AH983" t="s">
        <v>100</v>
      </c>
      <c r="AI983">
        <v>854</v>
      </c>
      <c r="AJ983" t="s">
        <v>101</v>
      </c>
      <c r="AK983">
        <v>0</v>
      </c>
      <c r="AL983">
        <v>371</v>
      </c>
      <c r="AM983">
        <v>1225</v>
      </c>
      <c r="AN983" t="s">
        <v>102</v>
      </c>
      <c r="AO983" t="s">
        <v>103</v>
      </c>
      <c r="AP983" t="s">
        <v>104</v>
      </c>
      <c r="AQ983" t="s">
        <v>105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96</v>
      </c>
      <c r="BC983">
        <v>8</v>
      </c>
      <c r="BD983" t="s">
        <v>106</v>
      </c>
      <c r="BE983">
        <v>1</v>
      </c>
      <c r="BF983" t="s">
        <v>97</v>
      </c>
      <c r="BG983" t="s">
        <v>107</v>
      </c>
      <c r="BH983">
        <v>1998</v>
      </c>
      <c r="BI983" t="s">
        <v>156</v>
      </c>
      <c r="BJ983">
        <v>3</v>
      </c>
      <c r="BK983">
        <v>676</v>
      </c>
      <c r="BL983" t="s">
        <v>97</v>
      </c>
      <c r="BM983" t="s">
        <v>97</v>
      </c>
      <c r="BN983" t="s">
        <v>104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X983">
        <v>0</v>
      </c>
      <c r="BY983">
        <v>7</v>
      </c>
      <c r="BZ983">
        <v>2009</v>
      </c>
      <c r="CA983" t="s">
        <v>109</v>
      </c>
      <c r="CB983" t="s">
        <v>110</v>
      </c>
      <c r="CC983">
        <v>336000</v>
      </c>
    </row>
    <row r="984" spans="1:81" x14ac:dyDescent="0.3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226</v>
      </c>
      <c r="N984" t="s">
        <v>89</v>
      </c>
      <c r="O984" t="s">
        <v>89</v>
      </c>
      <c r="P984" t="s">
        <v>90</v>
      </c>
      <c r="Q984" t="s">
        <v>114</v>
      </c>
      <c r="R984">
        <v>7</v>
      </c>
      <c r="S984">
        <v>5</v>
      </c>
      <c r="T984">
        <v>2007</v>
      </c>
      <c r="U984">
        <v>2007</v>
      </c>
      <c r="V984" t="s">
        <v>92</v>
      </c>
      <c r="W984" t="s">
        <v>93</v>
      </c>
      <c r="X984" t="s">
        <v>94</v>
      </c>
      <c r="Y984" t="s">
        <v>94</v>
      </c>
      <c r="Z984" t="s">
        <v>95</v>
      </c>
      <c r="AA984">
        <v>16</v>
      </c>
      <c r="AB984" t="s">
        <v>96</v>
      </c>
      <c r="AC984" t="s">
        <v>97</v>
      </c>
      <c r="AD984" t="s">
        <v>98</v>
      </c>
      <c r="AE984" t="s">
        <v>96</v>
      </c>
      <c r="AF984" t="s">
        <v>97</v>
      </c>
      <c r="AG984" t="s">
        <v>129</v>
      </c>
      <c r="AH984" t="s">
        <v>101</v>
      </c>
      <c r="AI984">
        <v>0</v>
      </c>
      <c r="AJ984" t="s">
        <v>101</v>
      </c>
      <c r="AK984">
        <v>0</v>
      </c>
      <c r="AL984">
        <v>1266</v>
      </c>
      <c r="AM984">
        <v>1266</v>
      </c>
      <c r="AN984" t="s">
        <v>102</v>
      </c>
      <c r="AO984" t="s">
        <v>103</v>
      </c>
      <c r="AP984" t="s">
        <v>104</v>
      </c>
      <c r="AQ984" t="s">
        <v>105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96</v>
      </c>
      <c r="BC984">
        <v>6</v>
      </c>
      <c r="BD984" t="s">
        <v>106</v>
      </c>
      <c r="BE984">
        <v>1</v>
      </c>
      <c r="BF984" t="s">
        <v>96</v>
      </c>
      <c r="BG984" t="s">
        <v>107</v>
      </c>
      <c r="BH984">
        <v>2007</v>
      </c>
      <c r="BI984" t="s">
        <v>156</v>
      </c>
      <c r="BJ984">
        <v>2</v>
      </c>
      <c r="BK984">
        <v>388</v>
      </c>
      <c r="BL984" t="s">
        <v>97</v>
      </c>
      <c r="BM984" t="s">
        <v>97</v>
      </c>
      <c r="BN984" t="s">
        <v>104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X984">
        <v>0</v>
      </c>
      <c r="BY984">
        <v>3</v>
      </c>
      <c r="BZ984">
        <v>2008</v>
      </c>
      <c r="CA984" t="s">
        <v>109</v>
      </c>
      <c r="CB984" t="s">
        <v>110</v>
      </c>
      <c r="CC984">
        <v>159895</v>
      </c>
    </row>
    <row r="985" spans="1:81" x14ac:dyDescent="0.3">
      <c r="A985">
        <v>984</v>
      </c>
      <c r="B985">
        <v>60</v>
      </c>
      <c r="C985" t="s">
        <v>81</v>
      </c>
      <c r="E985">
        <v>11250</v>
      </c>
      <c r="F985" t="s">
        <v>82</v>
      </c>
      <c r="H985" t="s">
        <v>83</v>
      </c>
      <c r="I985" t="s">
        <v>84</v>
      </c>
      <c r="J985" t="s">
        <v>85</v>
      </c>
      <c r="K985" t="s">
        <v>121</v>
      </c>
      <c r="L985" t="s">
        <v>87</v>
      </c>
      <c r="M985" t="s">
        <v>88</v>
      </c>
      <c r="N985" t="s">
        <v>89</v>
      </c>
      <c r="O985" t="s">
        <v>89</v>
      </c>
      <c r="P985" t="s">
        <v>90</v>
      </c>
      <c r="Q985" t="s">
        <v>91</v>
      </c>
      <c r="R985">
        <v>8</v>
      </c>
      <c r="S985">
        <v>5</v>
      </c>
      <c r="T985">
        <v>2002</v>
      </c>
      <c r="U985">
        <v>2002</v>
      </c>
      <c r="V985" t="s">
        <v>92</v>
      </c>
      <c r="W985" t="s">
        <v>93</v>
      </c>
      <c r="X985" t="s">
        <v>179</v>
      </c>
      <c r="Y985" t="s">
        <v>180</v>
      </c>
      <c r="Z985" t="s">
        <v>116</v>
      </c>
      <c r="AA985">
        <v>0</v>
      </c>
      <c r="AB985" t="s">
        <v>96</v>
      </c>
      <c r="AC985" t="s">
        <v>97</v>
      </c>
      <c r="AD985" t="s">
        <v>98</v>
      </c>
      <c r="AE985" t="s">
        <v>96</v>
      </c>
      <c r="AF985" t="s">
        <v>97</v>
      </c>
      <c r="AG985" t="s">
        <v>120</v>
      </c>
      <c r="AH985" t="s">
        <v>101</v>
      </c>
      <c r="AI985">
        <v>0</v>
      </c>
      <c r="AJ985" t="s">
        <v>101</v>
      </c>
      <c r="AK985">
        <v>0</v>
      </c>
      <c r="AL985">
        <v>1128</v>
      </c>
      <c r="AM985">
        <v>1128</v>
      </c>
      <c r="AN985" t="s">
        <v>102</v>
      </c>
      <c r="AO985" t="s">
        <v>103</v>
      </c>
      <c r="AP985" t="s">
        <v>104</v>
      </c>
      <c r="AQ985" t="s">
        <v>105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96</v>
      </c>
      <c r="BC985">
        <v>9</v>
      </c>
      <c r="BD985" t="s">
        <v>106</v>
      </c>
      <c r="BE985">
        <v>1</v>
      </c>
      <c r="BF985" t="s">
        <v>96</v>
      </c>
      <c r="BG985" t="s">
        <v>107</v>
      </c>
      <c r="BH985">
        <v>2002</v>
      </c>
      <c r="BI985" t="s">
        <v>101</v>
      </c>
      <c r="BJ985">
        <v>2</v>
      </c>
      <c r="BK985">
        <v>779</v>
      </c>
      <c r="BL985" t="s">
        <v>97</v>
      </c>
      <c r="BM985" t="s">
        <v>97</v>
      </c>
      <c r="BN985" t="s">
        <v>104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X985">
        <v>0</v>
      </c>
      <c r="BY985">
        <v>5</v>
      </c>
      <c r="BZ985">
        <v>2008</v>
      </c>
      <c r="CA985" t="s">
        <v>109</v>
      </c>
      <c r="CB985" t="s">
        <v>110</v>
      </c>
      <c r="CC985">
        <v>255900</v>
      </c>
    </row>
    <row r="986" spans="1:81" x14ac:dyDescent="0.3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H986" t="s">
        <v>83</v>
      </c>
      <c r="I986" t="s">
        <v>84</v>
      </c>
      <c r="J986" t="s">
        <v>85</v>
      </c>
      <c r="K986" t="s">
        <v>86</v>
      </c>
      <c r="L986" t="s">
        <v>87</v>
      </c>
      <c r="M986" t="s">
        <v>130</v>
      </c>
      <c r="N986" t="s">
        <v>89</v>
      </c>
      <c r="O986" t="s">
        <v>89</v>
      </c>
      <c r="P986" t="s">
        <v>166</v>
      </c>
      <c r="Q986" t="s">
        <v>131</v>
      </c>
      <c r="R986">
        <v>5</v>
      </c>
      <c r="S986">
        <v>5</v>
      </c>
      <c r="T986">
        <v>1977</v>
      </c>
      <c r="U986">
        <v>1977</v>
      </c>
      <c r="V986" t="s">
        <v>92</v>
      </c>
      <c r="W986" t="s">
        <v>93</v>
      </c>
      <c r="X986" t="s">
        <v>160</v>
      </c>
      <c r="Y986" t="s">
        <v>160</v>
      </c>
      <c r="Z986" t="s">
        <v>116</v>
      </c>
      <c r="AA986">
        <v>0</v>
      </c>
      <c r="AB986" t="s">
        <v>97</v>
      </c>
      <c r="AC986" t="s">
        <v>97</v>
      </c>
      <c r="AD986" t="s">
        <v>117</v>
      </c>
      <c r="AI986">
        <v>0</v>
      </c>
      <c r="AK986">
        <v>0</v>
      </c>
      <c r="AL986">
        <v>0</v>
      </c>
      <c r="AM986">
        <v>0</v>
      </c>
      <c r="AN986" t="s">
        <v>102</v>
      </c>
      <c r="AO986" t="s">
        <v>97</v>
      </c>
      <c r="AP986" t="s">
        <v>104</v>
      </c>
      <c r="AQ986" t="s">
        <v>105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96</v>
      </c>
      <c r="BC986">
        <v>8</v>
      </c>
      <c r="BD986" t="s">
        <v>106</v>
      </c>
      <c r="BE986">
        <v>0</v>
      </c>
      <c r="BG986" t="s">
        <v>107</v>
      </c>
      <c r="BH986">
        <v>1977</v>
      </c>
      <c r="BI986" t="s">
        <v>101</v>
      </c>
      <c r="BJ986">
        <v>2</v>
      </c>
      <c r="BK986">
        <v>539</v>
      </c>
      <c r="BL986" t="s">
        <v>97</v>
      </c>
      <c r="BM986" t="s">
        <v>97</v>
      </c>
      <c r="BN986" t="s">
        <v>104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X986">
        <v>0</v>
      </c>
      <c r="BY986">
        <v>8</v>
      </c>
      <c r="BZ986">
        <v>2009</v>
      </c>
      <c r="CA986" t="s">
        <v>172</v>
      </c>
      <c r="CB986" t="s">
        <v>110</v>
      </c>
      <c r="CC986">
        <v>126000</v>
      </c>
    </row>
    <row r="987" spans="1:81" x14ac:dyDescent="0.3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H987" t="s">
        <v>83</v>
      </c>
      <c r="I987" t="s">
        <v>84</v>
      </c>
      <c r="J987" t="s">
        <v>85</v>
      </c>
      <c r="K987" t="s">
        <v>86</v>
      </c>
      <c r="L987" t="s">
        <v>87</v>
      </c>
      <c r="M987" t="s">
        <v>184</v>
      </c>
      <c r="N987" t="s">
        <v>89</v>
      </c>
      <c r="O987" t="s">
        <v>89</v>
      </c>
      <c r="P987" t="s">
        <v>148</v>
      </c>
      <c r="Q987" t="s">
        <v>114</v>
      </c>
      <c r="R987">
        <v>5</v>
      </c>
      <c r="S987">
        <v>5</v>
      </c>
      <c r="T987">
        <v>1950</v>
      </c>
      <c r="U987">
        <v>1950</v>
      </c>
      <c r="V987" t="s">
        <v>92</v>
      </c>
      <c r="W987" t="s">
        <v>93</v>
      </c>
      <c r="X987" t="s">
        <v>115</v>
      </c>
      <c r="Y987" t="s">
        <v>115</v>
      </c>
      <c r="Z987" t="s">
        <v>116</v>
      </c>
      <c r="AA987">
        <v>0</v>
      </c>
      <c r="AB987" t="s">
        <v>97</v>
      </c>
      <c r="AC987" t="s">
        <v>97</v>
      </c>
      <c r="AD987" t="s">
        <v>117</v>
      </c>
      <c r="AE987" t="s">
        <v>97</v>
      </c>
      <c r="AF987" t="s">
        <v>97</v>
      </c>
      <c r="AG987" t="s">
        <v>99</v>
      </c>
      <c r="AH987" t="s">
        <v>118</v>
      </c>
      <c r="AI987">
        <v>1040</v>
      </c>
      <c r="AJ987" t="s">
        <v>101</v>
      </c>
      <c r="AK987">
        <v>0</v>
      </c>
      <c r="AL987">
        <v>124</v>
      </c>
      <c r="AM987">
        <v>1164</v>
      </c>
      <c r="AN987" t="s">
        <v>205</v>
      </c>
      <c r="AO987" t="s">
        <v>97</v>
      </c>
      <c r="AP987" t="s">
        <v>176</v>
      </c>
      <c r="AQ987" t="s">
        <v>105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97</v>
      </c>
      <c r="BC987">
        <v>5</v>
      </c>
      <c r="BD987" t="s">
        <v>106</v>
      </c>
      <c r="BE987">
        <v>0</v>
      </c>
      <c r="BG987" t="s">
        <v>126</v>
      </c>
      <c r="BH987">
        <v>1950</v>
      </c>
      <c r="BI987" t="s">
        <v>101</v>
      </c>
      <c r="BJ987">
        <v>1</v>
      </c>
      <c r="BK987">
        <v>240</v>
      </c>
      <c r="BL987" t="s">
        <v>97</v>
      </c>
      <c r="BM987" t="s">
        <v>97</v>
      </c>
      <c r="BN987" t="s">
        <v>104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X987">
        <v>0</v>
      </c>
      <c r="BY987">
        <v>8</v>
      </c>
      <c r="BZ987">
        <v>2008</v>
      </c>
      <c r="CA987" t="s">
        <v>207</v>
      </c>
      <c r="CB987" t="s">
        <v>110</v>
      </c>
      <c r="CC987">
        <v>125000</v>
      </c>
    </row>
    <row r="988" spans="1:81" x14ac:dyDescent="0.3">
      <c r="A988">
        <v>987</v>
      </c>
      <c r="B988">
        <v>50</v>
      </c>
      <c r="C988" t="s">
        <v>141</v>
      </c>
      <c r="D988">
        <v>59</v>
      </c>
      <c r="E988">
        <v>5310</v>
      </c>
      <c r="F988" t="s">
        <v>82</v>
      </c>
      <c r="H988" t="s">
        <v>83</v>
      </c>
      <c r="I988" t="s">
        <v>84</v>
      </c>
      <c r="J988" t="s">
        <v>85</v>
      </c>
      <c r="K988" t="s">
        <v>121</v>
      </c>
      <c r="L988" t="s">
        <v>87</v>
      </c>
      <c r="M988" t="s">
        <v>142</v>
      </c>
      <c r="N988" t="s">
        <v>113</v>
      </c>
      <c r="O988" t="s">
        <v>89</v>
      </c>
      <c r="P988" t="s">
        <v>90</v>
      </c>
      <c r="Q988" t="s">
        <v>131</v>
      </c>
      <c r="R988">
        <v>6</v>
      </c>
      <c r="S988">
        <v>8</v>
      </c>
      <c r="T988">
        <v>1910</v>
      </c>
      <c r="U988">
        <v>2003</v>
      </c>
      <c r="V988" t="s">
        <v>151</v>
      </c>
      <c r="W988" t="s">
        <v>93</v>
      </c>
      <c r="X988" t="s">
        <v>94</v>
      </c>
      <c r="Y988" t="s">
        <v>94</v>
      </c>
      <c r="Z988" t="s">
        <v>116</v>
      </c>
      <c r="AA988">
        <v>0</v>
      </c>
      <c r="AB988" t="s">
        <v>97</v>
      </c>
      <c r="AC988" t="s">
        <v>96</v>
      </c>
      <c r="AD988" t="s">
        <v>117</v>
      </c>
      <c r="AE988" t="s">
        <v>97</v>
      </c>
      <c r="AF988" t="s">
        <v>146</v>
      </c>
      <c r="AG988" t="s">
        <v>99</v>
      </c>
      <c r="AH988" t="s">
        <v>101</v>
      </c>
      <c r="AI988">
        <v>0</v>
      </c>
      <c r="AJ988" t="s">
        <v>101</v>
      </c>
      <c r="AK988">
        <v>0</v>
      </c>
      <c r="AL988">
        <v>485</v>
      </c>
      <c r="AM988">
        <v>485</v>
      </c>
      <c r="AN988" t="s">
        <v>102</v>
      </c>
      <c r="AO988" t="s">
        <v>96</v>
      </c>
      <c r="AP988" t="s">
        <v>104</v>
      </c>
      <c r="AQ988" t="s">
        <v>105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96</v>
      </c>
      <c r="BC988">
        <v>5</v>
      </c>
      <c r="BD988" t="s">
        <v>106</v>
      </c>
      <c r="BE988">
        <v>0</v>
      </c>
      <c r="BG988" t="s">
        <v>107</v>
      </c>
      <c r="BH988">
        <v>1950</v>
      </c>
      <c r="BI988" t="s">
        <v>101</v>
      </c>
      <c r="BJ988">
        <v>1</v>
      </c>
      <c r="BK988">
        <v>255</v>
      </c>
      <c r="BL988" t="s">
        <v>146</v>
      </c>
      <c r="BM988" t="s">
        <v>97</v>
      </c>
      <c r="BN988" t="s">
        <v>104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X988">
        <v>0</v>
      </c>
      <c r="BY988">
        <v>6</v>
      </c>
      <c r="BZ988">
        <v>2006</v>
      </c>
      <c r="CA988" t="s">
        <v>109</v>
      </c>
      <c r="CB988" t="s">
        <v>110</v>
      </c>
      <c r="CC988">
        <v>117000</v>
      </c>
    </row>
    <row r="989" spans="1:81" x14ac:dyDescent="0.3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H989" t="s">
        <v>119</v>
      </c>
      <c r="I989" t="s">
        <v>84</v>
      </c>
      <c r="J989" t="s">
        <v>85</v>
      </c>
      <c r="K989" t="s">
        <v>86</v>
      </c>
      <c r="L989" t="s">
        <v>87</v>
      </c>
      <c r="M989" t="s">
        <v>153</v>
      </c>
      <c r="N989" t="s">
        <v>89</v>
      </c>
      <c r="O989" t="s">
        <v>89</v>
      </c>
      <c r="P989" t="s">
        <v>90</v>
      </c>
      <c r="Q989" t="s">
        <v>114</v>
      </c>
      <c r="R989">
        <v>9</v>
      </c>
      <c r="S989">
        <v>5</v>
      </c>
      <c r="T989">
        <v>2009</v>
      </c>
      <c r="U989">
        <v>2010</v>
      </c>
      <c r="V989" t="s">
        <v>151</v>
      </c>
      <c r="W989" t="s">
        <v>93</v>
      </c>
      <c r="X989" t="s">
        <v>94</v>
      </c>
      <c r="Y989" t="s">
        <v>94</v>
      </c>
      <c r="Z989" t="s">
        <v>136</v>
      </c>
      <c r="AA989">
        <v>450</v>
      </c>
      <c r="AB989" t="s">
        <v>103</v>
      </c>
      <c r="AC989" t="s">
        <v>97</v>
      </c>
      <c r="AD989" t="s">
        <v>98</v>
      </c>
      <c r="AE989" t="s">
        <v>103</v>
      </c>
      <c r="AF989" t="s">
        <v>97</v>
      </c>
      <c r="AG989" t="s">
        <v>129</v>
      </c>
      <c r="AH989" t="s">
        <v>100</v>
      </c>
      <c r="AI989">
        <v>1646</v>
      </c>
      <c r="AJ989" t="s">
        <v>101</v>
      </c>
      <c r="AK989">
        <v>0</v>
      </c>
      <c r="AL989">
        <v>284</v>
      </c>
      <c r="AM989">
        <v>1930</v>
      </c>
      <c r="AN989" t="s">
        <v>102</v>
      </c>
      <c r="AO989" t="s">
        <v>103</v>
      </c>
      <c r="AP989" t="s">
        <v>104</v>
      </c>
      <c r="AQ989" t="s">
        <v>105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103</v>
      </c>
      <c r="BC989">
        <v>8</v>
      </c>
      <c r="BD989" t="s">
        <v>106</v>
      </c>
      <c r="BE989">
        <v>1</v>
      </c>
      <c r="BF989" t="s">
        <v>96</v>
      </c>
      <c r="BG989" t="s">
        <v>107</v>
      </c>
      <c r="BH989">
        <v>2010</v>
      </c>
      <c r="BI989" t="s">
        <v>156</v>
      </c>
      <c r="BJ989">
        <v>3</v>
      </c>
      <c r="BK989">
        <v>606</v>
      </c>
      <c r="BL989" t="s">
        <v>97</v>
      </c>
      <c r="BM989" t="s">
        <v>97</v>
      </c>
      <c r="BN989" t="s">
        <v>104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X989">
        <v>0</v>
      </c>
      <c r="BY989">
        <v>4</v>
      </c>
      <c r="BZ989">
        <v>2010</v>
      </c>
      <c r="CA989" t="s">
        <v>157</v>
      </c>
      <c r="CB989" t="s">
        <v>158</v>
      </c>
      <c r="CC989">
        <v>395192</v>
      </c>
    </row>
    <row r="990" spans="1:81" x14ac:dyDescent="0.3">
      <c r="A990">
        <v>989</v>
      </c>
      <c r="B990">
        <v>60</v>
      </c>
      <c r="C990" t="s">
        <v>81</v>
      </c>
      <c r="E990">
        <v>12046</v>
      </c>
      <c r="F990" t="s">
        <v>82</v>
      </c>
      <c r="H990" t="s">
        <v>119</v>
      </c>
      <c r="I990" t="s">
        <v>84</v>
      </c>
      <c r="J990" t="s">
        <v>85</v>
      </c>
      <c r="K990" t="s">
        <v>86</v>
      </c>
      <c r="L990" t="s">
        <v>87</v>
      </c>
      <c r="M990" t="s">
        <v>137</v>
      </c>
      <c r="N990" t="s">
        <v>89</v>
      </c>
      <c r="O990" t="s">
        <v>89</v>
      </c>
      <c r="P990" t="s">
        <v>90</v>
      </c>
      <c r="Q990" t="s">
        <v>91</v>
      </c>
      <c r="R990">
        <v>6</v>
      </c>
      <c r="S990">
        <v>6</v>
      </c>
      <c r="T990">
        <v>1976</v>
      </c>
      <c r="U990">
        <v>1976</v>
      </c>
      <c r="V990" t="s">
        <v>92</v>
      </c>
      <c r="W990" t="s">
        <v>93</v>
      </c>
      <c r="X990" t="s">
        <v>160</v>
      </c>
      <c r="Y990" t="s">
        <v>160</v>
      </c>
      <c r="Z990" t="s">
        <v>95</v>
      </c>
      <c r="AA990">
        <v>298</v>
      </c>
      <c r="AB990" t="s">
        <v>97</v>
      </c>
      <c r="AC990" t="s">
        <v>97</v>
      </c>
      <c r="AD990" t="s">
        <v>117</v>
      </c>
      <c r="AE990" t="s">
        <v>97</v>
      </c>
      <c r="AF990" t="s">
        <v>97</v>
      </c>
      <c r="AG990" t="s">
        <v>99</v>
      </c>
      <c r="AH990" t="s">
        <v>171</v>
      </c>
      <c r="AI990">
        <v>156</v>
      </c>
      <c r="AJ990" t="s">
        <v>101</v>
      </c>
      <c r="AK990">
        <v>0</v>
      </c>
      <c r="AL990">
        <v>692</v>
      </c>
      <c r="AM990">
        <v>848</v>
      </c>
      <c r="AN990" t="s">
        <v>102</v>
      </c>
      <c r="AO990" t="s">
        <v>97</v>
      </c>
      <c r="AP990" t="s">
        <v>104</v>
      </c>
      <c r="AQ990" t="s">
        <v>105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96</v>
      </c>
      <c r="BC990">
        <v>8</v>
      </c>
      <c r="BD990" t="s">
        <v>106</v>
      </c>
      <c r="BE990">
        <v>1</v>
      </c>
      <c r="BF990" t="s">
        <v>97</v>
      </c>
      <c r="BG990" t="s">
        <v>107</v>
      </c>
      <c r="BH990">
        <v>1976</v>
      </c>
      <c r="BI990" t="s">
        <v>156</v>
      </c>
      <c r="BJ990">
        <v>2</v>
      </c>
      <c r="BK990">
        <v>551</v>
      </c>
      <c r="BL990" t="s">
        <v>97</v>
      </c>
      <c r="BM990" t="s">
        <v>97</v>
      </c>
      <c r="BN990" t="s">
        <v>104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X990">
        <v>0</v>
      </c>
      <c r="BY990">
        <v>6</v>
      </c>
      <c r="BZ990">
        <v>2007</v>
      </c>
      <c r="CA990" t="s">
        <v>109</v>
      </c>
      <c r="CB990" t="s">
        <v>110</v>
      </c>
      <c r="CC990">
        <v>195000</v>
      </c>
    </row>
    <row r="991" spans="1:81" x14ac:dyDescent="0.3">
      <c r="A991">
        <v>990</v>
      </c>
      <c r="B991">
        <v>60</v>
      </c>
      <c r="C991" t="s">
        <v>191</v>
      </c>
      <c r="D991">
        <v>65</v>
      </c>
      <c r="E991">
        <v>8125</v>
      </c>
      <c r="F991" t="s">
        <v>82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135</v>
      </c>
      <c r="N991" t="s">
        <v>89</v>
      </c>
      <c r="O991" t="s">
        <v>89</v>
      </c>
      <c r="P991" t="s">
        <v>90</v>
      </c>
      <c r="Q991" t="s">
        <v>91</v>
      </c>
      <c r="R991">
        <v>7</v>
      </c>
      <c r="S991">
        <v>5</v>
      </c>
      <c r="T991">
        <v>2006</v>
      </c>
      <c r="U991">
        <v>2006</v>
      </c>
      <c r="V991" t="s">
        <v>92</v>
      </c>
      <c r="W991" t="s">
        <v>93</v>
      </c>
      <c r="X991" t="s">
        <v>94</v>
      </c>
      <c r="Y991" t="s">
        <v>94</v>
      </c>
      <c r="Z991" t="s">
        <v>116</v>
      </c>
      <c r="AA991">
        <v>0</v>
      </c>
      <c r="AB991" t="s">
        <v>96</v>
      </c>
      <c r="AC991" t="s">
        <v>97</v>
      </c>
      <c r="AD991" t="s">
        <v>98</v>
      </c>
      <c r="AE991" t="s">
        <v>96</v>
      </c>
      <c r="AF991" t="s">
        <v>96</v>
      </c>
      <c r="AG991" t="s">
        <v>99</v>
      </c>
      <c r="AH991" t="s">
        <v>101</v>
      </c>
      <c r="AI991">
        <v>0</v>
      </c>
      <c r="AJ991" t="s">
        <v>101</v>
      </c>
      <c r="AK991">
        <v>0</v>
      </c>
      <c r="AL991">
        <v>770</v>
      </c>
      <c r="AM991">
        <v>770</v>
      </c>
      <c r="AN991" t="s">
        <v>102</v>
      </c>
      <c r="AO991" t="s">
        <v>103</v>
      </c>
      <c r="AP991" t="s">
        <v>104</v>
      </c>
      <c r="AQ991" t="s">
        <v>105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96</v>
      </c>
      <c r="BC991">
        <v>6</v>
      </c>
      <c r="BD991" t="s">
        <v>106</v>
      </c>
      <c r="BE991">
        <v>0</v>
      </c>
      <c r="BG991" t="s">
        <v>107</v>
      </c>
      <c r="BH991">
        <v>2006</v>
      </c>
      <c r="BI991" t="s">
        <v>108</v>
      </c>
      <c r="BJ991">
        <v>2</v>
      </c>
      <c r="BK991">
        <v>614</v>
      </c>
      <c r="BL991" t="s">
        <v>97</v>
      </c>
      <c r="BM991" t="s">
        <v>97</v>
      </c>
      <c r="BN991" t="s">
        <v>104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X991">
        <v>0</v>
      </c>
      <c r="BY991">
        <v>8</v>
      </c>
      <c r="BZ991">
        <v>2006</v>
      </c>
      <c r="CA991" t="s">
        <v>157</v>
      </c>
      <c r="CB991" t="s">
        <v>158</v>
      </c>
      <c r="CC991">
        <v>197000</v>
      </c>
    </row>
    <row r="992" spans="1:81" x14ac:dyDescent="0.3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H992" t="s">
        <v>83</v>
      </c>
      <c r="I992" t="s">
        <v>84</v>
      </c>
      <c r="J992" t="s">
        <v>85</v>
      </c>
      <c r="K992" t="s">
        <v>86</v>
      </c>
      <c r="L992" t="s">
        <v>87</v>
      </c>
      <c r="M992" t="s">
        <v>128</v>
      </c>
      <c r="N992" t="s">
        <v>89</v>
      </c>
      <c r="O992" t="s">
        <v>89</v>
      </c>
      <c r="P992" t="s">
        <v>90</v>
      </c>
      <c r="Q992" t="s">
        <v>91</v>
      </c>
      <c r="R992">
        <v>8</v>
      </c>
      <c r="S992">
        <v>5</v>
      </c>
      <c r="T992">
        <v>1997</v>
      </c>
      <c r="U992">
        <v>1998</v>
      </c>
      <c r="V992" t="s">
        <v>92</v>
      </c>
      <c r="W992" t="s">
        <v>93</v>
      </c>
      <c r="X992" t="s">
        <v>94</v>
      </c>
      <c r="Y992" t="s">
        <v>94</v>
      </c>
      <c r="Z992" t="s">
        <v>95</v>
      </c>
      <c r="AA992">
        <v>423</v>
      </c>
      <c r="AB992" t="s">
        <v>96</v>
      </c>
      <c r="AC992" t="s">
        <v>97</v>
      </c>
      <c r="AD992" t="s">
        <v>98</v>
      </c>
      <c r="AE992" t="s">
        <v>96</v>
      </c>
      <c r="AF992" t="s">
        <v>97</v>
      </c>
      <c r="AG992" t="s">
        <v>99</v>
      </c>
      <c r="AH992" t="s">
        <v>100</v>
      </c>
      <c r="AI992">
        <v>1074</v>
      </c>
      <c r="AJ992" t="s">
        <v>101</v>
      </c>
      <c r="AK992">
        <v>0</v>
      </c>
      <c r="AL992">
        <v>322</v>
      </c>
      <c r="AM992">
        <v>1396</v>
      </c>
      <c r="AN992" t="s">
        <v>102</v>
      </c>
      <c r="AO992" t="s">
        <v>103</v>
      </c>
      <c r="AP992" t="s">
        <v>104</v>
      </c>
      <c r="AQ992" t="s">
        <v>105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96</v>
      </c>
      <c r="BC992">
        <v>7</v>
      </c>
      <c r="BD992" t="s">
        <v>106</v>
      </c>
      <c r="BE992">
        <v>1</v>
      </c>
      <c r="BF992" t="s">
        <v>97</v>
      </c>
      <c r="BG992" t="s">
        <v>107</v>
      </c>
      <c r="BH992">
        <v>1997</v>
      </c>
      <c r="BI992" t="s">
        <v>156</v>
      </c>
      <c r="BJ992">
        <v>3</v>
      </c>
      <c r="BK992">
        <v>870</v>
      </c>
      <c r="BL992" t="s">
        <v>97</v>
      </c>
      <c r="BM992" t="s">
        <v>97</v>
      </c>
      <c r="BN992" t="s">
        <v>104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X992">
        <v>0</v>
      </c>
      <c r="BY992">
        <v>6</v>
      </c>
      <c r="BZ992">
        <v>2006</v>
      </c>
      <c r="CA992" t="s">
        <v>109</v>
      </c>
      <c r="CB992" t="s">
        <v>110</v>
      </c>
      <c r="CC992">
        <v>348000</v>
      </c>
    </row>
    <row r="993" spans="1:81" x14ac:dyDescent="0.3">
      <c r="A993">
        <v>992</v>
      </c>
      <c r="B993">
        <v>70</v>
      </c>
      <c r="C993" t="s">
        <v>141</v>
      </c>
      <c r="D993">
        <v>121</v>
      </c>
      <c r="E993">
        <v>17671</v>
      </c>
      <c r="F993" t="s">
        <v>82</v>
      </c>
      <c r="G993" t="s">
        <v>173</v>
      </c>
      <c r="H993" t="s">
        <v>83</v>
      </c>
      <c r="I993" t="s">
        <v>84</v>
      </c>
      <c r="J993" t="s">
        <v>85</v>
      </c>
      <c r="K993" t="s">
        <v>121</v>
      </c>
      <c r="L993" t="s">
        <v>87</v>
      </c>
      <c r="M993" t="s">
        <v>142</v>
      </c>
      <c r="N993" t="s">
        <v>143</v>
      </c>
      <c r="O993" t="s">
        <v>89</v>
      </c>
      <c r="P993" t="s">
        <v>90</v>
      </c>
      <c r="Q993" t="s">
        <v>91</v>
      </c>
      <c r="R993">
        <v>8</v>
      </c>
      <c r="S993">
        <v>9</v>
      </c>
      <c r="T993">
        <v>1882</v>
      </c>
      <c r="U993">
        <v>1986</v>
      </c>
      <c r="V993" t="s">
        <v>92</v>
      </c>
      <c r="W993" t="s">
        <v>93</v>
      </c>
      <c r="X993" t="s">
        <v>123</v>
      </c>
      <c r="Y993" t="s">
        <v>123</v>
      </c>
      <c r="Z993" t="s">
        <v>116</v>
      </c>
      <c r="AA993">
        <v>0</v>
      </c>
      <c r="AB993" t="s">
        <v>96</v>
      </c>
      <c r="AC993" t="s">
        <v>96</v>
      </c>
      <c r="AD993" t="s">
        <v>125</v>
      </c>
      <c r="AE993" t="s">
        <v>97</v>
      </c>
      <c r="AF993" t="s">
        <v>97</v>
      </c>
      <c r="AG993" t="s">
        <v>99</v>
      </c>
      <c r="AH993" t="s">
        <v>140</v>
      </c>
      <c r="AI993">
        <v>216</v>
      </c>
      <c r="AJ993" t="s">
        <v>101</v>
      </c>
      <c r="AK993">
        <v>0</v>
      </c>
      <c r="AL993">
        <v>700</v>
      </c>
      <c r="AM993">
        <v>916</v>
      </c>
      <c r="AN993" t="s">
        <v>102</v>
      </c>
      <c r="AO993" t="s">
        <v>96</v>
      </c>
      <c r="AP993" t="s">
        <v>104</v>
      </c>
      <c r="AQ993" t="s">
        <v>105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96</v>
      </c>
      <c r="BC993">
        <v>8</v>
      </c>
      <c r="BD993" t="s">
        <v>106</v>
      </c>
      <c r="BE993">
        <v>1</v>
      </c>
      <c r="BF993" t="s">
        <v>96</v>
      </c>
      <c r="BG993" t="s">
        <v>107</v>
      </c>
      <c r="BH993">
        <v>1925</v>
      </c>
      <c r="BI993" t="s">
        <v>101</v>
      </c>
      <c r="BJ993">
        <v>2</v>
      </c>
      <c r="BK993">
        <v>424</v>
      </c>
      <c r="BL993" t="s">
        <v>97</v>
      </c>
      <c r="BM993" t="s">
        <v>97</v>
      </c>
      <c r="BN993" t="s">
        <v>189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X993">
        <v>0</v>
      </c>
      <c r="BY993">
        <v>11</v>
      </c>
      <c r="BZ993">
        <v>2009</v>
      </c>
      <c r="CA993" t="s">
        <v>109</v>
      </c>
      <c r="CB993" t="s">
        <v>110</v>
      </c>
      <c r="CC993">
        <v>168000</v>
      </c>
    </row>
    <row r="994" spans="1:81" x14ac:dyDescent="0.3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H994" t="s">
        <v>83</v>
      </c>
      <c r="I994" t="s">
        <v>84</v>
      </c>
      <c r="J994" t="s">
        <v>85</v>
      </c>
      <c r="K994" t="s">
        <v>86</v>
      </c>
      <c r="L994" t="s">
        <v>193</v>
      </c>
      <c r="M994" t="s">
        <v>270</v>
      </c>
      <c r="N994" t="s">
        <v>89</v>
      </c>
      <c r="O994" t="s">
        <v>89</v>
      </c>
      <c r="P994" t="s">
        <v>90</v>
      </c>
      <c r="Q994" t="s">
        <v>91</v>
      </c>
      <c r="R994">
        <v>6</v>
      </c>
      <c r="S994">
        <v>8</v>
      </c>
      <c r="T994">
        <v>1964</v>
      </c>
      <c r="U994">
        <v>1993</v>
      </c>
      <c r="V994" t="s">
        <v>151</v>
      </c>
      <c r="W994" t="s">
        <v>93</v>
      </c>
      <c r="X994" t="s">
        <v>123</v>
      </c>
      <c r="Y994" t="s">
        <v>123</v>
      </c>
      <c r="Z994" t="s">
        <v>95</v>
      </c>
      <c r="AA994">
        <v>340</v>
      </c>
      <c r="AB994" t="s">
        <v>97</v>
      </c>
      <c r="AC994" t="s">
        <v>97</v>
      </c>
      <c r="AD994" t="s">
        <v>117</v>
      </c>
      <c r="AE994" t="s">
        <v>97</v>
      </c>
      <c r="AF994" t="s">
        <v>97</v>
      </c>
      <c r="AG994" t="s">
        <v>96</v>
      </c>
      <c r="AH994" t="s">
        <v>140</v>
      </c>
      <c r="AI994">
        <v>536</v>
      </c>
      <c r="AJ994" t="s">
        <v>152</v>
      </c>
      <c r="AK994">
        <v>117</v>
      </c>
      <c r="AL994">
        <v>169</v>
      </c>
      <c r="AM994">
        <v>822</v>
      </c>
      <c r="AN994" t="s">
        <v>102</v>
      </c>
      <c r="AO994" t="s">
        <v>96</v>
      </c>
      <c r="AP994" t="s">
        <v>104</v>
      </c>
      <c r="AQ994" t="s">
        <v>105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96</v>
      </c>
      <c r="BC994">
        <v>7</v>
      </c>
      <c r="BD994" t="s">
        <v>106</v>
      </c>
      <c r="BE994">
        <v>1</v>
      </c>
      <c r="BF994" t="s">
        <v>146</v>
      </c>
      <c r="BG994" t="s">
        <v>107</v>
      </c>
      <c r="BH994">
        <v>1964</v>
      </c>
      <c r="BI994" t="s">
        <v>108</v>
      </c>
      <c r="BJ994">
        <v>2</v>
      </c>
      <c r="BK994">
        <v>440</v>
      </c>
      <c r="BL994" t="s">
        <v>97</v>
      </c>
      <c r="BM994" t="s">
        <v>97</v>
      </c>
      <c r="BN994" t="s">
        <v>104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V994" t="s">
        <v>217</v>
      </c>
      <c r="BX994">
        <v>0</v>
      </c>
      <c r="BY994">
        <v>7</v>
      </c>
      <c r="BZ994">
        <v>2007</v>
      </c>
      <c r="CA994" t="s">
        <v>109</v>
      </c>
      <c r="CB994" t="s">
        <v>110</v>
      </c>
      <c r="CC994">
        <v>187000</v>
      </c>
    </row>
    <row r="995" spans="1:81" x14ac:dyDescent="0.3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H995" t="s">
        <v>83</v>
      </c>
      <c r="I995" t="s">
        <v>84</v>
      </c>
      <c r="J995" t="s">
        <v>85</v>
      </c>
      <c r="K995" t="s">
        <v>86</v>
      </c>
      <c r="L995" t="s">
        <v>87</v>
      </c>
      <c r="M995" t="s">
        <v>88</v>
      </c>
      <c r="N995" t="s">
        <v>89</v>
      </c>
      <c r="O995" t="s">
        <v>89</v>
      </c>
      <c r="P995" t="s">
        <v>90</v>
      </c>
      <c r="Q995" t="s">
        <v>91</v>
      </c>
      <c r="R995">
        <v>6</v>
      </c>
      <c r="S995">
        <v>5</v>
      </c>
      <c r="T995">
        <v>2005</v>
      </c>
      <c r="U995">
        <v>2006</v>
      </c>
      <c r="V995" t="s">
        <v>92</v>
      </c>
      <c r="W995" t="s">
        <v>93</v>
      </c>
      <c r="X995" t="s">
        <v>94</v>
      </c>
      <c r="Y995" t="s">
        <v>94</v>
      </c>
      <c r="Z995" t="s">
        <v>116</v>
      </c>
      <c r="AA995">
        <v>0</v>
      </c>
      <c r="AB995" t="s">
        <v>97</v>
      </c>
      <c r="AC995" t="s">
        <v>97</v>
      </c>
      <c r="AD995" t="s">
        <v>98</v>
      </c>
      <c r="AE995" t="s">
        <v>96</v>
      </c>
      <c r="AF995" t="s">
        <v>97</v>
      </c>
      <c r="AG995" t="s">
        <v>99</v>
      </c>
      <c r="AH995" t="s">
        <v>101</v>
      </c>
      <c r="AI995">
        <v>0</v>
      </c>
      <c r="AJ995" t="s">
        <v>101</v>
      </c>
      <c r="AK995">
        <v>0</v>
      </c>
      <c r="AL995">
        <v>750</v>
      </c>
      <c r="AM995">
        <v>750</v>
      </c>
      <c r="AN995" t="s">
        <v>102</v>
      </c>
      <c r="AO995" t="s">
        <v>103</v>
      </c>
      <c r="AP995" t="s">
        <v>104</v>
      </c>
      <c r="AQ995" t="s">
        <v>105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96</v>
      </c>
      <c r="BC995">
        <v>6</v>
      </c>
      <c r="BD995" t="s">
        <v>106</v>
      </c>
      <c r="BE995">
        <v>0</v>
      </c>
      <c r="BG995" t="s">
        <v>107</v>
      </c>
      <c r="BH995">
        <v>2005</v>
      </c>
      <c r="BI995" t="s">
        <v>108</v>
      </c>
      <c r="BJ995">
        <v>2</v>
      </c>
      <c r="BK995">
        <v>564</v>
      </c>
      <c r="BL995" t="s">
        <v>97</v>
      </c>
      <c r="BM995" t="s">
        <v>97</v>
      </c>
      <c r="BN995" t="s">
        <v>104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X995">
        <v>0</v>
      </c>
      <c r="BY995">
        <v>8</v>
      </c>
      <c r="BZ995">
        <v>2006</v>
      </c>
      <c r="CA995" t="s">
        <v>157</v>
      </c>
      <c r="CB995" t="s">
        <v>158</v>
      </c>
      <c r="CC995">
        <v>173900</v>
      </c>
    </row>
    <row r="996" spans="1:81" x14ac:dyDescent="0.3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H996" t="s">
        <v>83</v>
      </c>
      <c r="I996" t="s">
        <v>84</v>
      </c>
      <c r="J996" t="s">
        <v>85</v>
      </c>
      <c r="K996" t="s">
        <v>111</v>
      </c>
      <c r="L996" t="s">
        <v>87</v>
      </c>
      <c r="M996" t="s">
        <v>153</v>
      </c>
      <c r="N996" t="s">
        <v>89</v>
      </c>
      <c r="O996" t="s">
        <v>89</v>
      </c>
      <c r="P996" t="s">
        <v>90</v>
      </c>
      <c r="Q996" t="s">
        <v>114</v>
      </c>
      <c r="R996">
        <v>10</v>
      </c>
      <c r="S996">
        <v>5</v>
      </c>
      <c r="T996">
        <v>2006</v>
      </c>
      <c r="U996">
        <v>2007</v>
      </c>
      <c r="V996" t="s">
        <v>151</v>
      </c>
      <c r="W996" t="s">
        <v>93</v>
      </c>
      <c r="X996" t="s">
        <v>179</v>
      </c>
      <c r="Y996" t="s">
        <v>180</v>
      </c>
      <c r="Z996" t="s">
        <v>136</v>
      </c>
      <c r="AA996">
        <v>230</v>
      </c>
      <c r="AB996" t="s">
        <v>103</v>
      </c>
      <c r="AC996" t="s">
        <v>97</v>
      </c>
      <c r="AD996" t="s">
        <v>98</v>
      </c>
      <c r="AE996" t="s">
        <v>103</v>
      </c>
      <c r="AF996" t="s">
        <v>97</v>
      </c>
      <c r="AG996" t="s">
        <v>96</v>
      </c>
      <c r="AH996" t="s">
        <v>100</v>
      </c>
      <c r="AI996">
        <v>1172</v>
      </c>
      <c r="AJ996" t="s">
        <v>101</v>
      </c>
      <c r="AK996">
        <v>0</v>
      </c>
      <c r="AL996">
        <v>528</v>
      </c>
      <c r="AM996">
        <v>1700</v>
      </c>
      <c r="AN996" t="s">
        <v>102</v>
      </c>
      <c r="AO996" t="s">
        <v>103</v>
      </c>
      <c r="AP996" t="s">
        <v>104</v>
      </c>
      <c r="AQ996" t="s">
        <v>105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103</v>
      </c>
      <c r="BC996">
        <v>7</v>
      </c>
      <c r="BD996" t="s">
        <v>106</v>
      </c>
      <c r="BE996">
        <v>1</v>
      </c>
      <c r="BF996" t="s">
        <v>96</v>
      </c>
      <c r="BG996" t="s">
        <v>107</v>
      </c>
      <c r="BH996">
        <v>2008</v>
      </c>
      <c r="BI996" t="s">
        <v>156</v>
      </c>
      <c r="BJ996">
        <v>3</v>
      </c>
      <c r="BK996">
        <v>786</v>
      </c>
      <c r="BL996" t="s">
        <v>97</v>
      </c>
      <c r="BM996" t="s">
        <v>97</v>
      </c>
      <c r="BN996" t="s">
        <v>104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X996">
        <v>0</v>
      </c>
      <c r="BY996">
        <v>7</v>
      </c>
      <c r="BZ996">
        <v>2009</v>
      </c>
      <c r="CA996" t="s">
        <v>109</v>
      </c>
      <c r="CB996" t="s">
        <v>110</v>
      </c>
      <c r="CC996">
        <v>337500</v>
      </c>
    </row>
    <row r="997" spans="1:81" x14ac:dyDescent="0.3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H997" t="s">
        <v>119</v>
      </c>
      <c r="I997" t="s">
        <v>84</v>
      </c>
      <c r="J997" t="s">
        <v>85</v>
      </c>
      <c r="K997" t="s">
        <v>86</v>
      </c>
      <c r="L997" t="s">
        <v>193</v>
      </c>
      <c r="M997" t="s">
        <v>147</v>
      </c>
      <c r="N997" t="s">
        <v>113</v>
      </c>
      <c r="O997" t="s">
        <v>89</v>
      </c>
      <c r="P997" t="s">
        <v>90</v>
      </c>
      <c r="Q997" t="s">
        <v>131</v>
      </c>
      <c r="R997">
        <v>4</v>
      </c>
      <c r="S997">
        <v>7</v>
      </c>
      <c r="T997">
        <v>1946</v>
      </c>
      <c r="U997">
        <v>1950</v>
      </c>
      <c r="V997" t="s">
        <v>92</v>
      </c>
      <c r="W997" t="s">
        <v>93</v>
      </c>
      <c r="X997" t="s">
        <v>115</v>
      </c>
      <c r="Y997" t="s">
        <v>115</v>
      </c>
      <c r="Z997" t="s">
        <v>116</v>
      </c>
      <c r="AA997">
        <v>0</v>
      </c>
      <c r="AB997" t="s">
        <v>97</v>
      </c>
      <c r="AC997" t="s">
        <v>97</v>
      </c>
      <c r="AD997" t="s">
        <v>117</v>
      </c>
      <c r="AE997" t="s">
        <v>97</v>
      </c>
      <c r="AF997" t="s">
        <v>97</v>
      </c>
      <c r="AG997" t="s">
        <v>99</v>
      </c>
      <c r="AH997" t="s">
        <v>118</v>
      </c>
      <c r="AI997">
        <v>384</v>
      </c>
      <c r="AJ997" t="s">
        <v>101</v>
      </c>
      <c r="AK997">
        <v>0</v>
      </c>
      <c r="AL997">
        <v>363</v>
      </c>
      <c r="AM997">
        <v>747</v>
      </c>
      <c r="AN997" t="s">
        <v>102</v>
      </c>
      <c r="AO997" t="s">
        <v>97</v>
      </c>
      <c r="AP997" t="s">
        <v>104</v>
      </c>
      <c r="AQ997" t="s">
        <v>105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97</v>
      </c>
      <c r="BC997">
        <v>5</v>
      </c>
      <c r="BD997" t="s">
        <v>106</v>
      </c>
      <c r="BE997">
        <v>0</v>
      </c>
      <c r="BG997" t="s">
        <v>126</v>
      </c>
      <c r="BH997">
        <v>1946</v>
      </c>
      <c r="BI997" t="s">
        <v>101</v>
      </c>
      <c r="BJ997">
        <v>1</v>
      </c>
      <c r="BK997">
        <v>305</v>
      </c>
      <c r="BL997" t="s">
        <v>97</v>
      </c>
      <c r="BM997" t="s">
        <v>97</v>
      </c>
      <c r="BN997" t="s">
        <v>104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V997" t="s">
        <v>133</v>
      </c>
      <c r="BX997">
        <v>0</v>
      </c>
      <c r="BY997">
        <v>8</v>
      </c>
      <c r="BZ997">
        <v>2006</v>
      </c>
      <c r="CA997" t="s">
        <v>109</v>
      </c>
      <c r="CB997" t="s">
        <v>127</v>
      </c>
      <c r="CC997">
        <v>121600</v>
      </c>
    </row>
    <row r="998" spans="1:81" x14ac:dyDescent="0.3">
      <c r="A998">
        <v>997</v>
      </c>
      <c r="B998">
        <v>20</v>
      </c>
      <c r="C998" t="s">
        <v>81</v>
      </c>
      <c r="E998">
        <v>10659</v>
      </c>
      <c r="F998" t="s">
        <v>82</v>
      </c>
      <c r="H998" t="s">
        <v>119</v>
      </c>
      <c r="I998" t="s">
        <v>84</v>
      </c>
      <c r="J998" t="s">
        <v>85</v>
      </c>
      <c r="K998" t="s">
        <v>86</v>
      </c>
      <c r="L998" t="s">
        <v>87</v>
      </c>
      <c r="M998" t="s">
        <v>270</v>
      </c>
      <c r="N998" t="s">
        <v>89</v>
      </c>
      <c r="O998" t="s">
        <v>89</v>
      </c>
      <c r="P998" t="s">
        <v>90</v>
      </c>
      <c r="Q998" t="s">
        <v>114</v>
      </c>
      <c r="R998">
        <v>5</v>
      </c>
      <c r="S998">
        <v>6</v>
      </c>
      <c r="T998">
        <v>1961</v>
      </c>
      <c r="U998">
        <v>1961</v>
      </c>
      <c r="V998" t="s">
        <v>151</v>
      </c>
      <c r="W998" t="s">
        <v>93</v>
      </c>
      <c r="X998" t="s">
        <v>123</v>
      </c>
      <c r="Y998" t="s">
        <v>123</v>
      </c>
      <c r="Z998" t="s">
        <v>116</v>
      </c>
      <c r="AA998">
        <v>0</v>
      </c>
      <c r="AB998" t="s">
        <v>97</v>
      </c>
      <c r="AC998" t="s">
        <v>97</v>
      </c>
      <c r="AD998" t="s">
        <v>117</v>
      </c>
      <c r="AE998" t="s">
        <v>97</v>
      </c>
      <c r="AF998" t="s">
        <v>97</v>
      </c>
      <c r="AG998" t="s">
        <v>99</v>
      </c>
      <c r="AH998" t="s">
        <v>152</v>
      </c>
      <c r="AI998">
        <v>915</v>
      </c>
      <c r="AJ998" t="s">
        <v>101</v>
      </c>
      <c r="AK998">
        <v>0</v>
      </c>
      <c r="AL998">
        <v>135</v>
      </c>
      <c r="AM998">
        <v>1050</v>
      </c>
      <c r="AN998" t="s">
        <v>102</v>
      </c>
      <c r="AO998" t="s">
        <v>97</v>
      </c>
      <c r="AP998" t="s">
        <v>104</v>
      </c>
      <c r="AQ998" t="s">
        <v>105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97</v>
      </c>
      <c r="BC998">
        <v>6</v>
      </c>
      <c r="BD998" t="s">
        <v>106</v>
      </c>
      <c r="BE998">
        <v>0</v>
      </c>
      <c r="BG998" t="s">
        <v>107</v>
      </c>
      <c r="BH998">
        <v>1961</v>
      </c>
      <c r="BI998" t="s">
        <v>101</v>
      </c>
      <c r="BJ998">
        <v>1</v>
      </c>
      <c r="BK998">
        <v>368</v>
      </c>
      <c r="BL998" t="s">
        <v>97</v>
      </c>
      <c r="BM998" t="s">
        <v>97</v>
      </c>
      <c r="BN998" t="s">
        <v>104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X998">
        <v>0</v>
      </c>
      <c r="BY998">
        <v>1</v>
      </c>
      <c r="BZ998">
        <v>2006</v>
      </c>
      <c r="CA998" t="s">
        <v>172</v>
      </c>
      <c r="CB998" t="s">
        <v>110</v>
      </c>
      <c r="CC998">
        <v>136500</v>
      </c>
    </row>
    <row r="999" spans="1:81" x14ac:dyDescent="0.3">
      <c r="A999">
        <v>998</v>
      </c>
      <c r="B999">
        <v>20</v>
      </c>
      <c r="C999" t="s">
        <v>81</v>
      </c>
      <c r="E999">
        <v>11717</v>
      </c>
      <c r="F999" t="s">
        <v>82</v>
      </c>
      <c r="H999" t="s">
        <v>119</v>
      </c>
      <c r="I999" t="s">
        <v>84</v>
      </c>
      <c r="J999" t="s">
        <v>85</v>
      </c>
      <c r="K999" t="s">
        <v>86</v>
      </c>
      <c r="L999" t="s">
        <v>87</v>
      </c>
      <c r="M999" t="s">
        <v>137</v>
      </c>
      <c r="N999" t="s">
        <v>203</v>
      </c>
      <c r="O999" t="s">
        <v>89</v>
      </c>
      <c r="P999" t="s">
        <v>90</v>
      </c>
      <c r="Q999" t="s">
        <v>114</v>
      </c>
      <c r="R999">
        <v>6</v>
      </c>
      <c r="S999">
        <v>6</v>
      </c>
      <c r="T999">
        <v>1970</v>
      </c>
      <c r="U999">
        <v>1970</v>
      </c>
      <c r="V999" t="s">
        <v>151</v>
      </c>
      <c r="W999" t="s">
        <v>93</v>
      </c>
      <c r="X999" t="s">
        <v>139</v>
      </c>
      <c r="Y999" t="s">
        <v>139</v>
      </c>
      <c r="Z999" t="s">
        <v>95</v>
      </c>
      <c r="AA999">
        <v>571</v>
      </c>
      <c r="AB999" t="s">
        <v>97</v>
      </c>
      <c r="AC999" t="s">
        <v>97</v>
      </c>
      <c r="AD999" t="s">
        <v>117</v>
      </c>
      <c r="AE999" t="s">
        <v>97</v>
      </c>
      <c r="AF999" t="s">
        <v>97</v>
      </c>
      <c r="AG999" t="s">
        <v>99</v>
      </c>
      <c r="AH999" t="s">
        <v>101</v>
      </c>
      <c r="AI999">
        <v>0</v>
      </c>
      <c r="AJ999" t="s">
        <v>101</v>
      </c>
      <c r="AK999">
        <v>0</v>
      </c>
      <c r="AL999">
        <v>1442</v>
      </c>
      <c r="AM999">
        <v>1442</v>
      </c>
      <c r="AN999" t="s">
        <v>102</v>
      </c>
      <c r="AO999" t="s">
        <v>97</v>
      </c>
      <c r="AP999" t="s">
        <v>104</v>
      </c>
      <c r="AQ999" t="s">
        <v>105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97</v>
      </c>
      <c r="BC999">
        <v>6</v>
      </c>
      <c r="BD999" t="s">
        <v>106</v>
      </c>
      <c r="BE999">
        <v>1</v>
      </c>
      <c r="BF999" t="s">
        <v>97</v>
      </c>
      <c r="BG999" t="s">
        <v>107</v>
      </c>
      <c r="BH999">
        <v>1970</v>
      </c>
      <c r="BI999" t="s">
        <v>108</v>
      </c>
      <c r="BJ999">
        <v>2</v>
      </c>
      <c r="BK999">
        <v>615</v>
      </c>
      <c r="BL999" t="s">
        <v>97</v>
      </c>
      <c r="BM999" t="s">
        <v>97</v>
      </c>
      <c r="BN999" t="s">
        <v>104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X999">
        <v>0</v>
      </c>
      <c r="BY999">
        <v>2</v>
      </c>
      <c r="BZ999">
        <v>2009</v>
      </c>
      <c r="CA999" t="s">
        <v>109</v>
      </c>
      <c r="CB999" t="s">
        <v>110</v>
      </c>
      <c r="CC999">
        <v>185000</v>
      </c>
    </row>
    <row r="1000" spans="1:81" x14ac:dyDescent="0.3">
      <c r="A1000">
        <v>999</v>
      </c>
      <c r="B1000">
        <v>30</v>
      </c>
      <c r="C1000" t="s">
        <v>141</v>
      </c>
      <c r="D1000">
        <v>60</v>
      </c>
      <c r="E1000">
        <v>9786</v>
      </c>
      <c r="F1000" t="s">
        <v>82</v>
      </c>
      <c r="H1000" t="s">
        <v>83</v>
      </c>
      <c r="I1000" t="s">
        <v>84</v>
      </c>
      <c r="J1000" t="s">
        <v>85</v>
      </c>
      <c r="K1000" t="s">
        <v>86</v>
      </c>
      <c r="L1000" t="s">
        <v>87</v>
      </c>
      <c r="M1000" t="s">
        <v>175</v>
      </c>
      <c r="N1000" t="s">
        <v>89</v>
      </c>
      <c r="O1000" t="s">
        <v>89</v>
      </c>
      <c r="P1000" t="s">
        <v>90</v>
      </c>
      <c r="Q1000" t="s">
        <v>114</v>
      </c>
      <c r="R1000">
        <v>3</v>
      </c>
      <c r="S1000">
        <v>4</v>
      </c>
      <c r="T1000">
        <v>1922</v>
      </c>
      <c r="U1000">
        <v>1950</v>
      </c>
      <c r="V1000" t="s">
        <v>151</v>
      </c>
      <c r="W1000" t="s">
        <v>93</v>
      </c>
      <c r="X1000" t="s">
        <v>123</v>
      </c>
      <c r="Y1000" t="s">
        <v>123</v>
      </c>
      <c r="Z1000" t="s">
        <v>116</v>
      </c>
      <c r="AA1000">
        <v>0</v>
      </c>
      <c r="AB1000" t="s">
        <v>97</v>
      </c>
      <c r="AC1000" t="s">
        <v>97</v>
      </c>
      <c r="AD1000" t="s">
        <v>125</v>
      </c>
      <c r="AE1000" t="s">
        <v>97</v>
      </c>
      <c r="AF1000" t="s">
        <v>146</v>
      </c>
      <c r="AG1000" t="s">
        <v>99</v>
      </c>
      <c r="AH1000" t="s">
        <v>101</v>
      </c>
      <c r="AI1000">
        <v>0</v>
      </c>
      <c r="AJ1000" t="s">
        <v>101</v>
      </c>
      <c r="AK1000">
        <v>0</v>
      </c>
      <c r="AL1000">
        <v>1007</v>
      </c>
      <c r="AM1000">
        <v>1007</v>
      </c>
      <c r="AN1000" t="s">
        <v>102</v>
      </c>
      <c r="AO1000" t="s">
        <v>146</v>
      </c>
      <c r="AP1000" t="s">
        <v>176</v>
      </c>
      <c r="AQ1000" t="s">
        <v>105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97</v>
      </c>
      <c r="BC1000">
        <v>6</v>
      </c>
      <c r="BD1000" t="s">
        <v>106</v>
      </c>
      <c r="BE1000">
        <v>1</v>
      </c>
      <c r="BF1000" t="s">
        <v>96</v>
      </c>
      <c r="BG1000" t="s">
        <v>126</v>
      </c>
      <c r="BH1000">
        <v>1922</v>
      </c>
      <c r="BI1000" t="s">
        <v>101</v>
      </c>
      <c r="BJ1000">
        <v>1</v>
      </c>
      <c r="BK1000">
        <v>210</v>
      </c>
      <c r="BL1000" t="s">
        <v>97</v>
      </c>
      <c r="BM1000" t="s">
        <v>146</v>
      </c>
      <c r="BN1000" t="s">
        <v>189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X1000">
        <v>0</v>
      </c>
      <c r="BY1000">
        <v>5</v>
      </c>
      <c r="BZ1000">
        <v>2006</v>
      </c>
      <c r="CA1000" t="s">
        <v>109</v>
      </c>
      <c r="CB1000" t="s">
        <v>110</v>
      </c>
      <c r="CC1000">
        <v>91000</v>
      </c>
    </row>
    <row r="1001" spans="1:81" x14ac:dyDescent="0.3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H1001" t="s">
        <v>83</v>
      </c>
      <c r="I1001" t="s">
        <v>84</v>
      </c>
      <c r="J1001" t="s">
        <v>85</v>
      </c>
      <c r="K1001" t="s">
        <v>86</v>
      </c>
      <c r="L1001" t="s">
        <v>87</v>
      </c>
      <c r="M1001" t="s">
        <v>88</v>
      </c>
      <c r="N1001" t="s">
        <v>89</v>
      </c>
      <c r="O1001" t="s">
        <v>89</v>
      </c>
      <c r="P1001" t="s">
        <v>90</v>
      </c>
      <c r="Q1001" t="s">
        <v>114</v>
      </c>
      <c r="R1001">
        <v>7</v>
      </c>
      <c r="S1001">
        <v>5</v>
      </c>
      <c r="T1001">
        <v>2006</v>
      </c>
      <c r="U1001">
        <v>2006</v>
      </c>
      <c r="V1001" t="s">
        <v>92</v>
      </c>
      <c r="W1001" t="s">
        <v>93</v>
      </c>
      <c r="X1001" t="s">
        <v>94</v>
      </c>
      <c r="Y1001" t="s">
        <v>94</v>
      </c>
      <c r="Z1001" t="s">
        <v>136</v>
      </c>
      <c r="AA1001">
        <v>24</v>
      </c>
      <c r="AB1001" t="s">
        <v>96</v>
      </c>
      <c r="AC1001" t="s">
        <v>97</v>
      </c>
      <c r="AD1001" t="s">
        <v>98</v>
      </c>
      <c r="AE1001" t="s">
        <v>96</v>
      </c>
      <c r="AF1001" t="s">
        <v>97</v>
      </c>
      <c r="AG1001" t="s">
        <v>129</v>
      </c>
      <c r="AH1001" t="s">
        <v>100</v>
      </c>
      <c r="AI1001">
        <v>686</v>
      </c>
      <c r="AJ1001" t="s">
        <v>101</v>
      </c>
      <c r="AK1001">
        <v>0</v>
      </c>
      <c r="AL1001">
        <v>501</v>
      </c>
      <c r="AM1001">
        <v>1187</v>
      </c>
      <c r="AN1001" t="s">
        <v>102</v>
      </c>
      <c r="AO1001" t="s">
        <v>103</v>
      </c>
      <c r="AP1001" t="s">
        <v>104</v>
      </c>
      <c r="AQ1001" t="s">
        <v>105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96</v>
      </c>
      <c r="BC1001">
        <v>6</v>
      </c>
      <c r="BD1001" t="s">
        <v>106</v>
      </c>
      <c r="BE1001">
        <v>0</v>
      </c>
      <c r="BG1001" t="s">
        <v>107</v>
      </c>
      <c r="BH1001">
        <v>2006</v>
      </c>
      <c r="BI1001" t="s">
        <v>108</v>
      </c>
      <c r="BJ1001">
        <v>2</v>
      </c>
      <c r="BK1001">
        <v>632</v>
      </c>
      <c r="BL1001" t="s">
        <v>97</v>
      </c>
      <c r="BM1001" t="s">
        <v>97</v>
      </c>
      <c r="BN1001" t="s">
        <v>104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X1001">
        <v>0</v>
      </c>
      <c r="BY1001">
        <v>2</v>
      </c>
      <c r="BZ1001">
        <v>2010</v>
      </c>
      <c r="CA1001" t="s">
        <v>109</v>
      </c>
      <c r="CB1001" t="s">
        <v>110</v>
      </c>
      <c r="CC1001">
        <v>206000</v>
      </c>
    </row>
    <row r="1002" spans="1:81" x14ac:dyDescent="0.3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H1002" t="s">
        <v>83</v>
      </c>
      <c r="I1002" t="s">
        <v>84</v>
      </c>
      <c r="J1002" t="s">
        <v>85</v>
      </c>
      <c r="K1002" t="s">
        <v>121</v>
      </c>
      <c r="L1002" t="s">
        <v>87</v>
      </c>
      <c r="M1002" t="s">
        <v>184</v>
      </c>
      <c r="N1002" t="s">
        <v>89</v>
      </c>
      <c r="O1002" t="s">
        <v>89</v>
      </c>
      <c r="P1002" t="s">
        <v>90</v>
      </c>
      <c r="Q1002" t="s">
        <v>114</v>
      </c>
      <c r="R1002">
        <v>3</v>
      </c>
      <c r="S1002">
        <v>3</v>
      </c>
      <c r="T1002">
        <v>1952</v>
      </c>
      <c r="U1002">
        <v>1952</v>
      </c>
      <c r="V1002" t="s">
        <v>213</v>
      </c>
      <c r="W1002" t="s">
        <v>241</v>
      </c>
      <c r="X1002" t="s">
        <v>244</v>
      </c>
      <c r="Y1002" t="s">
        <v>225</v>
      </c>
      <c r="Z1002" t="s">
        <v>116</v>
      </c>
      <c r="AA1002">
        <v>0</v>
      </c>
      <c r="AB1002" t="s">
        <v>97</v>
      </c>
      <c r="AC1002" t="s">
        <v>97</v>
      </c>
      <c r="AD1002" t="s">
        <v>167</v>
      </c>
      <c r="AI1002">
        <v>0</v>
      </c>
      <c r="AK1002">
        <v>0</v>
      </c>
      <c r="AL1002">
        <v>0</v>
      </c>
      <c r="AM1002">
        <v>0</v>
      </c>
      <c r="AN1002" t="s">
        <v>205</v>
      </c>
      <c r="AO1002" t="s">
        <v>146</v>
      </c>
      <c r="AP1002" t="s">
        <v>176</v>
      </c>
      <c r="AQ1002" t="s">
        <v>144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146</v>
      </c>
      <c r="BC1002">
        <v>4</v>
      </c>
      <c r="BD1002" t="s">
        <v>145</v>
      </c>
      <c r="BE1002">
        <v>0</v>
      </c>
      <c r="BG1002" t="s">
        <v>126</v>
      </c>
      <c r="BH1002">
        <v>1956</v>
      </c>
      <c r="BI1002" t="s">
        <v>101</v>
      </c>
      <c r="BJ1002">
        <v>2</v>
      </c>
      <c r="BK1002">
        <v>528</v>
      </c>
      <c r="BL1002" t="s">
        <v>97</v>
      </c>
      <c r="BM1002" t="s">
        <v>146</v>
      </c>
      <c r="BN1002" t="s">
        <v>104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X1002">
        <v>0</v>
      </c>
      <c r="BY1002">
        <v>7</v>
      </c>
      <c r="BZ1002">
        <v>2009</v>
      </c>
      <c r="CA1002" t="s">
        <v>109</v>
      </c>
      <c r="CB1002" t="s">
        <v>110</v>
      </c>
      <c r="CC1002">
        <v>82000</v>
      </c>
    </row>
    <row r="1003" spans="1:81" x14ac:dyDescent="0.3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H1003" t="s">
        <v>83</v>
      </c>
      <c r="I1003" t="s">
        <v>84</v>
      </c>
      <c r="J1003" t="s">
        <v>85</v>
      </c>
      <c r="K1003" t="s">
        <v>121</v>
      </c>
      <c r="L1003" t="s">
        <v>87</v>
      </c>
      <c r="M1003" t="s">
        <v>142</v>
      </c>
      <c r="N1003" t="s">
        <v>89</v>
      </c>
      <c r="O1003" t="s">
        <v>89</v>
      </c>
      <c r="P1003" t="s">
        <v>90</v>
      </c>
      <c r="Q1003" t="s">
        <v>114</v>
      </c>
      <c r="R1003">
        <v>5</v>
      </c>
      <c r="S1003">
        <v>6</v>
      </c>
      <c r="T1003">
        <v>1920</v>
      </c>
      <c r="U1003">
        <v>1950</v>
      </c>
      <c r="V1003" t="s">
        <v>92</v>
      </c>
      <c r="W1003" t="s">
        <v>93</v>
      </c>
      <c r="X1003" t="s">
        <v>123</v>
      </c>
      <c r="Y1003" t="s">
        <v>123</v>
      </c>
      <c r="Z1003" t="s">
        <v>116</v>
      </c>
      <c r="AA1003">
        <v>0</v>
      </c>
      <c r="AB1003" t="s">
        <v>97</v>
      </c>
      <c r="AC1003" t="s">
        <v>97</v>
      </c>
      <c r="AD1003" t="s">
        <v>125</v>
      </c>
      <c r="AE1003" t="s">
        <v>146</v>
      </c>
      <c r="AF1003" t="s">
        <v>97</v>
      </c>
      <c r="AG1003" t="s">
        <v>99</v>
      </c>
      <c r="AH1003" t="s">
        <v>101</v>
      </c>
      <c r="AI1003">
        <v>0</v>
      </c>
      <c r="AJ1003" t="s">
        <v>101</v>
      </c>
      <c r="AK1003">
        <v>0</v>
      </c>
      <c r="AL1003">
        <v>691</v>
      </c>
      <c r="AM1003">
        <v>691</v>
      </c>
      <c r="AN1003" t="s">
        <v>102</v>
      </c>
      <c r="AO1003" t="s">
        <v>103</v>
      </c>
      <c r="AP1003" t="s">
        <v>104</v>
      </c>
      <c r="AQ1003" t="s">
        <v>163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103</v>
      </c>
      <c r="BC1003">
        <v>4</v>
      </c>
      <c r="BD1003" t="s">
        <v>106</v>
      </c>
      <c r="BE1003">
        <v>0</v>
      </c>
      <c r="BG1003" t="s">
        <v>126</v>
      </c>
      <c r="BH1003">
        <v>1920</v>
      </c>
      <c r="BI1003" t="s">
        <v>101</v>
      </c>
      <c r="BJ1003">
        <v>1</v>
      </c>
      <c r="BK1003">
        <v>216</v>
      </c>
      <c r="BL1003" t="s">
        <v>146</v>
      </c>
      <c r="BM1003" t="s">
        <v>97</v>
      </c>
      <c r="BN1003" t="s">
        <v>176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X1003">
        <v>0</v>
      </c>
      <c r="BY1003">
        <v>1</v>
      </c>
      <c r="BZ1003">
        <v>2007</v>
      </c>
      <c r="CA1003" t="s">
        <v>109</v>
      </c>
      <c r="CB1003" t="s">
        <v>127</v>
      </c>
      <c r="CC1003">
        <v>86000</v>
      </c>
    </row>
    <row r="1004" spans="1:81" x14ac:dyDescent="0.3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H1004" t="s">
        <v>119</v>
      </c>
      <c r="I1004" t="s">
        <v>84</v>
      </c>
      <c r="J1004" t="s">
        <v>85</v>
      </c>
      <c r="K1004" t="s">
        <v>86</v>
      </c>
      <c r="L1004" t="s">
        <v>87</v>
      </c>
      <c r="M1004" t="s">
        <v>135</v>
      </c>
      <c r="N1004" t="s">
        <v>201</v>
      </c>
      <c r="O1004" t="s">
        <v>89</v>
      </c>
      <c r="P1004" t="s">
        <v>90</v>
      </c>
      <c r="Q1004" t="s">
        <v>114</v>
      </c>
      <c r="R1004">
        <v>8</v>
      </c>
      <c r="S1004">
        <v>5</v>
      </c>
      <c r="T1004">
        <v>2006</v>
      </c>
      <c r="U1004">
        <v>2006</v>
      </c>
      <c r="V1004" t="s">
        <v>92</v>
      </c>
      <c r="W1004" t="s">
        <v>93</v>
      </c>
      <c r="X1004" t="s">
        <v>94</v>
      </c>
      <c r="Y1004" t="s">
        <v>94</v>
      </c>
      <c r="Z1004" t="s">
        <v>95</v>
      </c>
      <c r="AA1004">
        <v>53</v>
      </c>
      <c r="AB1004" t="s">
        <v>96</v>
      </c>
      <c r="AC1004" t="s">
        <v>97</v>
      </c>
      <c r="AD1004" t="s">
        <v>98</v>
      </c>
      <c r="AE1004" t="s">
        <v>96</v>
      </c>
      <c r="AF1004" t="s">
        <v>97</v>
      </c>
      <c r="AG1004" t="s">
        <v>99</v>
      </c>
      <c r="AH1004" t="s">
        <v>100</v>
      </c>
      <c r="AI1004">
        <v>24</v>
      </c>
      <c r="AJ1004" t="s">
        <v>101</v>
      </c>
      <c r="AK1004">
        <v>0</v>
      </c>
      <c r="AL1004">
        <v>1550</v>
      </c>
      <c r="AM1004">
        <v>1574</v>
      </c>
      <c r="AN1004" t="s">
        <v>102</v>
      </c>
      <c r="AO1004" t="s">
        <v>103</v>
      </c>
      <c r="AP1004" t="s">
        <v>104</v>
      </c>
      <c r="AQ1004" t="s">
        <v>105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96</v>
      </c>
      <c r="BC1004">
        <v>7</v>
      </c>
      <c r="BD1004" t="s">
        <v>106</v>
      </c>
      <c r="BE1004">
        <v>1</v>
      </c>
      <c r="BF1004" t="s">
        <v>96</v>
      </c>
      <c r="BG1004" t="s">
        <v>107</v>
      </c>
      <c r="BH1004">
        <v>2006</v>
      </c>
      <c r="BI1004" t="s">
        <v>108</v>
      </c>
      <c r="BJ1004">
        <v>3</v>
      </c>
      <c r="BK1004">
        <v>824</v>
      </c>
      <c r="BL1004" t="s">
        <v>97</v>
      </c>
      <c r="BM1004" t="s">
        <v>97</v>
      </c>
      <c r="BN1004" t="s">
        <v>104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X1004">
        <v>0</v>
      </c>
      <c r="BY1004">
        <v>7</v>
      </c>
      <c r="BZ1004">
        <v>2008</v>
      </c>
      <c r="CA1004" t="s">
        <v>109</v>
      </c>
      <c r="CB1004" t="s">
        <v>110</v>
      </c>
      <c r="CC1004">
        <v>232000</v>
      </c>
    </row>
    <row r="1005" spans="1:81" x14ac:dyDescent="0.3">
      <c r="A1005">
        <v>1004</v>
      </c>
      <c r="B1005">
        <v>90</v>
      </c>
      <c r="C1005" t="s">
        <v>81</v>
      </c>
      <c r="E1005">
        <v>11500</v>
      </c>
      <c r="F1005" t="s">
        <v>82</v>
      </c>
      <c r="H1005" t="s">
        <v>119</v>
      </c>
      <c r="I1005" t="s">
        <v>84</v>
      </c>
      <c r="J1005" t="s">
        <v>85</v>
      </c>
      <c r="K1005" t="s">
        <v>121</v>
      </c>
      <c r="L1005" t="s">
        <v>87</v>
      </c>
      <c r="M1005" t="s">
        <v>137</v>
      </c>
      <c r="N1005" t="s">
        <v>113</v>
      </c>
      <c r="O1005" t="s">
        <v>201</v>
      </c>
      <c r="P1005" t="s">
        <v>166</v>
      </c>
      <c r="Q1005" t="s">
        <v>114</v>
      </c>
      <c r="R1005">
        <v>5</v>
      </c>
      <c r="S1005">
        <v>6</v>
      </c>
      <c r="T1005">
        <v>1976</v>
      </c>
      <c r="U1005">
        <v>1976</v>
      </c>
      <c r="V1005" t="s">
        <v>92</v>
      </c>
      <c r="W1005" t="s">
        <v>93</v>
      </c>
      <c r="X1005" t="s">
        <v>94</v>
      </c>
      <c r="Y1005" t="s">
        <v>94</v>
      </c>
      <c r="Z1005" t="s">
        <v>95</v>
      </c>
      <c r="AA1005">
        <v>164</v>
      </c>
      <c r="AB1005" t="s">
        <v>97</v>
      </c>
      <c r="AC1005" t="s">
        <v>97</v>
      </c>
      <c r="AD1005" t="s">
        <v>117</v>
      </c>
      <c r="AE1005" t="s">
        <v>97</v>
      </c>
      <c r="AF1005" t="s">
        <v>97</v>
      </c>
      <c r="AG1005" t="s">
        <v>99</v>
      </c>
      <c r="AH1005" t="s">
        <v>101</v>
      </c>
      <c r="AI1005">
        <v>0</v>
      </c>
      <c r="AJ1005" t="s">
        <v>101</v>
      </c>
      <c r="AK1005">
        <v>0</v>
      </c>
      <c r="AL1005">
        <v>1680</v>
      </c>
      <c r="AM1005">
        <v>1680</v>
      </c>
      <c r="AN1005" t="s">
        <v>102</v>
      </c>
      <c r="AO1005" t="s">
        <v>146</v>
      </c>
      <c r="AP1005" t="s">
        <v>104</v>
      </c>
      <c r="AQ1005" t="s">
        <v>105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97</v>
      </c>
      <c r="BC1005">
        <v>8</v>
      </c>
      <c r="BD1005" t="s">
        <v>106</v>
      </c>
      <c r="BE1005">
        <v>0</v>
      </c>
      <c r="BG1005" t="s">
        <v>126</v>
      </c>
      <c r="BH1005">
        <v>1976</v>
      </c>
      <c r="BI1005" t="s">
        <v>101</v>
      </c>
      <c r="BJ1005">
        <v>2</v>
      </c>
      <c r="BK1005">
        <v>528</v>
      </c>
      <c r="BL1005" t="s">
        <v>97</v>
      </c>
      <c r="BM1005" t="s">
        <v>97</v>
      </c>
      <c r="BN1005" t="s">
        <v>104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X1005">
        <v>0</v>
      </c>
      <c r="BY1005">
        <v>6</v>
      </c>
      <c r="BZ1005">
        <v>2007</v>
      </c>
      <c r="CA1005" t="s">
        <v>109</v>
      </c>
      <c r="CB1005" t="s">
        <v>110</v>
      </c>
      <c r="CC1005">
        <v>136905</v>
      </c>
    </row>
    <row r="1006" spans="1:81" x14ac:dyDescent="0.3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H1006" t="s">
        <v>83</v>
      </c>
      <c r="I1006" t="s">
        <v>84</v>
      </c>
      <c r="J1006" t="s">
        <v>85</v>
      </c>
      <c r="K1006" t="s">
        <v>86</v>
      </c>
      <c r="L1006" t="s">
        <v>87</v>
      </c>
      <c r="M1006" t="s">
        <v>226</v>
      </c>
      <c r="N1006" t="s">
        <v>89</v>
      </c>
      <c r="O1006" t="s">
        <v>89</v>
      </c>
      <c r="P1006" t="s">
        <v>178</v>
      </c>
      <c r="Q1006" t="s">
        <v>114</v>
      </c>
      <c r="R1006">
        <v>7</v>
      </c>
      <c r="S1006">
        <v>5</v>
      </c>
      <c r="T1006">
        <v>2005</v>
      </c>
      <c r="U1006">
        <v>2006</v>
      </c>
      <c r="V1006" t="s">
        <v>92</v>
      </c>
      <c r="W1006" t="s">
        <v>93</v>
      </c>
      <c r="X1006" t="s">
        <v>94</v>
      </c>
      <c r="Y1006" t="s">
        <v>94</v>
      </c>
      <c r="Z1006" t="s">
        <v>95</v>
      </c>
      <c r="AA1006">
        <v>16</v>
      </c>
      <c r="AB1006" t="s">
        <v>96</v>
      </c>
      <c r="AC1006" t="s">
        <v>97</v>
      </c>
      <c r="AD1006" t="s">
        <v>98</v>
      </c>
      <c r="AE1006" t="s">
        <v>96</v>
      </c>
      <c r="AF1006" t="s">
        <v>97</v>
      </c>
      <c r="AG1006" t="s">
        <v>99</v>
      </c>
      <c r="AH1006" t="s">
        <v>100</v>
      </c>
      <c r="AI1006">
        <v>16</v>
      </c>
      <c r="AJ1006" t="s">
        <v>101</v>
      </c>
      <c r="AK1006">
        <v>0</v>
      </c>
      <c r="AL1006">
        <v>1330</v>
      </c>
      <c r="AM1006">
        <v>1346</v>
      </c>
      <c r="AN1006" t="s">
        <v>102</v>
      </c>
      <c r="AO1006" t="s">
        <v>103</v>
      </c>
      <c r="AP1006" t="s">
        <v>104</v>
      </c>
      <c r="AQ1006" t="s">
        <v>105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96</v>
      </c>
      <c r="BC1006">
        <v>7</v>
      </c>
      <c r="BD1006" t="s">
        <v>106</v>
      </c>
      <c r="BE1006">
        <v>1</v>
      </c>
      <c r="BF1006" t="s">
        <v>96</v>
      </c>
      <c r="BG1006" t="s">
        <v>107</v>
      </c>
      <c r="BH1006">
        <v>2005</v>
      </c>
      <c r="BI1006" t="s">
        <v>156</v>
      </c>
      <c r="BJ1006">
        <v>2</v>
      </c>
      <c r="BK1006">
        <v>457</v>
      </c>
      <c r="BL1006" t="s">
        <v>97</v>
      </c>
      <c r="BM1006" t="s">
        <v>97</v>
      </c>
      <c r="BN1006" t="s">
        <v>104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X1006">
        <v>0</v>
      </c>
      <c r="BY1006">
        <v>5</v>
      </c>
      <c r="BZ1006">
        <v>2009</v>
      </c>
      <c r="CA1006" t="s">
        <v>109</v>
      </c>
      <c r="CB1006" t="s">
        <v>110</v>
      </c>
      <c r="CC1006">
        <v>181000</v>
      </c>
    </row>
    <row r="1007" spans="1:81" x14ac:dyDescent="0.3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88</v>
      </c>
      <c r="N1007" t="s">
        <v>89</v>
      </c>
      <c r="O1007" t="s">
        <v>89</v>
      </c>
      <c r="P1007" t="s">
        <v>90</v>
      </c>
      <c r="Q1007" t="s">
        <v>196</v>
      </c>
      <c r="R1007">
        <v>5</v>
      </c>
      <c r="S1007">
        <v>8</v>
      </c>
      <c r="T1007">
        <v>1977</v>
      </c>
      <c r="U1007">
        <v>1977</v>
      </c>
      <c r="V1007" t="s">
        <v>92</v>
      </c>
      <c r="W1007" t="s">
        <v>93</v>
      </c>
      <c r="X1007" t="s">
        <v>139</v>
      </c>
      <c r="Y1007" t="s">
        <v>139</v>
      </c>
      <c r="Z1007" t="s">
        <v>95</v>
      </c>
      <c r="AA1007">
        <v>220</v>
      </c>
      <c r="AB1007" t="s">
        <v>96</v>
      </c>
      <c r="AC1007" t="s">
        <v>97</v>
      </c>
      <c r="AD1007" t="s">
        <v>117</v>
      </c>
      <c r="AE1007" t="s">
        <v>96</v>
      </c>
      <c r="AF1007" t="s">
        <v>96</v>
      </c>
      <c r="AG1007" t="s">
        <v>129</v>
      </c>
      <c r="AH1007" t="s">
        <v>100</v>
      </c>
      <c r="AI1007">
        <v>595</v>
      </c>
      <c r="AJ1007" t="s">
        <v>101</v>
      </c>
      <c r="AK1007">
        <v>0</v>
      </c>
      <c r="AL1007">
        <v>390</v>
      </c>
      <c r="AM1007">
        <v>985</v>
      </c>
      <c r="AN1007" t="s">
        <v>102</v>
      </c>
      <c r="AO1007" t="s">
        <v>97</v>
      </c>
      <c r="AP1007" t="s">
        <v>104</v>
      </c>
      <c r="AQ1007" t="s">
        <v>105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97</v>
      </c>
      <c r="BC1007">
        <v>6</v>
      </c>
      <c r="BD1007" t="s">
        <v>106</v>
      </c>
      <c r="BE1007">
        <v>0</v>
      </c>
      <c r="BG1007" t="s">
        <v>107</v>
      </c>
      <c r="BH1007">
        <v>1977</v>
      </c>
      <c r="BI1007" t="s">
        <v>101</v>
      </c>
      <c r="BJ1007">
        <v>1</v>
      </c>
      <c r="BK1007">
        <v>328</v>
      </c>
      <c r="BL1007" t="s">
        <v>97</v>
      </c>
      <c r="BM1007" t="s">
        <v>97</v>
      </c>
      <c r="BN1007" t="s">
        <v>104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X1007">
        <v>0</v>
      </c>
      <c r="BY1007">
        <v>11</v>
      </c>
      <c r="BZ1007">
        <v>2008</v>
      </c>
      <c r="CA1007" t="s">
        <v>109</v>
      </c>
      <c r="CB1007" t="s">
        <v>110</v>
      </c>
      <c r="CC1007">
        <v>149900</v>
      </c>
    </row>
    <row r="1008" spans="1:81" x14ac:dyDescent="0.3">
      <c r="A1008">
        <v>1007</v>
      </c>
      <c r="B1008">
        <v>20</v>
      </c>
      <c r="C1008" t="s">
        <v>81</v>
      </c>
      <c r="E1008">
        <v>12155</v>
      </c>
      <c r="F1008" t="s">
        <v>82</v>
      </c>
      <c r="H1008" t="s">
        <v>230</v>
      </c>
      <c r="I1008" t="s">
        <v>84</v>
      </c>
      <c r="J1008" t="s">
        <v>85</v>
      </c>
      <c r="K1008" t="s">
        <v>86</v>
      </c>
      <c r="L1008" t="s">
        <v>87</v>
      </c>
      <c r="M1008" t="s">
        <v>270</v>
      </c>
      <c r="N1008" t="s">
        <v>138</v>
      </c>
      <c r="O1008" t="s">
        <v>89</v>
      </c>
      <c r="P1008" t="s">
        <v>90</v>
      </c>
      <c r="Q1008" t="s">
        <v>114</v>
      </c>
      <c r="R1008">
        <v>6</v>
      </c>
      <c r="S1008">
        <v>3</v>
      </c>
      <c r="T1008">
        <v>1970</v>
      </c>
      <c r="U1008">
        <v>1970</v>
      </c>
      <c r="V1008" t="s">
        <v>92</v>
      </c>
      <c r="W1008" t="s">
        <v>93</v>
      </c>
      <c r="X1008" t="s">
        <v>160</v>
      </c>
      <c r="Y1008" t="s">
        <v>160</v>
      </c>
      <c r="Z1008" t="s">
        <v>116</v>
      </c>
      <c r="AA1008">
        <v>0</v>
      </c>
      <c r="AB1008" t="s">
        <v>97</v>
      </c>
      <c r="AC1008" t="s">
        <v>97</v>
      </c>
      <c r="AD1008" t="s">
        <v>117</v>
      </c>
      <c r="AE1008" t="s">
        <v>96</v>
      </c>
      <c r="AF1008" t="s">
        <v>97</v>
      </c>
      <c r="AG1008" t="s">
        <v>99</v>
      </c>
      <c r="AH1008" t="s">
        <v>171</v>
      </c>
      <c r="AI1008">
        <v>1237</v>
      </c>
      <c r="AJ1008" t="s">
        <v>101</v>
      </c>
      <c r="AK1008">
        <v>0</v>
      </c>
      <c r="AL1008">
        <v>420</v>
      </c>
      <c r="AM1008">
        <v>1657</v>
      </c>
      <c r="AN1008" t="s">
        <v>102</v>
      </c>
      <c r="AO1008" t="s">
        <v>96</v>
      </c>
      <c r="AP1008" t="s">
        <v>104</v>
      </c>
      <c r="AQ1008" t="s">
        <v>105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97</v>
      </c>
      <c r="BC1008">
        <v>7</v>
      </c>
      <c r="BD1008" t="s">
        <v>106</v>
      </c>
      <c r="BE1008">
        <v>1</v>
      </c>
      <c r="BF1008" t="s">
        <v>97</v>
      </c>
      <c r="BG1008" t="s">
        <v>107</v>
      </c>
      <c r="BH1008">
        <v>1970</v>
      </c>
      <c r="BI1008" t="s">
        <v>101</v>
      </c>
      <c r="BJ1008">
        <v>2</v>
      </c>
      <c r="BK1008">
        <v>484</v>
      </c>
      <c r="BL1008" t="s">
        <v>97</v>
      </c>
      <c r="BM1008" t="s">
        <v>97</v>
      </c>
      <c r="BN1008" t="s">
        <v>104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X1008">
        <v>0</v>
      </c>
      <c r="BY1008">
        <v>3</v>
      </c>
      <c r="BZ1008">
        <v>2007</v>
      </c>
      <c r="CA1008" t="s">
        <v>109</v>
      </c>
      <c r="CB1008" t="s">
        <v>110</v>
      </c>
      <c r="CC1008">
        <v>163500</v>
      </c>
    </row>
    <row r="1009" spans="1:81" x14ac:dyDescent="0.3">
      <c r="A1009">
        <v>1008</v>
      </c>
      <c r="B1009">
        <v>160</v>
      </c>
      <c r="C1009" t="s">
        <v>141</v>
      </c>
      <c r="D1009">
        <v>21</v>
      </c>
      <c r="E1009">
        <v>2217</v>
      </c>
      <c r="F1009" t="s">
        <v>82</v>
      </c>
      <c r="H1009" t="s">
        <v>83</v>
      </c>
      <c r="I1009" t="s">
        <v>84</v>
      </c>
      <c r="J1009" t="s">
        <v>85</v>
      </c>
      <c r="K1009" t="s">
        <v>86</v>
      </c>
      <c r="L1009" t="s">
        <v>87</v>
      </c>
      <c r="M1009" t="s">
        <v>177</v>
      </c>
      <c r="N1009" t="s">
        <v>89</v>
      </c>
      <c r="O1009" t="s">
        <v>89</v>
      </c>
      <c r="P1009" t="s">
        <v>178</v>
      </c>
      <c r="Q1009" t="s">
        <v>91</v>
      </c>
      <c r="R1009">
        <v>4</v>
      </c>
      <c r="S1009">
        <v>4</v>
      </c>
      <c r="T1009">
        <v>1970</v>
      </c>
      <c r="U1009">
        <v>1970</v>
      </c>
      <c r="V1009" t="s">
        <v>92</v>
      </c>
      <c r="W1009" t="s">
        <v>93</v>
      </c>
      <c r="X1009" t="s">
        <v>179</v>
      </c>
      <c r="Y1009" t="s">
        <v>180</v>
      </c>
      <c r="Z1009" t="s">
        <v>116</v>
      </c>
      <c r="AA1009">
        <v>0</v>
      </c>
      <c r="AB1009" t="s">
        <v>97</v>
      </c>
      <c r="AC1009" t="s">
        <v>97</v>
      </c>
      <c r="AD1009" t="s">
        <v>117</v>
      </c>
      <c r="AE1009" t="s">
        <v>97</v>
      </c>
      <c r="AF1009" t="s">
        <v>97</v>
      </c>
      <c r="AG1009" t="s">
        <v>99</v>
      </c>
      <c r="AH1009" t="s">
        <v>140</v>
      </c>
      <c r="AI1009">
        <v>273</v>
      </c>
      <c r="AJ1009" t="s">
        <v>171</v>
      </c>
      <c r="AK1009">
        <v>273</v>
      </c>
      <c r="AL1009">
        <v>0</v>
      </c>
      <c r="AM1009">
        <v>546</v>
      </c>
      <c r="AN1009" t="s">
        <v>102</v>
      </c>
      <c r="AO1009" t="s">
        <v>97</v>
      </c>
      <c r="AP1009" t="s">
        <v>104</v>
      </c>
      <c r="AQ1009" t="s">
        <v>105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97</v>
      </c>
      <c r="BC1009">
        <v>6</v>
      </c>
      <c r="BD1009" t="s">
        <v>106</v>
      </c>
      <c r="BE1009">
        <v>0</v>
      </c>
      <c r="BG1009" t="s">
        <v>107</v>
      </c>
      <c r="BH1009">
        <v>1970</v>
      </c>
      <c r="BI1009" t="s">
        <v>108</v>
      </c>
      <c r="BJ1009">
        <v>1</v>
      </c>
      <c r="BK1009">
        <v>286</v>
      </c>
      <c r="BL1009" t="s">
        <v>97</v>
      </c>
      <c r="BM1009" t="s">
        <v>97</v>
      </c>
      <c r="BN1009" t="s">
        <v>104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X1009">
        <v>0</v>
      </c>
      <c r="BY1009">
        <v>8</v>
      </c>
      <c r="BZ1009">
        <v>2009</v>
      </c>
      <c r="CA1009" t="s">
        <v>109</v>
      </c>
      <c r="CB1009" t="s">
        <v>110</v>
      </c>
      <c r="CC1009">
        <v>88000</v>
      </c>
    </row>
    <row r="1010" spans="1:81" x14ac:dyDescent="0.3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H1010" t="s">
        <v>119</v>
      </c>
      <c r="I1010" t="s">
        <v>84</v>
      </c>
      <c r="J1010" t="s">
        <v>85</v>
      </c>
      <c r="K1010" t="s">
        <v>165</v>
      </c>
      <c r="L1010" t="s">
        <v>87</v>
      </c>
      <c r="M1010" t="s">
        <v>130</v>
      </c>
      <c r="N1010" t="s">
        <v>89</v>
      </c>
      <c r="O1010" t="s">
        <v>89</v>
      </c>
      <c r="P1010" t="s">
        <v>90</v>
      </c>
      <c r="Q1010" t="s">
        <v>114</v>
      </c>
      <c r="R1010">
        <v>7</v>
      </c>
      <c r="S1010">
        <v>5</v>
      </c>
      <c r="T1010">
        <v>2004</v>
      </c>
      <c r="U1010">
        <v>2005</v>
      </c>
      <c r="V1010" t="s">
        <v>151</v>
      </c>
      <c r="W1010" t="s">
        <v>93</v>
      </c>
      <c r="X1010" t="s">
        <v>94</v>
      </c>
      <c r="Y1010" t="s">
        <v>94</v>
      </c>
      <c r="Z1010" t="s">
        <v>136</v>
      </c>
      <c r="AA1010">
        <v>108</v>
      </c>
      <c r="AB1010" t="s">
        <v>96</v>
      </c>
      <c r="AC1010" t="s">
        <v>97</v>
      </c>
      <c r="AD1010" t="s">
        <v>98</v>
      </c>
      <c r="AE1010" t="s">
        <v>103</v>
      </c>
      <c r="AF1010" t="s">
        <v>97</v>
      </c>
      <c r="AG1010" t="s">
        <v>120</v>
      </c>
      <c r="AH1010" t="s">
        <v>101</v>
      </c>
      <c r="AI1010">
        <v>0</v>
      </c>
      <c r="AJ1010" t="s">
        <v>101</v>
      </c>
      <c r="AK1010">
        <v>0</v>
      </c>
      <c r="AL1010">
        <v>1710</v>
      </c>
      <c r="AM1010">
        <v>1710</v>
      </c>
      <c r="AN1010" t="s">
        <v>102</v>
      </c>
      <c r="AO1010" t="s">
        <v>103</v>
      </c>
      <c r="AP1010" t="s">
        <v>104</v>
      </c>
      <c r="AQ1010" t="s">
        <v>105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96</v>
      </c>
      <c r="BC1010">
        <v>7</v>
      </c>
      <c r="BD1010" t="s">
        <v>106</v>
      </c>
      <c r="BE1010">
        <v>1</v>
      </c>
      <c r="BF1010" t="s">
        <v>96</v>
      </c>
      <c r="BG1010" t="s">
        <v>107</v>
      </c>
      <c r="BH1010">
        <v>2004</v>
      </c>
      <c r="BI1010" t="s">
        <v>156</v>
      </c>
      <c r="BJ1010">
        <v>2</v>
      </c>
      <c r="BK1010">
        <v>550</v>
      </c>
      <c r="BL1010" t="s">
        <v>97</v>
      </c>
      <c r="BM1010" t="s">
        <v>97</v>
      </c>
      <c r="BN1010" t="s">
        <v>104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X1010">
        <v>0</v>
      </c>
      <c r="BY1010">
        <v>4</v>
      </c>
      <c r="BZ1010">
        <v>2009</v>
      </c>
      <c r="CA1010" t="s">
        <v>109</v>
      </c>
      <c r="CB1010" t="s">
        <v>110</v>
      </c>
      <c r="CC1010">
        <v>240000</v>
      </c>
    </row>
    <row r="1011" spans="1:81" x14ac:dyDescent="0.3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H1011" t="s">
        <v>83</v>
      </c>
      <c r="I1011" t="s">
        <v>84</v>
      </c>
      <c r="J1011" t="s">
        <v>85</v>
      </c>
      <c r="K1011" t="s">
        <v>86</v>
      </c>
      <c r="L1011" t="s">
        <v>87</v>
      </c>
      <c r="M1011" t="s">
        <v>231</v>
      </c>
      <c r="N1011" t="s">
        <v>89</v>
      </c>
      <c r="O1011" t="s">
        <v>89</v>
      </c>
      <c r="P1011" t="s">
        <v>90</v>
      </c>
      <c r="Q1011" t="s">
        <v>131</v>
      </c>
      <c r="R1011">
        <v>5</v>
      </c>
      <c r="S1011">
        <v>5</v>
      </c>
      <c r="T1011">
        <v>1926</v>
      </c>
      <c r="U1011">
        <v>1950</v>
      </c>
      <c r="V1011" t="s">
        <v>92</v>
      </c>
      <c r="W1011" t="s">
        <v>93</v>
      </c>
      <c r="X1011" t="s">
        <v>123</v>
      </c>
      <c r="Y1011" t="s">
        <v>123</v>
      </c>
      <c r="Z1011" t="s">
        <v>116</v>
      </c>
      <c r="AA1011">
        <v>0</v>
      </c>
      <c r="AB1011" t="s">
        <v>97</v>
      </c>
      <c r="AC1011" t="s">
        <v>146</v>
      </c>
      <c r="AD1011" t="s">
        <v>125</v>
      </c>
      <c r="AE1011" t="s">
        <v>97</v>
      </c>
      <c r="AF1011" t="s">
        <v>97</v>
      </c>
      <c r="AG1011" t="s">
        <v>99</v>
      </c>
      <c r="AH1011" t="s">
        <v>101</v>
      </c>
      <c r="AI1011">
        <v>0</v>
      </c>
      <c r="AJ1011" t="s">
        <v>101</v>
      </c>
      <c r="AK1011">
        <v>0</v>
      </c>
      <c r="AL1011">
        <v>1008</v>
      </c>
      <c r="AM1011">
        <v>1008</v>
      </c>
      <c r="AN1011" t="s">
        <v>102</v>
      </c>
      <c r="AO1011" t="s">
        <v>103</v>
      </c>
      <c r="AP1011" t="s">
        <v>104</v>
      </c>
      <c r="AQ1011" t="s">
        <v>105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97</v>
      </c>
      <c r="BC1011">
        <v>7</v>
      </c>
      <c r="BD1011" t="s">
        <v>106</v>
      </c>
      <c r="BE1011">
        <v>0</v>
      </c>
      <c r="BJ1011">
        <v>0</v>
      </c>
      <c r="BK1011">
        <v>0</v>
      </c>
      <c r="BN1011" t="s">
        <v>189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X1011">
        <v>0</v>
      </c>
      <c r="BY1011">
        <v>6</v>
      </c>
      <c r="BZ1011">
        <v>2006</v>
      </c>
      <c r="CA1011" t="s">
        <v>109</v>
      </c>
      <c r="CB1011" t="s">
        <v>110</v>
      </c>
      <c r="CC1011">
        <v>102000</v>
      </c>
    </row>
    <row r="1012" spans="1:81" x14ac:dyDescent="0.3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H1012" t="s">
        <v>83</v>
      </c>
      <c r="I1012" t="s">
        <v>84</v>
      </c>
      <c r="J1012" t="s">
        <v>85</v>
      </c>
      <c r="K1012" t="s">
        <v>86</v>
      </c>
      <c r="L1012" t="s">
        <v>87</v>
      </c>
      <c r="M1012" t="s">
        <v>150</v>
      </c>
      <c r="N1012" t="s">
        <v>89</v>
      </c>
      <c r="O1012" t="s">
        <v>89</v>
      </c>
      <c r="P1012" t="s">
        <v>90</v>
      </c>
      <c r="Q1012" t="s">
        <v>131</v>
      </c>
      <c r="R1012">
        <v>5</v>
      </c>
      <c r="S1012">
        <v>5</v>
      </c>
      <c r="T1012">
        <v>1948</v>
      </c>
      <c r="U1012">
        <v>1950</v>
      </c>
      <c r="V1012" t="s">
        <v>92</v>
      </c>
      <c r="W1012" t="s">
        <v>93</v>
      </c>
      <c r="X1012" t="s">
        <v>123</v>
      </c>
      <c r="Y1012" t="s">
        <v>123</v>
      </c>
      <c r="Z1012" t="s">
        <v>116</v>
      </c>
      <c r="AA1012">
        <v>0</v>
      </c>
      <c r="AB1012" t="s">
        <v>97</v>
      </c>
      <c r="AC1012" t="s">
        <v>97</v>
      </c>
      <c r="AD1012" t="s">
        <v>117</v>
      </c>
      <c r="AE1012" t="s">
        <v>97</v>
      </c>
      <c r="AF1012" t="s">
        <v>97</v>
      </c>
      <c r="AG1012" t="s">
        <v>99</v>
      </c>
      <c r="AH1012" t="s">
        <v>101</v>
      </c>
      <c r="AI1012">
        <v>0</v>
      </c>
      <c r="AJ1012" t="s">
        <v>101</v>
      </c>
      <c r="AK1012">
        <v>0</v>
      </c>
      <c r="AL1012">
        <v>720</v>
      </c>
      <c r="AM1012">
        <v>720</v>
      </c>
      <c r="AN1012" t="s">
        <v>102</v>
      </c>
      <c r="AO1012" t="s">
        <v>97</v>
      </c>
      <c r="AP1012" t="s">
        <v>104</v>
      </c>
      <c r="AQ1012" t="s">
        <v>105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97</v>
      </c>
      <c r="BC1012">
        <v>7</v>
      </c>
      <c r="BD1012" t="s">
        <v>106</v>
      </c>
      <c r="BE1012">
        <v>1</v>
      </c>
      <c r="BF1012" t="s">
        <v>96</v>
      </c>
      <c r="BG1012" t="s">
        <v>107</v>
      </c>
      <c r="BH1012">
        <v>1948</v>
      </c>
      <c r="BI1012" t="s">
        <v>101</v>
      </c>
      <c r="BJ1012">
        <v>1</v>
      </c>
      <c r="BK1012">
        <v>312</v>
      </c>
      <c r="BL1012" t="s">
        <v>97</v>
      </c>
      <c r="BM1012" t="s">
        <v>97</v>
      </c>
      <c r="BN1012" t="s">
        <v>104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X1012">
        <v>0</v>
      </c>
      <c r="BY1012">
        <v>8</v>
      </c>
      <c r="BZ1012">
        <v>2008</v>
      </c>
      <c r="CA1012" t="s">
        <v>109</v>
      </c>
      <c r="CB1012" t="s">
        <v>110</v>
      </c>
      <c r="CC1012">
        <v>135000</v>
      </c>
    </row>
    <row r="1013" spans="1:81" x14ac:dyDescent="0.3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184</v>
      </c>
      <c r="N1013" t="s">
        <v>89</v>
      </c>
      <c r="O1013" t="s">
        <v>89</v>
      </c>
      <c r="P1013" t="s">
        <v>166</v>
      </c>
      <c r="Q1013" t="s">
        <v>114</v>
      </c>
      <c r="R1013">
        <v>5</v>
      </c>
      <c r="S1013">
        <v>5</v>
      </c>
      <c r="T1013">
        <v>1965</v>
      </c>
      <c r="U1013">
        <v>1965</v>
      </c>
      <c r="V1013" t="s">
        <v>151</v>
      </c>
      <c r="W1013" t="s">
        <v>93</v>
      </c>
      <c r="X1013" t="s">
        <v>235</v>
      </c>
      <c r="Y1013" t="s">
        <v>235</v>
      </c>
      <c r="Z1013" t="s">
        <v>116</v>
      </c>
      <c r="AA1013">
        <v>0</v>
      </c>
      <c r="AB1013" t="s">
        <v>97</v>
      </c>
      <c r="AC1013" t="s">
        <v>97</v>
      </c>
      <c r="AD1013" t="s">
        <v>117</v>
      </c>
      <c r="AI1013">
        <v>0</v>
      </c>
      <c r="AK1013">
        <v>0</v>
      </c>
      <c r="AL1013">
        <v>0</v>
      </c>
      <c r="AM1013">
        <v>0</v>
      </c>
      <c r="AN1013" t="s">
        <v>102</v>
      </c>
      <c r="AO1013" t="s">
        <v>97</v>
      </c>
      <c r="AP1013" t="s">
        <v>176</v>
      </c>
      <c r="AQ1013" t="s">
        <v>105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97</v>
      </c>
      <c r="BC1013">
        <v>8</v>
      </c>
      <c r="BD1013" t="s">
        <v>106</v>
      </c>
      <c r="BE1013">
        <v>0</v>
      </c>
      <c r="BJ1013">
        <v>0</v>
      </c>
      <c r="BK1013">
        <v>0</v>
      </c>
      <c r="BN1013" t="s">
        <v>104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X1013">
        <v>0</v>
      </c>
      <c r="BY1013">
        <v>5</v>
      </c>
      <c r="BZ1013">
        <v>2010</v>
      </c>
      <c r="CA1013" t="s">
        <v>109</v>
      </c>
      <c r="CB1013" t="s">
        <v>110</v>
      </c>
      <c r="CC1013">
        <v>100000</v>
      </c>
    </row>
    <row r="1014" spans="1:81" x14ac:dyDescent="0.3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H1014" t="s">
        <v>83</v>
      </c>
      <c r="I1014" t="s">
        <v>84</v>
      </c>
      <c r="J1014" t="s">
        <v>85</v>
      </c>
      <c r="K1014" t="s">
        <v>86</v>
      </c>
      <c r="L1014" t="s">
        <v>87</v>
      </c>
      <c r="M1014" t="s">
        <v>122</v>
      </c>
      <c r="N1014" t="s">
        <v>89</v>
      </c>
      <c r="O1014" t="s">
        <v>89</v>
      </c>
      <c r="P1014" t="s">
        <v>90</v>
      </c>
      <c r="Q1014" t="s">
        <v>91</v>
      </c>
      <c r="R1014">
        <v>6</v>
      </c>
      <c r="S1014">
        <v>7</v>
      </c>
      <c r="T1014">
        <v>1923</v>
      </c>
      <c r="U1014">
        <v>1996</v>
      </c>
      <c r="V1014" t="s">
        <v>151</v>
      </c>
      <c r="W1014" t="s">
        <v>93</v>
      </c>
      <c r="X1014" t="s">
        <v>123</v>
      </c>
      <c r="Y1014" t="s">
        <v>123</v>
      </c>
      <c r="Z1014" t="s">
        <v>116</v>
      </c>
      <c r="AA1014">
        <v>0</v>
      </c>
      <c r="AB1014" t="s">
        <v>97</v>
      </c>
      <c r="AC1014" t="s">
        <v>96</v>
      </c>
      <c r="AD1014" t="s">
        <v>98</v>
      </c>
      <c r="AE1014" t="s">
        <v>97</v>
      </c>
      <c r="AF1014" t="s">
        <v>146</v>
      </c>
      <c r="AG1014" t="s">
        <v>99</v>
      </c>
      <c r="AH1014" t="s">
        <v>101</v>
      </c>
      <c r="AI1014">
        <v>0</v>
      </c>
      <c r="AJ1014" t="s">
        <v>101</v>
      </c>
      <c r="AK1014">
        <v>0</v>
      </c>
      <c r="AL1014">
        <v>602</v>
      </c>
      <c r="AM1014">
        <v>602</v>
      </c>
      <c r="AN1014" t="s">
        <v>102</v>
      </c>
      <c r="AO1014" t="s">
        <v>97</v>
      </c>
      <c r="AP1014" t="s">
        <v>104</v>
      </c>
      <c r="AQ1014" t="s">
        <v>105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96</v>
      </c>
      <c r="BC1014">
        <v>7</v>
      </c>
      <c r="BD1014" t="s">
        <v>106</v>
      </c>
      <c r="BE1014">
        <v>2</v>
      </c>
      <c r="BF1014" t="s">
        <v>97</v>
      </c>
      <c r="BG1014" t="s">
        <v>126</v>
      </c>
      <c r="BH1014">
        <v>1923</v>
      </c>
      <c r="BI1014" t="s">
        <v>101</v>
      </c>
      <c r="BJ1014">
        <v>1</v>
      </c>
      <c r="BK1014">
        <v>180</v>
      </c>
      <c r="BL1014" t="s">
        <v>97</v>
      </c>
      <c r="BM1014" t="s">
        <v>97</v>
      </c>
      <c r="BN1014" t="s">
        <v>104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X1014">
        <v>0</v>
      </c>
      <c r="BY1014">
        <v>8</v>
      </c>
      <c r="BZ1014">
        <v>2007</v>
      </c>
      <c r="CA1014" t="s">
        <v>109</v>
      </c>
      <c r="CB1014" t="s">
        <v>110</v>
      </c>
      <c r="CC1014">
        <v>165000</v>
      </c>
    </row>
    <row r="1015" spans="1:81" x14ac:dyDescent="0.3">
      <c r="A1015">
        <v>1014</v>
      </c>
      <c r="B1015">
        <v>30</v>
      </c>
      <c r="C1015" t="s">
        <v>141</v>
      </c>
      <c r="D1015">
        <v>60</v>
      </c>
      <c r="E1015">
        <v>7200</v>
      </c>
      <c r="F1015" t="s">
        <v>82</v>
      </c>
      <c r="H1015" t="s">
        <v>83</v>
      </c>
      <c r="I1015" t="s">
        <v>84</v>
      </c>
      <c r="J1015" t="s">
        <v>85</v>
      </c>
      <c r="K1015" t="s">
        <v>86</v>
      </c>
      <c r="L1015" t="s">
        <v>87</v>
      </c>
      <c r="M1015" t="s">
        <v>142</v>
      </c>
      <c r="N1015" t="s">
        <v>89</v>
      </c>
      <c r="O1015" t="s">
        <v>89</v>
      </c>
      <c r="P1015" t="s">
        <v>90</v>
      </c>
      <c r="Q1015" t="s">
        <v>114</v>
      </c>
      <c r="R1015">
        <v>5</v>
      </c>
      <c r="S1015">
        <v>4</v>
      </c>
      <c r="T1015">
        <v>1910</v>
      </c>
      <c r="U1015">
        <v>2006</v>
      </c>
      <c r="V1015" t="s">
        <v>151</v>
      </c>
      <c r="W1015" t="s">
        <v>93</v>
      </c>
      <c r="X1015" t="s">
        <v>115</v>
      </c>
      <c r="Y1015" t="s">
        <v>202</v>
      </c>
      <c r="Z1015" t="s">
        <v>116</v>
      </c>
      <c r="AA1015">
        <v>0</v>
      </c>
      <c r="AB1015" t="s">
        <v>97</v>
      </c>
      <c r="AC1015" t="s">
        <v>97</v>
      </c>
      <c r="AD1015" t="s">
        <v>125</v>
      </c>
      <c r="AE1015" t="s">
        <v>97</v>
      </c>
      <c r="AF1015" t="s">
        <v>97</v>
      </c>
      <c r="AG1015" t="s">
        <v>99</v>
      </c>
      <c r="AH1015" t="s">
        <v>118</v>
      </c>
      <c r="AI1015">
        <v>247</v>
      </c>
      <c r="AJ1015" t="s">
        <v>152</v>
      </c>
      <c r="AK1015">
        <v>465</v>
      </c>
      <c r="AL1015">
        <v>310</v>
      </c>
      <c r="AM1015">
        <v>1022</v>
      </c>
      <c r="AN1015" t="s">
        <v>205</v>
      </c>
      <c r="AO1015" t="s">
        <v>97</v>
      </c>
      <c r="AP1015" t="s">
        <v>176</v>
      </c>
      <c r="AQ1015" t="s">
        <v>105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97</v>
      </c>
      <c r="BC1015">
        <v>4</v>
      </c>
      <c r="BD1015" t="s">
        <v>243</v>
      </c>
      <c r="BE1015">
        <v>0</v>
      </c>
      <c r="BG1015" t="s">
        <v>126</v>
      </c>
      <c r="BH1015">
        <v>1956</v>
      </c>
      <c r="BI1015" t="s">
        <v>101</v>
      </c>
      <c r="BJ1015">
        <v>1</v>
      </c>
      <c r="BK1015">
        <v>280</v>
      </c>
      <c r="BL1015" t="s">
        <v>97</v>
      </c>
      <c r="BM1015" t="s">
        <v>97</v>
      </c>
      <c r="BN1015" t="s">
        <v>104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X1015">
        <v>0</v>
      </c>
      <c r="BY1015">
        <v>6</v>
      </c>
      <c r="BZ1015">
        <v>2009</v>
      </c>
      <c r="CA1015" t="s">
        <v>109</v>
      </c>
      <c r="CB1015" t="s">
        <v>110</v>
      </c>
      <c r="CC1015">
        <v>85000</v>
      </c>
    </row>
    <row r="1016" spans="1:81" x14ac:dyDescent="0.3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H1016" t="s">
        <v>83</v>
      </c>
      <c r="I1016" t="s">
        <v>84</v>
      </c>
      <c r="J1016" t="s">
        <v>85</v>
      </c>
      <c r="K1016" t="s">
        <v>86</v>
      </c>
      <c r="L1016" t="s">
        <v>87</v>
      </c>
      <c r="M1016" t="s">
        <v>270</v>
      </c>
      <c r="N1016" t="s">
        <v>143</v>
      </c>
      <c r="O1016" t="s">
        <v>89</v>
      </c>
      <c r="P1016" t="s">
        <v>90</v>
      </c>
      <c r="Q1016" t="s">
        <v>114</v>
      </c>
      <c r="R1016">
        <v>6</v>
      </c>
      <c r="S1016">
        <v>5</v>
      </c>
      <c r="T1016">
        <v>1948</v>
      </c>
      <c r="U1016">
        <v>1950</v>
      </c>
      <c r="V1016" t="s">
        <v>92</v>
      </c>
      <c r="W1016" t="s">
        <v>93</v>
      </c>
      <c r="X1016" t="s">
        <v>115</v>
      </c>
      <c r="Y1016" t="s">
        <v>115</v>
      </c>
      <c r="Z1016" t="s">
        <v>95</v>
      </c>
      <c r="AA1016">
        <v>206</v>
      </c>
      <c r="AB1016" t="s">
        <v>97</v>
      </c>
      <c r="AC1016" t="s">
        <v>97</v>
      </c>
      <c r="AD1016" t="s">
        <v>117</v>
      </c>
      <c r="AE1016" t="s">
        <v>97</v>
      </c>
      <c r="AF1016" t="s">
        <v>146</v>
      </c>
      <c r="AG1016" t="s">
        <v>99</v>
      </c>
      <c r="AH1016" t="s">
        <v>140</v>
      </c>
      <c r="AI1016">
        <v>336</v>
      </c>
      <c r="AJ1016" t="s">
        <v>101</v>
      </c>
      <c r="AK1016">
        <v>0</v>
      </c>
      <c r="AL1016">
        <v>746</v>
      </c>
      <c r="AM1016">
        <v>1082</v>
      </c>
      <c r="AN1016" t="s">
        <v>102</v>
      </c>
      <c r="AO1016" t="s">
        <v>97</v>
      </c>
      <c r="AP1016" t="s">
        <v>104</v>
      </c>
      <c r="AQ1016" t="s">
        <v>105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97</v>
      </c>
      <c r="BC1016">
        <v>5</v>
      </c>
      <c r="BD1016" t="s">
        <v>106</v>
      </c>
      <c r="BE1016">
        <v>1</v>
      </c>
      <c r="BF1016" t="s">
        <v>96</v>
      </c>
      <c r="BG1016" t="s">
        <v>126</v>
      </c>
      <c r="BH1016">
        <v>1948</v>
      </c>
      <c r="BI1016" t="s">
        <v>101</v>
      </c>
      <c r="BJ1016">
        <v>1</v>
      </c>
      <c r="BK1016">
        <v>240</v>
      </c>
      <c r="BL1016" t="s">
        <v>97</v>
      </c>
      <c r="BM1016" t="s">
        <v>97</v>
      </c>
      <c r="BN1016" t="s">
        <v>104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X1016">
        <v>0</v>
      </c>
      <c r="BY1016">
        <v>11</v>
      </c>
      <c r="BZ1016">
        <v>2007</v>
      </c>
      <c r="CA1016" t="s">
        <v>109</v>
      </c>
      <c r="CB1016" t="s">
        <v>110</v>
      </c>
      <c r="CC1016">
        <v>119200</v>
      </c>
    </row>
    <row r="1017" spans="1:81" x14ac:dyDescent="0.3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H1017" t="s">
        <v>83</v>
      </c>
      <c r="I1017" t="s">
        <v>84</v>
      </c>
      <c r="J1017" t="s">
        <v>85</v>
      </c>
      <c r="K1017" t="s">
        <v>86</v>
      </c>
      <c r="L1017" t="s">
        <v>87</v>
      </c>
      <c r="M1017" t="s">
        <v>137</v>
      </c>
      <c r="N1017" t="s">
        <v>89</v>
      </c>
      <c r="O1017" t="s">
        <v>89</v>
      </c>
      <c r="P1017" t="s">
        <v>90</v>
      </c>
      <c r="Q1017" t="s">
        <v>91</v>
      </c>
      <c r="R1017">
        <v>8</v>
      </c>
      <c r="S1017">
        <v>6</v>
      </c>
      <c r="T1017">
        <v>2001</v>
      </c>
      <c r="U1017">
        <v>2001</v>
      </c>
      <c r="V1017" t="s">
        <v>92</v>
      </c>
      <c r="W1017" t="s">
        <v>93</v>
      </c>
      <c r="X1017" t="s">
        <v>94</v>
      </c>
      <c r="Y1017" t="s">
        <v>94</v>
      </c>
      <c r="Z1017" t="s">
        <v>116</v>
      </c>
      <c r="AA1017">
        <v>0</v>
      </c>
      <c r="AB1017" t="s">
        <v>96</v>
      </c>
      <c r="AC1017" t="s">
        <v>97</v>
      </c>
      <c r="AD1017" t="s">
        <v>98</v>
      </c>
      <c r="AE1017" t="s">
        <v>96</v>
      </c>
      <c r="AF1017" t="s">
        <v>97</v>
      </c>
      <c r="AG1017" t="s">
        <v>99</v>
      </c>
      <c r="AH1017" t="s">
        <v>100</v>
      </c>
      <c r="AI1017">
        <v>643</v>
      </c>
      <c r="AJ1017" t="s">
        <v>101</v>
      </c>
      <c r="AK1017">
        <v>0</v>
      </c>
      <c r="AL1017">
        <v>167</v>
      </c>
      <c r="AM1017">
        <v>810</v>
      </c>
      <c r="AN1017" t="s">
        <v>102</v>
      </c>
      <c r="AO1017" t="s">
        <v>103</v>
      </c>
      <c r="AP1017" t="s">
        <v>104</v>
      </c>
      <c r="AQ1017" t="s">
        <v>105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96</v>
      </c>
      <c r="BC1017">
        <v>6</v>
      </c>
      <c r="BD1017" t="s">
        <v>106</v>
      </c>
      <c r="BE1017">
        <v>0</v>
      </c>
      <c r="BG1017" t="s">
        <v>107</v>
      </c>
      <c r="BH1017">
        <v>2001</v>
      </c>
      <c r="BI1017" t="s">
        <v>156</v>
      </c>
      <c r="BJ1017">
        <v>2</v>
      </c>
      <c r="BK1017">
        <v>528</v>
      </c>
      <c r="BL1017" t="s">
        <v>97</v>
      </c>
      <c r="BM1017" t="s">
        <v>97</v>
      </c>
      <c r="BN1017" t="s">
        <v>104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X1017">
        <v>0</v>
      </c>
      <c r="BY1017">
        <v>11</v>
      </c>
      <c r="BZ1017">
        <v>2009</v>
      </c>
      <c r="CA1017" t="s">
        <v>109</v>
      </c>
      <c r="CB1017" t="s">
        <v>110</v>
      </c>
      <c r="CC1017">
        <v>227000</v>
      </c>
    </row>
    <row r="1018" spans="1:81" x14ac:dyDescent="0.3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H1018" t="s">
        <v>83</v>
      </c>
      <c r="I1018" t="s">
        <v>84</v>
      </c>
      <c r="J1018" t="s">
        <v>85</v>
      </c>
      <c r="K1018" t="s">
        <v>86</v>
      </c>
      <c r="L1018" t="s">
        <v>87</v>
      </c>
      <c r="M1018" t="s">
        <v>88</v>
      </c>
      <c r="N1018" t="s">
        <v>89</v>
      </c>
      <c r="O1018" t="s">
        <v>89</v>
      </c>
      <c r="P1018" t="s">
        <v>90</v>
      </c>
      <c r="Q1018" t="s">
        <v>114</v>
      </c>
      <c r="R1018">
        <v>7</v>
      </c>
      <c r="S1018">
        <v>5</v>
      </c>
      <c r="T1018">
        <v>1996</v>
      </c>
      <c r="U1018">
        <v>1996</v>
      </c>
      <c r="V1018" t="s">
        <v>151</v>
      </c>
      <c r="W1018" t="s">
        <v>93</v>
      </c>
      <c r="X1018" t="s">
        <v>94</v>
      </c>
      <c r="Y1018" t="s">
        <v>94</v>
      </c>
      <c r="Z1018" t="s">
        <v>95</v>
      </c>
      <c r="AA1018">
        <v>196</v>
      </c>
      <c r="AB1018" t="s">
        <v>96</v>
      </c>
      <c r="AC1018" t="s">
        <v>97</v>
      </c>
      <c r="AD1018" t="s">
        <v>98</v>
      </c>
      <c r="AE1018" t="s">
        <v>96</v>
      </c>
      <c r="AF1018" t="s">
        <v>97</v>
      </c>
      <c r="AG1018" t="s">
        <v>96</v>
      </c>
      <c r="AH1018" t="s">
        <v>100</v>
      </c>
      <c r="AI1018">
        <v>690</v>
      </c>
      <c r="AJ1018" t="s">
        <v>101</v>
      </c>
      <c r="AK1018">
        <v>0</v>
      </c>
      <c r="AL1018">
        <v>814</v>
      </c>
      <c r="AM1018">
        <v>1504</v>
      </c>
      <c r="AN1018" t="s">
        <v>102</v>
      </c>
      <c r="AO1018" t="s">
        <v>103</v>
      </c>
      <c r="AP1018" t="s">
        <v>104</v>
      </c>
      <c r="AQ1018" t="s">
        <v>105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96</v>
      </c>
      <c r="BC1018">
        <v>6</v>
      </c>
      <c r="BD1018" t="s">
        <v>106</v>
      </c>
      <c r="BE1018">
        <v>1</v>
      </c>
      <c r="BF1018" t="s">
        <v>97</v>
      </c>
      <c r="BG1018" t="s">
        <v>107</v>
      </c>
      <c r="BH1018">
        <v>1996</v>
      </c>
      <c r="BI1018" t="s">
        <v>156</v>
      </c>
      <c r="BJ1018">
        <v>2</v>
      </c>
      <c r="BK1018">
        <v>478</v>
      </c>
      <c r="BL1018" t="s">
        <v>97</v>
      </c>
      <c r="BM1018" t="s">
        <v>97</v>
      </c>
      <c r="BN1018" t="s">
        <v>104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X1018">
        <v>0</v>
      </c>
      <c r="BY1018">
        <v>6</v>
      </c>
      <c r="BZ1018">
        <v>2009</v>
      </c>
      <c r="CA1018" t="s">
        <v>109</v>
      </c>
      <c r="CB1018" t="s">
        <v>110</v>
      </c>
      <c r="CC1018">
        <v>203000</v>
      </c>
    </row>
    <row r="1019" spans="1:81" x14ac:dyDescent="0.3">
      <c r="A1019">
        <v>1018</v>
      </c>
      <c r="B1019">
        <v>120</v>
      </c>
      <c r="C1019" t="s">
        <v>81</v>
      </c>
      <c r="E1019">
        <v>5814</v>
      </c>
      <c r="F1019" t="s">
        <v>82</v>
      </c>
      <c r="H1019" t="s">
        <v>119</v>
      </c>
      <c r="I1019" t="s">
        <v>84</v>
      </c>
      <c r="J1019" t="s">
        <v>85</v>
      </c>
      <c r="K1019" t="s">
        <v>165</v>
      </c>
      <c r="L1019" t="s">
        <v>87</v>
      </c>
      <c r="M1019" t="s">
        <v>199</v>
      </c>
      <c r="N1019" t="s">
        <v>89</v>
      </c>
      <c r="O1019" t="s">
        <v>89</v>
      </c>
      <c r="P1019" t="s">
        <v>178</v>
      </c>
      <c r="Q1019" t="s">
        <v>114</v>
      </c>
      <c r="R1019">
        <v>8</v>
      </c>
      <c r="S1019">
        <v>5</v>
      </c>
      <c r="T1019">
        <v>1984</v>
      </c>
      <c r="U1019">
        <v>1984</v>
      </c>
      <c r="V1019" t="s">
        <v>92</v>
      </c>
      <c r="W1019" t="s">
        <v>93</v>
      </c>
      <c r="X1019" t="s">
        <v>139</v>
      </c>
      <c r="Y1019" t="s">
        <v>139</v>
      </c>
      <c r="Z1019" t="s">
        <v>116</v>
      </c>
      <c r="AA1019">
        <v>0</v>
      </c>
      <c r="AB1019" t="s">
        <v>96</v>
      </c>
      <c r="AC1019" t="s">
        <v>97</v>
      </c>
      <c r="AD1019" t="s">
        <v>117</v>
      </c>
      <c r="AE1019" t="s">
        <v>96</v>
      </c>
      <c r="AF1019" t="s">
        <v>97</v>
      </c>
      <c r="AG1019" t="s">
        <v>129</v>
      </c>
      <c r="AH1019" t="s">
        <v>100</v>
      </c>
      <c r="AI1019">
        <v>1036</v>
      </c>
      <c r="AJ1019" t="s">
        <v>101</v>
      </c>
      <c r="AK1019">
        <v>0</v>
      </c>
      <c r="AL1019">
        <v>184</v>
      </c>
      <c r="AM1019">
        <v>1220</v>
      </c>
      <c r="AN1019" t="s">
        <v>102</v>
      </c>
      <c r="AO1019" t="s">
        <v>96</v>
      </c>
      <c r="AP1019" t="s">
        <v>104</v>
      </c>
      <c r="AQ1019" t="s">
        <v>105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96</v>
      </c>
      <c r="BC1019">
        <v>4</v>
      </c>
      <c r="BD1019" t="s">
        <v>106</v>
      </c>
      <c r="BE1019">
        <v>1</v>
      </c>
      <c r="BF1019" t="s">
        <v>103</v>
      </c>
      <c r="BG1019" t="s">
        <v>107</v>
      </c>
      <c r="BH1019">
        <v>1984</v>
      </c>
      <c r="BI1019" t="s">
        <v>108</v>
      </c>
      <c r="BJ1019">
        <v>2</v>
      </c>
      <c r="BK1019">
        <v>565</v>
      </c>
      <c r="BL1019" t="s">
        <v>97</v>
      </c>
      <c r="BM1019" t="s">
        <v>97</v>
      </c>
      <c r="BN1019" t="s">
        <v>104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X1019">
        <v>0</v>
      </c>
      <c r="BY1019">
        <v>8</v>
      </c>
      <c r="BZ1019">
        <v>2009</v>
      </c>
      <c r="CA1019" t="s">
        <v>172</v>
      </c>
      <c r="CB1019" t="s">
        <v>127</v>
      </c>
      <c r="CC1019">
        <v>187500</v>
      </c>
    </row>
    <row r="1020" spans="1:81" x14ac:dyDescent="0.3">
      <c r="A1020">
        <v>1019</v>
      </c>
      <c r="B1020">
        <v>80</v>
      </c>
      <c r="C1020" t="s">
        <v>81</v>
      </c>
      <c r="E1020">
        <v>10784</v>
      </c>
      <c r="F1020" t="s">
        <v>82</v>
      </c>
      <c r="H1020" t="s">
        <v>119</v>
      </c>
      <c r="I1020" t="s">
        <v>84</v>
      </c>
      <c r="J1020" t="s">
        <v>85</v>
      </c>
      <c r="K1020" t="s">
        <v>111</v>
      </c>
      <c r="L1020" t="s">
        <v>87</v>
      </c>
      <c r="M1020" t="s">
        <v>192</v>
      </c>
      <c r="N1020" t="s">
        <v>89</v>
      </c>
      <c r="O1020" t="s">
        <v>89</v>
      </c>
      <c r="P1020" t="s">
        <v>90</v>
      </c>
      <c r="Q1020" t="s">
        <v>196</v>
      </c>
      <c r="R1020">
        <v>7</v>
      </c>
      <c r="S1020">
        <v>5</v>
      </c>
      <c r="T1020">
        <v>1991</v>
      </c>
      <c r="U1020">
        <v>1992</v>
      </c>
      <c r="V1020" t="s">
        <v>92</v>
      </c>
      <c r="W1020" t="s">
        <v>93</v>
      </c>
      <c r="X1020" t="s">
        <v>139</v>
      </c>
      <c r="Y1020" t="s">
        <v>139</v>
      </c>
      <c r="Z1020" t="s">
        <v>95</v>
      </c>
      <c r="AA1020">
        <v>76</v>
      </c>
      <c r="AB1020" t="s">
        <v>96</v>
      </c>
      <c r="AC1020" t="s">
        <v>97</v>
      </c>
      <c r="AD1020" t="s">
        <v>98</v>
      </c>
      <c r="AE1020" t="s">
        <v>96</v>
      </c>
      <c r="AF1020" t="s">
        <v>97</v>
      </c>
      <c r="AG1020" t="s">
        <v>99</v>
      </c>
      <c r="AH1020" t="s">
        <v>101</v>
      </c>
      <c r="AI1020">
        <v>0</v>
      </c>
      <c r="AJ1020" t="s">
        <v>101</v>
      </c>
      <c r="AK1020">
        <v>0</v>
      </c>
      <c r="AL1020">
        <v>384</v>
      </c>
      <c r="AM1020">
        <v>384</v>
      </c>
      <c r="AN1020" t="s">
        <v>102</v>
      </c>
      <c r="AO1020" t="s">
        <v>96</v>
      </c>
      <c r="AP1020" t="s">
        <v>104</v>
      </c>
      <c r="AQ1020" t="s">
        <v>105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96</v>
      </c>
      <c r="BC1020">
        <v>7</v>
      </c>
      <c r="BD1020" t="s">
        <v>106</v>
      </c>
      <c r="BE1020">
        <v>1</v>
      </c>
      <c r="BF1020" t="s">
        <v>97</v>
      </c>
      <c r="BG1020" t="s">
        <v>107</v>
      </c>
      <c r="BH1020">
        <v>1991</v>
      </c>
      <c r="BI1020" t="s">
        <v>108</v>
      </c>
      <c r="BJ1020">
        <v>2</v>
      </c>
      <c r="BK1020">
        <v>402</v>
      </c>
      <c r="BL1020" t="s">
        <v>97</v>
      </c>
      <c r="BM1020" t="s">
        <v>97</v>
      </c>
      <c r="BN1020" t="s">
        <v>104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X1020">
        <v>0</v>
      </c>
      <c r="BY1020">
        <v>5</v>
      </c>
      <c r="BZ1020">
        <v>2007</v>
      </c>
      <c r="CA1020" t="s">
        <v>109</v>
      </c>
      <c r="CB1020" t="s">
        <v>110</v>
      </c>
      <c r="CC1020">
        <v>160000</v>
      </c>
    </row>
    <row r="1021" spans="1:81" x14ac:dyDescent="0.3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H1021" t="s">
        <v>83</v>
      </c>
      <c r="I1021" t="s">
        <v>84</v>
      </c>
      <c r="J1021" t="s">
        <v>85</v>
      </c>
      <c r="K1021" t="s">
        <v>86</v>
      </c>
      <c r="L1021" t="s">
        <v>87</v>
      </c>
      <c r="M1021" t="s">
        <v>226</v>
      </c>
      <c r="N1021" t="s">
        <v>89</v>
      </c>
      <c r="O1021" t="s">
        <v>89</v>
      </c>
      <c r="P1021" t="s">
        <v>178</v>
      </c>
      <c r="Q1021" t="s">
        <v>114</v>
      </c>
      <c r="R1021">
        <v>7</v>
      </c>
      <c r="S1021">
        <v>5</v>
      </c>
      <c r="T1021">
        <v>2005</v>
      </c>
      <c r="U1021">
        <v>2005</v>
      </c>
      <c r="V1021" t="s">
        <v>92</v>
      </c>
      <c r="W1021" t="s">
        <v>93</v>
      </c>
      <c r="X1021" t="s">
        <v>94</v>
      </c>
      <c r="Y1021" t="s">
        <v>94</v>
      </c>
      <c r="Z1021" t="s">
        <v>95</v>
      </c>
      <c r="AA1021">
        <v>145</v>
      </c>
      <c r="AB1021" t="s">
        <v>96</v>
      </c>
      <c r="AC1021" t="s">
        <v>97</v>
      </c>
      <c r="AD1021" t="s">
        <v>98</v>
      </c>
      <c r="AE1021" t="s">
        <v>96</v>
      </c>
      <c r="AF1021" t="s">
        <v>97</v>
      </c>
      <c r="AG1021" t="s">
        <v>96</v>
      </c>
      <c r="AH1021" t="s">
        <v>100</v>
      </c>
      <c r="AI1021">
        <v>16</v>
      </c>
      <c r="AJ1021" t="s">
        <v>101</v>
      </c>
      <c r="AK1021">
        <v>0</v>
      </c>
      <c r="AL1021">
        <v>1346</v>
      </c>
      <c r="AM1021">
        <v>1362</v>
      </c>
      <c r="AN1021" t="s">
        <v>102</v>
      </c>
      <c r="AO1021" t="s">
        <v>103</v>
      </c>
      <c r="AP1021" t="s">
        <v>104</v>
      </c>
      <c r="AQ1021" t="s">
        <v>105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96</v>
      </c>
      <c r="BC1021">
        <v>6</v>
      </c>
      <c r="BD1021" t="s">
        <v>106</v>
      </c>
      <c r="BE1021">
        <v>1</v>
      </c>
      <c r="BF1021" t="s">
        <v>96</v>
      </c>
      <c r="BG1021" t="s">
        <v>107</v>
      </c>
      <c r="BH1021">
        <v>2005</v>
      </c>
      <c r="BI1021" t="s">
        <v>156</v>
      </c>
      <c r="BJ1021">
        <v>2</v>
      </c>
      <c r="BK1021">
        <v>440</v>
      </c>
      <c r="BL1021" t="s">
        <v>97</v>
      </c>
      <c r="BM1021" t="s">
        <v>97</v>
      </c>
      <c r="BN1021" t="s">
        <v>104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X1021">
        <v>0</v>
      </c>
      <c r="BY1021">
        <v>4</v>
      </c>
      <c r="BZ1021">
        <v>2006</v>
      </c>
      <c r="CA1021" t="s">
        <v>109</v>
      </c>
      <c r="CB1021" t="s">
        <v>110</v>
      </c>
      <c r="CC1021">
        <v>213490</v>
      </c>
    </row>
    <row r="1022" spans="1:81" x14ac:dyDescent="0.3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H1022" t="s">
        <v>83</v>
      </c>
      <c r="I1022" t="s">
        <v>84</v>
      </c>
      <c r="J1022" t="s">
        <v>85</v>
      </c>
      <c r="K1022" t="s">
        <v>86</v>
      </c>
      <c r="L1022" t="s">
        <v>87</v>
      </c>
      <c r="M1022" t="s">
        <v>184</v>
      </c>
      <c r="N1022" t="s">
        <v>89</v>
      </c>
      <c r="O1022" t="s">
        <v>89</v>
      </c>
      <c r="P1022" t="s">
        <v>90</v>
      </c>
      <c r="Q1022" t="s">
        <v>114</v>
      </c>
      <c r="R1022">
        <v>4</v>
      </c>
      <c r="S1022">
        <v>5</v>
      </c>
      <c r="T1022">
        <v>2005</v>
      </c>
      <c r="U1022">
        <v>2005</v>
      </c>
      <c r="V1022" t="s">
        <v>92</v>
      </c>
      <c r="W1022" t="s">
        <v>93</v>
      </c>
      <c r="X1022" t="s">
        <v>94</v>
      </c>
      <c r="Y1022" t="s">
        <v>94</v>
      </c>
      <c r="Z1022" t="s">
        <v>116</v>
      </c>
      <c r="AA1022">
        <v>0</v>
      </c>
      <c r="AB1022" t="s">
        <v>97</v>
      </c>
      <c r="AC1022" t="s">
        <v>97</v>
      </c>
      <c r="AD1022" t="s">
        <v>98</v>
      </c>
      <c r="AE1022" t="s">
        <v>96</v>
      </c>
      <c r="AF1022" t="s">
        <v>97</v>
      </c>
      <c r="AG1022" t="s">
        <v>99</v>
      </c>
      <c r="AH1022" t="s">
        <v>100</v>
      </c>
      <c r="AI1022">
        <v>1024</v>
      </c>
      <c r="AJ1022" t="s">
        <v>101</v>
      </c>
      <c r="AK1022">
        <v>0</v>
      </c>
      <c r="AL1022">
        <v>108</v>
      </c>
      <c r="AM1022">
        <v>1132</v>
      </c>
      <c r="AN1022" t="s">
        <v>102</v>
      </c>
      <c r="AO1022" t="s">
        <v>103</v>
      </c>
      <c r="AP1022" t="s">
        <v>104</v>
      </c>
      <c r="AQ1022" t="s">
        <v>105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96</v>
      </c>
      <c r="BC1022">
        <v>5</v>
      </c>
      <c r="BD1022" t="s">
        <v>106</v>
      </c>
      <c r="BE1022">
        <v>0</v>
      </c>
      <c r="BG1022" t="s">
        <v>107</v>
      </c>
      <c r="BH1022">
        <v>2005</v>
      </c>
      <c r="BI1022" t="s">
        <v>156</v>
      </c>
      <c r="BJ1022">
        <v>2</v>
      </c>
      <c r="BK1022">
        <v>451</v>
      </c>
      <c r="BL1022" t="s">
        <v>97</v>
      </c>
      <c r="BM1022" t="s">
        <v>97</v>
      </c>
      <c r="BN1022" t="s">
        <v>104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X1022">
        <v>0</v>
      </c>
      <c r="BY1022">
        <v>6</v>
      </c>
      <c r="BZ1022">
        <v>2008</v>
      </c>
      <c r="CA1022" t="s">
        <v>109</v>
      </c>
      <c r="CB1022" t="s">
        <v>110</v>
      </c>
      <c r="CC1022">
        <v>176000</v>
      </c>
    </row>
    <row r="1023" spans="1:81" x14ac:dyDescent="0.3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H1023" t="s">
        <v>83</v>
      </c>
      <c r="I1023" t="s">
        <v>84</v>
      </c>
      <c r="J1023" t="s">
        <v>85</v>
      </c>
      <c r="K1023" t="s">
        <v>86</v>
      </c>
      <c r="L1023" t="s">
        <v>87</v>
      </c>
      <c r="M1023" t="s">
        <v>88</v>
      </c>
      <c r="N1023" t="s">
        <v>89</v>
      </c>
      <c r="O1023" t="s">
        <v>89</v>
      </c>
      <c r="P1023" t="s">
        <v>90</v>
      </c>
      <c r="Q1023" t="s">
        <v>114</v>
      </c>
      <c r="R1023">
        <v>7</v>
      </c>
      <c r="S1023">
        <v>5</v>
      </c>
      <c r="T1023">
        <v>2006</v>
      </c>
      <c r="U1023">
        <v>2006</v>
      </c>
      <c r="V1023" t="s">
        <v>92</v>
      </c>
      <c r="W1023" t="s">
        <v>93</v>
      </c>
      <c r="X1023" t="s">
        <v>94</v>
      </c>
      <c r="Y1023" t="s">
        <v>94</v>
      </c>
      <c r="Z1023" t="s">
        <v>136</v>
      </c>
      <c r="AA1023">
        <v>84</v>
      </c>
      <c r="AB1023" t="s">
        <v>96</v>
      </c>
      <c r="AC1023" t="s">
        <v>97</v>
      </c>
      <c r="AD1023" t="s">
        <v>98</v>
      </c>
      <c r="AE1023" t="s">
        <v>96</v>
      </c>
      <c r="AF1023" t="s">
        <v>97</v>
      </c>
      <c r="AG1023" t="s">
        <v>129</v>
      </c>
      <c r="AH1023" t="s">
        <v>100</v>
      </c>
      <c r="AI1023">
        <v>684</v>
      </c>
      <c r="AJ1023" t="s">
        <v>101</v>
      </c>
      <c r="AK1023">
        <v>0</v>
      </c>
      <c r="AL1023">
        <v>515</v>
      </c>
      <c r="AM1023">
        <v>1199</v>
      </c>
      <c r="AN1023" t="s">
        <v>102</v>
      </c>
      <c r="AO1023" t="s">
        <v>103</v>
      </c>
      <c r="AP1023" t="s">
        <v>104</v>
      </c>
      <c r="AQ1023" t="s">
        <v>105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96</v>
      </c>
      <c r="BC1023">
        <v>6</v>
      </c>
      <c r="BD1023" t="s">
        <v>106</v>
      </c>
      <c r="BE1023">
        <v>0</v>
      </c>
      <c r="BG1023" t="s">
        <v>107</v>
      </c>
      <c r="BH1023">
        <v>2006</v>
      </c>
      <c r="BI1023" t="s">
        <v>108</v>
      </c>
      <c r="BJ1023">
        <v>2</v>
      </c>
      <c r="BK1023">
        <v>632</v>
      </c>
      <c r="BL1023" t="s">
        <v>97</v>
      </c>
      <c r="BM1023" t="s">
        <v>97</v>
      </c>
      <c r="BN1023" t="s">
        <v>104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X1023">
        <v>0</v>
      </c>
      <c r="BY1023">
        <v>7</v>
      </c>
      <c r="BZ1023">
        <v>2006</v>
      </c>
      <c r="CA1023" t="s">
        <v>157</v>
      </c>
      <c r="CB1023" t="s">
        <v>158</v>
      </c>
      <c r="CC1023">
        <v>194000</v>
      </c>
    </row>
    <row r="1024" spans="1:81" x14ac:dyDescent="0.3">
      <c r="A1024">
        <v>1023</v>
      </c>
      <c r="B1024">
        <v>50</v>
      </c>
      <c r="C1024" t="s">
        <v>141</v>
      </c>
      <c r="D1024">
        <v>52</v>
      </c>
      <c r="E1024">
        <v>9439</v>
      </c>
      <c r="F1024" t="s">
        <v>82</v>
      </c>
      <c r="H1024" t="s">
        <v>83</v>
      </c>
      <c r="I1024" t="s">
        <v>84</v>
      </c>
      <c r="J1024" t="s">
        <v>85</v>
      </c>
      <c r="K1024" t="s">
        <v>86</v>
      </c>
      <c r="L1024" t="s">
        <v>87</v>
      </c>
      <c r="M1024" t="s">
        <v>142</v>
      </c>
      <c r="N1024" t="s">
        <v>89</v>
      </c>
      <c r="O1024" t="s">
        <v>89</v>
      </c>
      <c r="P1024" t="s">
        <v>90</v>
      </c>
      <c r="Q1024" t="s">
        <v>131</v>
      </c>
      <c r="R1024">
        <v>5</v>
      </c>
      <c r="S1024">
        <v>5</v>
      </c>
      <c r="T1024">
        <v>1930</v>
      </c>
      <c r="U1024">
        <v>1950</v>
      </c>
      <c r="V1024" t="s">
        <v>92</v>
      </c>
      <c r="W1024" t="s">
        <v>93</v>
      </c>
      <c r="X1024" t="s">
        <v>123</v>
      </c>
      <c r="Y1024" t="s">
        <v>123</v>
      </c>
      <c r="Z1024" t="s">
        <v>116</v>
      </c>
      <c r="AA1024">
        <v>0</v>
      </c>
      <c r="AB1024" t="s">
        <v>97</v>
      </c>
      <c r="AC1024" t="s">
        <v>97</v>
      </c>
      <c r="AD1024" t="s">
        <v>117</v>
      </c>
      <c r="AE1024" t="s">
        <v>97</v>
      </c>
      <c r="AF1024" t="s">
        <v>97</v>
      </c>
      <c r="AG1024" t="s">
        <v>99</v>
      </c>
      <c r="AH1024" t="s">
        <v>171</v>
      </c>
      <c r="AI1024">
        <v>324</v>
      </c>
      <c r="AJ1024" t="s">
        <v>101</v>
      </c>
      <c r="AK1024">
        <v>0</v>
      </c>
      <c r="AL1024">
        <v>588</v>
      </c>
      <c r="AM1024">
        <v>912</v>
      </c>
      <c r="AN1024" t="s">
        <v>102</v>
      </c>
      <c r="AO1024" t="s">
        <v>96</v>
      </c>
      <c r="AP1024" t="s">
        <v>104</v>
      </c>
      <c r="AQ1024" t="s">
        <v>163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97</v>
      </c>
      <c r="BC1024">
        <v>6</v>
      </c>
      <c r="BD1024" t="s">
        <v>106</v>
      </c>
      <c r="BE1024">
        <v>0</v>
      </c>
      <c r="BG1024" t="s">
        <v>126</v>
      </c>
      <c r="BH1024">
        <v>1957</v>
      </c>
      <c r="BI1024" t="s">
        <v>101</v>
      </c>
      <c r="BJ1024">
        <v>1</v>
      </c>
      <c r="BK1024">
        <v>160</v>
      </c>
      <c r="BL1024" t="s">
        <v>146</v>
      </c>
      <c r="BM1024" t="s">
        <v>146</v>
      </c>
      <c r="BN1024" t="s">
        <v>104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X1024">
        <v>0</v>
      </c>
      <c r="BY1024">
        <v>3</v>
      </c>
      <c r="BZ1024">
        <v>2007</v>
      </c>
      <c r="CA1024" t="s">
        <v>109</v>
      </c>
      <c r="CB1024" t="s">
        <v>110</v>
      </c>
      <c r="CC1024">
        <v>87000</v>
      </c>
    </row>
    <row r="1025" spans="1:81" x14ac:dyDescent="0.3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H1025" t="s">
        <v>83</v>
      </c>
      <c r="I1025" t="s">
        <v>84</v>
      </c>
      <c r="J1025" t="s">
        <v>85</v>
      </c>
      <c r="K1025" t="s">
        <v>86</v>
      </c>
      <c r="L1025" t="s">
        <v>87</v>
      </c>
      <c r="M1025" t="s">
        <v>226</v>
      </c>
      <c r="N1025" t="s">
        <v>89</v>
      </c>
      <c r="O1025" t="s">
        <v>89</v>
      </c>
      <c r="P1025" t="s">
        <v>178</v>
      </c>
      <c r="Q1025" t="s">
        <v>114</v>
      </c>
      <c r="R1025">
        <v>7</v>
      </c>
      <c r="S1025">
        <v>5</v>
      </c>
      <c r="T1025">
        <v>2005</v>
      </c>
      <c r="U1025">
        <v>2006</v>
      </c>
      <c r="V1025" t="s">
        <v>92</v>
      </c>
      <c r="W1025" t="s">
        <v>93</v>
      </c>
      <c r="X1025" t="s">
        <v>94</v>
      </c>
      <c r="Y1025" t="s">
        <v>94</v>
      </c>
      <c r="Z1025" t="s">
        <v>95</v>
      </c>
      <c r="AA1025">
        <v>14</v>
      </c>
      <c r="AB1025" t="s">
        <v>96</v>
      </c>
      <c r="AC1025" t="s">
        <v>97</v>
      </c>
      <c r="AD1025" t="s">
        <v>98</v>
      </c>
      <c r="AE1025" t="s">
        <v>96</v>
      </c>
      <c r="AF1025" t="s">
        <v>96</v>
      </c>
      <c r="AG1025" t="s">
        <v>99</v>
      </c>
      <c r="AH1025" t="s">
        <v>100</v>
      </c>
      <c r="AI1025">
        <v>16</v>
      </c>
      <c r="AJ1025" t="s">
        <v>101</v>
      </c>
      <c r="AK1025">
        <v>0</v>
      </c>
      <c r="AL1025">
        <v>1330</v>
      </c>
      <c r="AM1025">
        <v>1346</v>
      </c>
      <c r="AN1025" t="s">
        <v>102</v>
      </c>
      <c r="AO1025" t="s">
        <v>103</v>
      </c>
      <c r="AP1025" t="s">
        <v>104</v>
      </c>
      <c r="AQ1025" t="s">
        <v>105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96</v>
      </c>
      <c r="BC1025">
        <v>7</v>
      </c>
      <c r="BD1025" t="s">
        <v>106</v>
      </c>
      <c r="BE1025">
        <v>1</v>
      </c>
      <c r="BF1025" t="s">
        <v>96</v>
      </c>
      <c r="BG1025" t="s">
        <v>107</v>
      </c>
      <c r="BH1025">
        <v>2005</v>
      </c>
      <c r="BI1025" t="s">
        <v>156</v>
      </c>
      <c r="BJ1025">
        <v>2</v>
      </c>
      <c r="BK1025">
        <v>437</v>
      </c>
      <c r="BL1025" t="s">
        <v>97</v>
      </c>
      <c r="BM1025" t="s">
        <v>97</v>
      </c>
      <c r="BN1025" t="s">
        <v>104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X1025">
        <v>0</v>
      </c>
      <c r="BY1025">
        <v>5</v>
      </c>
      <c r="BZ1025">
        <v>2008</v>
      </c>
      <c r="CA1025" t="s">
        <v>109</v>
      </c>
      <c r="CB1025" t="s">
        <v>110</v>
      </c>
      <c r="CC1025">
        <v>191000</v>
      </c>
    </row>
    <row r="1026" spans="1:81" x14ac:dyDescent="0.3">
      <c r="A1026">
        <v>1025</v>
      </c>
      <c r="B1026">
        <v>20</v>
      </c>
      <c r="C1026" t="s">
        <v>81</v>
      </c>
      <c r="E1026">
        <v>15498</v>
      </c>
      <c r="F1026" t="s">
        <v>82</v>
      </c>
      <c r="H1026" t="s">
        <v>119</v>
      </c>
      <c r="I1026" t="s">
        <v>84</v>
      </c>
      <c r="J1026" t="s">
        <v>85</v>
      </c>
      <c r="K1026" t="s">
        <v>121</v>
      </c>
      <c r="L1026" t="s">
        <v>87</v>
      </c>
      <c r="M1026" t="s">
        <v>188</v>
      </c>
      <c r="N1026" t="s">
        <v>89</v>
      </c>
      <c r="O1026" t="s">
        <v>89</v>
      </c>
      <c r="P1026" t="s">
        <v>90</v>
      </c>
      <c r="Q1026" t="s">
        <v>114</v>
      </c>
      <c r="R1026">
        <v>8</v>
      </c>
      <c r="S1026">
        <v>6</v>
      </c>
      <c r="T1026">
        <v>1976</v>
      </c>
      <c r="U1026">
        <v>1976</v>
      </c>
      <c r="V1026" t="s">
        <v>151</v>
      </c>
      <c r="W1026" t="s">
        <v>222</v>
      </c>
      <c r="X1026" t="s">
        <v>136</v>
      </c>
      <c r="Y1026" t="s">
        <v>139</v>
      </c>
      <c r="Z1026" t="s">
        <v>116</v>
      </c>
      <c r="AA1026">
        <v>0</v>
      </c>
      <c r="AB1026" t="s">
        <v>96</v>
      </c>
      <c r="AC1026" t="s">
        <v>97</v>
      </c>
      <c r="AD1026" t="s">
        <v>117</v>
      </c>
      <c r="AE1026" t="s">
        <v>96</v>
      </c>
      <c r="AF1026" t="s">
        <v>97</v>
      </c>
      <c r="AG1026" t="s">
        <v>129</v>
      </c>
      <c r="AH1026" t="s">
        <v>118</v>
      </c>
      <c r="AI1026">
        <v>1165</v>
      </c>
      <c r="AJ1026" t="s">
        <v>171</v>
      </c>
      <c r="AK1026">
        <v>400</v>
      </c>
      <c r="AL1026">
        <v>0</v>
      </c>
      <c r="AM1026">
        <v>1565</v>
      </c>
      <c r="AN1026" t="s">
        <v>102</v>
      </c>
      <c r="AO1026" t="s">
        <v>97</v>
      </c>
      <c r="AP1026" t="s">
        <v>104</v>
      </c>
      <c r="AQ1026" t="s">
        <v>105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96</v>
      </c>
      <c r="BC1026">
        <v>10</v>
      </c>
      <c r="BD1026" t="s">
        <v>106</v>
      </c>
      <c r="BE1026">
        <v>1</v>
      </c>
      <c r="BF1026" t="s">
        <v>96</v>
      </c>
      <c r="BG1026" t="s">
        <v>107</v>
      </c>
      <c r="BH1026">
        <v>1976</v>
      </c>
      <c r="BI1026" t="s">
        <v>156</v>
      </c>
      <c r="BJ1026">
        <v>2</v>
      </c>
      <c r="BK1026">
        <v>665</v>
      </c>
      <c r="BL1026" t="s">
        <v>97</v>
      </c>
      <c r="BM1026" t="s">
        <v>97</v>
      </c>
      <c r="BN1026" t="s">
        <v>104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X1026">
        <v>0</v>
      </c>
      <c r="BY1026">
        <v>5</v>
      </c>
      <c r="BZ1026">
        <v>2008</v>
      </c>
      <c r="CA1026" t="s">
        <v>172</v>
      </c>
      <c r="CB1026" t="s">
        <v>127</v>
      </c>
      <c r="CC1026">
        <v>287000</v>
      </c>
    </row>
    <row r="1027" spans="1:81" x14ac:dyDescent="0.3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H1027" t="s">
        <v>83</v>
      </c>
      <c r="I1027" t="s">
        <v>84</v>
      </c>
      <c r="J1027" t="s">
        <v>85</v>
      </c>
      <c r="K1027" t="s">
        <v>121</v>
      </c>
      <c r="L1027" t="s">
        <v>87</v>
      </c>
      <c r="M1027" t="s">
        <v>88</v>
      </c>
      <c r="N1027" t="s">
        <v>89</v>
      </c>
      <c r="O1027" t="s">
        <v>89</v>
      </c>
      <c r="P1027" t="s">
        <v>90</v>
      </c>
      <c r="Q1027" t="s">
        <v>114</v>
      </c>
      <c r="R1027">
        <v>5</v>
      </c>
      <c r="S1027">
        <v>5</v>
      </c>
      <c r="T1027">
        <v>1972</v>
      </c>
      <c r="U1027">
        <v>1972</v>
      </c>
      <c r="V1027" t="s">
        <v>92</v>
      </c>
      <c r="W1027" t="s">
        <v>93</v>
      </c>
      <c r="X1027" t="s">
        <v>94</v>
      </c>
      <c r="Y1027" t="s">
        <v>94</v>
      </c>
      <c r="Z1027" t="s">
        <v>116</v>
      </c>
      <c r="AA1027">
        <v>0</v>
      </c>
      <c r="AB1027" t="s">
        <v>97</v>
      </c>
      <c r="AC1027" t="s">
        <v>97</v>
      </c>
      <c r="AD1027" t="s">
        <v>117</v>
      </c>
      <c r="AE1027" t="s">
        <v>97</v>
      </c>
      <c r="AF1027" t="s">
        <v>97</v>
      </c>
      <c r="AG1027" t="s">
        <v>99</v>
      </c>
      <c r="AH1027" t="s">
        <v>171</v>
      </c>
      <c r="AI1027">
        <v>138</v>
      </c>
      <c r="AJ1027" t="s">
        <v>152</v>
      </c>
      <c r="AK1027">
        <v>468</v>
      </c>
      <c r="AL1027">
        <v>276</v>
      </c>
      <c r="AM1027">
        <v>882</v>
      </c>
      <c r="AN1027" t="s">
        <v>102</v>
      </c>
      <c r="AO1027" t="s">
        <v>97</v>
      </c>
      <c r="AP1027" t="s">
        <v>104</v>
      </c>
      <c r="AQ1027" t="s">
        <v>105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97</v>
      </c>
      <c r="BC1027">
        <v>5</v>
      </c>
      <c r="BD1027" t="s">
        <v>106</v>
      </c>
      <c r="BE1027">
        <v>0</v>
      </c>
      <c r="BG1027" t="s">
        <v>126</v>
      </c>
      <c r="BH1027">
        <v>1980</v>
      </c>
      <c r="BI1027" t="s">
        <v>101</v>
      </c>
      <c r="BJ1027">
        <v>2</v>
      </c>
      <c r="BK1027">
        <v>461</v>
      </c>
      <c r="BL1027" t="s">
        <v>97</v>
      </c>
      <c r="BM1027" t="s">
        <v>97</v>
      </c>
      <c r="BN1027" t="s">
        <v>104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V1027" t="s">
        <v>133</v>
      </c>
      <c r="BX1027">
        <v>0</v>
      </c>
      <c r="BY1027">
        <v>3</v>
      </c>
      <c r="BZ1027">
        <v>2007</v>
      </c>
      <c r="CA1027" t="s">
        <v>109</v>
      </c>
      <c r="CB1027" t="s">
        <v>110</v>
      </c>
      <c r="CC1027">
        <v>112500</v>
      </c>
    </row>
    <row r="1028" spans="1:81" x14ac:dyDescent="0.3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270</v>
      </c>
      <c r="N1028" t="s">
        <v>113</v>
      </c>
      <c r="O1028" t="s">
        <v>89</v>
      </c>
      <c r="P1028" t="s">
        <v>90</v>
      </c>
      <c r="Q1028" t="s">
        <v>114</v>
      </c>
      <c r="R1028">
        <v>5</v>
      </c>
      <c r="S1028">
        <v>5</v>
      </c>
      <c r="T1028">
        <v>1960</v>
      </c>
      <c r="U1028">
        <v>1960</v>
      </c>
      <c r="V1028" t="s">
        <v>92</v>
      </c>
      <c r="W1028" t="s">
        <v>93</v>
      </c>
      <c r="X1028" t="s">
        <v>115</v>
      </c>
      <c r="Y1028" t="s">
        <v>139</v>
      </c>
      <c r="Z1028" t="s">
        <v>95</v>
      </c>
      <c r="AA1028">
        <v>324</v>
      </c>
      <c r="AB1028" t="s">
        <v>97</v>
      </c>
      <c r="AC1028" t="s">
        <v>97</v>
      </c>
      <c r="AD1028" t="s">
        <v>117</v>
      </c>
      <c r="AE1028" t="s">
        <v>97</v>
      </c>
      <c r="AF1028" t="s">
        <v>97</v>
      </c>
      <c r="AG1028" t="s">
        <v>99</v>
      </c>
      <c r="AH1028" t="s">
        <v>152</v>
      </c>
      <c r="AI1028">
        <v>697</v>
      </c>
      <c r="AJ1028" t="s">
        <v>101</v>
      </c>
      <c r="AK1028">
        <v>0</v>
      </c>
      <c r="AL1028">
        <v>571</v>
      </c>
      <c r="AM1028">
        <v>1268</v>
      </c>
      <c r="AN1028" t="s">
        <v>102</v>
      </c>
      <c r="AO1028" t="s">
        <v>97</v>
      </c>
      <c r="AP1028" t="s">
        <v>104</v>
      </c>
      <c r="AQ1028" t="s">
        <v>105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97</v>
      </c>
      <c r="BC1028">
        <v>6</v>
      </c>
      <c r="BD1028" t="s">
        <v>106</v>
      </c>
      <c r="BE1028">
        <v>2</v>
      </c>
      <c r="BF1028" t="s">
        <v>96</v>
      </c>
      <c r="BG1028" t="s">
        <v>107</v>
      </c>
      <c r="BH1028">
        <v>1960</v>
      </c>
      <c r="BI1028" t="s">
        <v>101</v>
      </c>
      <c r="BJ1028">
        <v>2</v>
      </c>
      <c r="BK1028">
        <v>461</v>
      </c>
      <c r="BL1028" t="s">
        <v>97</v>
      </c>
      <c r="BM1028" t="s">
        <v>97</v>
      </c>
      <c r="BN1028" t="s">
        <v>104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X1028">
        <v>0</v>
      </c>
      <c r="BY1028">
        <v>4</v>
      </c>
      <c r="BZ1028">
        <v>2010</v>
      </c>
      <c r="CA1028" t="s">
        <v>109</v>
      </c>
      <c r="CB1028" t="s">
        <v>110</v>
      </c>
      <c r="CC1028">
        <v>167500</v>
      </c>
    </row>
    <row r="1029" spans="1:81" x14ac:dyDescent="0.3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H1029" t="s">
        <v>119</v>
      </c>
      <c r="I1029" t="s">
        <v>198</v>
      </c>
      <c r="J1029" t="s">
        <v>85</v>
      </c>
      <c r="K1029" t="s">
        <v>86</v>
      </c>
      <c r="L1029" t="s">
        <v>87</v>
      </c>
      <c r="M1029" t="s">
        <v>188</v>
      </c>
      <c r="N1029" t="s">
        <v>89</v>
      </c>
      <c r="O1029" t="s">
        <v>89</v>
      </c>
      <c r="P1029" t="s">
        <v>90</v>
      </c>
      <c r="Q1029" t="s">
        <v>114</v>
      </c>
      <c r="R1029">
        <v>8</v>
      </c>
      <c r="S1029">
        <v>5</v>
      </c>
      <c r="T1029">
        <v>2007</v>
      </c>
      <c r="U1029">
        <v>2008</v>
      </c>
      <c r="V1029" t="s">
        <v>92</v>
      </c>
      <c r="W1029" t="s">
        <v>93</v>
      </c>
      <c r="X1029" t="s">
        <v>94</v>
      </c>
      <c r="Y1029" t="s">
        <v>94</v>
      </c>
      <c r="Z1029" t="s">
        <v>136</v>
      </c>
      <c r="AA1029">
        <v>338</v>
      </c>
      <c r="AB1029" t="s">
        <v>96</v>
      </c>
      <c r="AC1029" t="s">
        <v>97</v>
      </c>
      <c r="AD1029" t="s">
        <v>98</v>
      </c>
      <c r="AE1029" t="s">
        <v>96</v>
      </c>
      <c r="AF1029" t="s">
        <v>97</v>
      </c>
      <c r="AG1029" t="s">
        <v>96</v>
      </c>
      <c r="AH1029" t="s">
        <v>100</v>
      </c>
      <c r="AI1029">
        <v>1513</v>
      </c>
      <c r="AJ1029" t="s">
        <v>101</v>
      </c>
      <c r="AK1029">
        <v>0</v>
      </c>
      <c r="AL1029">
        <v>125</v>
      </c>
      <c r="AM1029">
        <v>1638</v>
      </c>
      <c r="AN1029" t="s">
        <v>102</v>
      </c>
      <c r="AO1029" t="s">
        <v>103</v>
      </c>
      <c r="AP1029" t="s">
        <v>104</v>
      </c>
      <c r="AQ1029" t="s">
        <v>105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96</v>
      </c>
      <c r="BC1029">
        <v>7</v>
      </c>
      <c r="BD1029" t="s">
        <v>106</v>
      </c>
      <c r="BE1029">
        <v>1</v>
      </c>
      <c r="BF1029" t="s">
        <v>96</v>
      </c>
      <c r="BG1029" t="s">
        <v>107</v>
      </c>
      <c r="BH1029">
        <v>2008</v>
      </c>
      <c r="BI1029" t="s">
        <v>108</v>
      </c>
      <c r="BJ1029">
        <v>3</v>
      </c>
      <c r="BK1029">
        <v>800</v>
      </c>
      <c r="BL1029" t="s">
        <v>97</v>
      </c>
      <c r="BM1029" t="s">
        <v>97</v>
      </c>
      <c r="BN1029" t="s">
        <v>104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X1029">
        <v>0</v>
      </c>
      <c r="BY1029">
        <v>4</v>
      </c>
      <c r="BZ1029">
        <v>2008</v>
      </c>
      <c r="CA1029" t="s">
        <v>157</v>
      </c>
      <c r="CB1029" t="s">
        <v>158</v>
      </c>
      <c r="CC1029">
        <v>293077</v>
      </c>
    </row>
    <row r="1030" spans="1:81" x14ac:dyDescent="0.3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H1030" t="s">
        <v>83</v>
      </c>
      <c r="I1030" t="s">
        <v>84</v>
      </c>
      <c r="J1030" t="s">
        <v>85</v>
      </c>
      <c r="K1030" t="s">
        <v>86</v>
      </c>
      <c r="L1030" t="s">
        <v>87</v>
      </c>
      <c r="M1030" t="s">
        <v>270</v>
      </c>
      <c r="N1030" t="s">
        <v>143</v>
      </c>
      <c r="O1030" t="s">
        <v>89</v>
      </c>
      <c r="P1030" t="s">
        <v>90</v>
      </c>
      <c r="Q1030" t="s">
        <v>131</v>
      </c>
      <c r="R1030">
        <v>5</v>
      </c>
      <c r="S1030">
        <v>5</v>
      </c>
      <c r="T1030">
        <v>1941</v>
      </c>
      <c r="U1030">
        <v>1950</v>
      </c>
      <c r="V1030" t="s">
        <v>92</v>
      </c>
      <c r="W1030" t="s">
        <v>93</v>
      </c>
      <c r="X1030" t="s">
        <v>154</v>
      </c>
      <c r="Y1030" t="s">
        <v>124</v>
      </c>
      <c r="Z1030" t="s">
        <v>116</v>
      </c>
      <c r="AA1030">
        <v>0</v>
      </c>
      <c r="AB1030" t="s">
        <v>97</v>
      </c>
      <c r="AC1030" t="s">
        <v>97</v>
      </c>
      <c r="AD1030" t="s">
        <v>117</v>
      </c>
      <c r="AE1030" t="s">
        <v>97</v>
      </c>
      <c r="AF1030" t="s">
        <v>97</v>
      </c>
      <c r="AG1030" t="s">
        <v>99</v>
      </c>
      <c r="AH1030" t="s">
        <v>152</v>
      </c>
      <c r="AI1030">
        <v>368</v>
      </c>
      <c r="AJ1030" t="s">
        <v>140</v>
      </c>
      <c r="AK1030">
        <v>41</v>
      </c>
      <c r="AL1030">
        <v>359</v>
      </c>
      <c r="AM1030">
        <v>768</v>
      </c>
      <c r="AN1030" t="s">
        <v>102</v>
      </c>
      <c r="AO1030" t="s">
        <v>97</v>
      </c>
      <c r="AP1030" t="s">
        <v>104</v>
      </c>
      <c r="AQ1030" t="s">
        <v>105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97</v>
      </c>
      <c r="BC1030">
        <v>6</v>
      </c>
      <c r="BD1030" t="s">
        <v>106</v>
      </c>
      <c r="BE1030">
        <v>1</v>
      </c>
      <c r="BF1030" t="s">
        <v>96</v>
      </c>
      <c r="BG1030" t="s">
        <v>107</v>
      </c>
      <c r="BH1030">
        <v>1941</v>
      </c>
      <c r="BI1030" t="s">
        <v>101</v>
      </c>
      <c r="BJ1030">
        <v>1</v>
      </c>
      <c r="BK1030">
        <v>240</v>
      </c>
      <c r="BL1030" t="s">
        <v>97</v>
      </c>
      <c r="BM1030" t="s">
        <v>97</v>
      </c>
      <c r="BN1030" t="s">
        <v>104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X1030">
        <v>0</v>
      </c>
      <c r="BY1030">
        <v>4</v>
      </c>
      <c r="BZ1030">
        <v>2007</v>
      </c>
      <c r="CA1030" t="s">
        <v>109</v>
      </c>
      <c r="CB1030" t="s">
        <v>110</v>
      </c>
      <c r="CC1030">
        <v>105000</v>
      </c>
    </row>
    <row r="1031" spans="1:81" x14ac:dyDescent="0.3">
      <c r="A1031">
        <v>1030</v>
      </c>
      <c r="B1031">
        <v>160</v>
      </c>
      <c r="C1031" t="s">
        <v>141</v>
      </c>
      <c r="D1031">
        <v>21</v>
      </c>
      <c r="E1031">
        <v>1680</v>
      </c>
      <c r="F1031" t="s">
        <v>82</v>
      </c>
      <c r="H1031" t="s">
        <v>83</v>
      </c>
      <c r="I1031" t="s">
        <v>84</v>
      </c>
      <c r="J1031" t="s">
        <v>85</v>
      </c>
      <c r="K1031" t="s">
        <v>86</v>
      </c>
      <c r="L1031" t="s">
        <v>87</v>
      </c>
      <c r="M1031" t="s">
        <v>227</v>
      </c>
      <c r="N1031" t="s">
        <v>89</v>
      </c>
      <c r="O1031" t="s">
        <v>89</v>
      </c>
      <c r="P1031" t="s">
        <v>197</v>
      </c>
      <c r="Q1031" t="s">
        <v>91</v>
      </c>
      <c r="R1031">
        <v>6</v>
      </c>
      <c r="S1031">
        <v>7</v>
      </c>
      <c r="T1031">
        <v>1972</v>
      </c>
      <c r="U1031">
        <v>1972</v>
      </c>
      <c r="V1031" t="s">
        <v>92</v>
      </c>
      <c r="W1031" t="s">
        <v>93</v>
      </c>
      <c r="X1031" t="s">
        <v>139</v>
      </c>
      <c r="Y1031" t="s">
        <v>139</v>
      </c>
      <c r="Z1031" t="s">
        <v>95</v>
      </c>
      <c r="AA1031">
        <v>281</v>
      </c>
      <c r="AB1031" t="s">
        <v>97</v>
      </c>
      <c r="AC1031" t="s">
        <v>97</v>
      </c>
      <c r="AD1031" t="s">
        <v>117</v>
      </c>
      <c r="AE1031" t="s">
        <v>97</v>
      </c>
      <c r="AF1031" t="s">
        <v>97</v>
      </c>
      <c r="AG1031" t="s">
        <v>99</v>
      </c>
      <c r="AH1031" t="s">
        <v>140</v>
      </c>
      <c r="AI1031">
        <v>317</v>
      </c>
      <c r="AJ1031" t="s">
        <v>101</v>
      </c>
      <c r="AK1031">
        <v>0</v>
      </c>
      <c r="AL1031">
        <v>355</v>
      </c>
      <c r="AM1031">
        <v>672</v>
      </c>
      <c r="AN1031" t="s">
        <v>102</v>
      </c>
      <c r="AO1031" t="s">
        <v>96</v>
      </c>
      <c r="AP1031" t="s">
        <v>104</v>
      </c>
      <c r="AQ1031" t="s">
        <v>105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97</v>
      </c>
      <c r="BC1031">
        <v>7</v>
      </c>
      <c r="BD1031" t="s">
        <v>106</v>
      </c>
      <c r="BE1031">
        <v>0</v>
      </c>
      <c r="BG1031" t="s">
        <v>126</v>
      </c>
      <c r="BH1031">
        <v>1972</v>
      </c>
      <c r="BI1031" t="s">
        <v>101</v>
      </c>
      <c r="BJ1031">
        <v>1</v>
      </c>
      <c r="BK1031">
        <v>264</v>
      </c>
      <c r="BL1031" t="s">
        <v>97</v>
      </c>
      <c r="BM1031" t="s">
        <v>97</v>
      </c>
      <c r="BN1031" t="s">
        <v>104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X1031">
        <v>0</v>
      </c>
      <c r="BY1031">
        <v>5</v>
      </c>
      <c r="BZ1031">
        <v>2006</v>
      </c>
      <c r="CA1031" t="s">
        <v>109</v>
      </c>
      <c r="CB1031" t="s">
        <v>110</v>
      </c>
      <c r="CC1031">
        <v>118000</v>
      </c>
    </row>
    <row r="1032" spans="1:81" x14ac:dyDescent="0.3">
      <c r="A1032">
        <v>1031</v>
      </c>
      <c r="B1032">
        <v>190</v>
      </c>
      <c r="C1032" t="s">
        <v>238</v>
      </c>
      <c r="E1032">
        <v>7082</v>
      </c>
      <c r="F1032" t="s">
        <v>82</v>
      </c>
      <c r="H1032" t="s">
        <v>83</v>
      </c>
      <c r="I1032" t="s">
        <v>84</v>
      </c>
      <c r="J1032" t="s">
        <v>85</v>
      </c>
      <c r="K1032" t="s">
        <v>86</v>
      </c>
      <c r="L1032" t="s">
        <v>87</v>
      </c>
      <c r="M1032" t="s">
        <v>231</v>
      </c>
      <c r="N1032" t="s">
        <v>89</v>
      </c>
      <c r="O1032" t="s">
        <v>89</v>
      </c>
      <c r="P1032" t="s">
        <v>148</v>
      </c>
      <c r="Q1032" t="s">
        <v>91</v>
      </c>
      <c r="R1032">
        <v>5</v>
      </c>
      <c r="S1032">
        <v>8</v>
      </c>
      <c r="T1032">
        <v>1916</v>
      </c>
      <c r="U1032">
        <v>1995</v>
      </c>
      <c r="V1032" t="s">
        <v>92</v>
      </c>
      <c r="W1032" t="s">
        <v>93</v>
      </c>
      <c r="X1032" t="s">
        <v>94</v>
      </c>
      <c r="Y1032" t="s">
        <v>94</v>
      </c>
      <c r="Z1032" t="s">
        <v>116</v>
      </c>
      <c r="AA1032">
        <v>0</v>
      </c>
      <c r="AB1032" t="s">
        <v>97</v>
      </c>
      <c r="AC1032" t="s">
        <v>97</v>
      </c>
      <c r="AD1032" t="s">
        <v>98</v>
      </c>
      <c r="AE1032" t="s">
        <v>97</v>
      </c>
      <c r="AF1032" t="s">
        <v>97</v>
      </c>
      <c r="AG1032" t="s">
        <v>120</v>
      </c>
      <c r="AH1032" t="s">
        <v>101</v>
      </c>
      <c r="AI1032">
        <v>0</v>
      </c>
      <c r="AJ1032" t="s">
        <v>101</v>
      </c>
      <c r="AK1032">
        <v>0</v>
      </c>
      <c r="AL1032">
        <v>686</v>
      </c>
      <c r="AM1032">
        <v>686</v>
      </c>
      <c r="AN1032" t="s">
        <v>102</v>
      </c>
      <c r="AO1032" t="s">
        <v>96</v>
      </c>
      <c r="AP1032" t="s">
        <v>104</v>
      </c>
      <c r="AQ1032" t="s">
        <v>105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97</v>
      </c>
      <c r="BC1032">
        <v>10</v>
      </c>
      <c r="BD1032" t="s">
        <v>106</v>
      </c>
      <c r="BE1032">
        <v>0</v>
      </c>
      <c r="BJ1032">
        <v>0</v>
      </c>
      <c r="BK1032">
        <v>0</v>
      </c>
      <c r="BN1032" t="s">
        <v>176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X1032">
        <v>0</v>
      </c>
      <c r="BY1032">
        <v>7</v>
      </c>
      <c r="BZ1032">
        <v>2006</v>
      </c>
      <c r="CA1032" t="s">
        <v>109</v>
      </c>
      <c r="CB1032" t="s">
        <v>110</v>
      </c>
      <c r="CC1032">
        <v>160000</v>
      </c>
    </row>
    <row r="1033" spans="1:81" x14ac:dyDescent="0.3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H1033" t="s">
        <v>83</v>
      </c>
      <c r="I1033" t="s">
        <v>84</v>
      </c>
      <c r="J1033" t="s">
        <v>85</v>
      </c>
      <c r="K1033" t="s">
        <v>121</v>
      </c>
      <c r="L1033" t="s">
        <v>87</v>
      </c>
      <c r="M1033" t="s">
        <v>231</v>
      </c>
      <c r="N1033" t="s">
        <v>89</v>
      </c>
      <c r="O1033" t="s">
        <v>89</v>
      </c>
      <c r="P1033" t="s">
        <v>90</v>
      </c>
      <c r="Q1033" t="s">
        <v>224</v>
      </c>
      <c r="R1033">
        <v>7</v>
      </c>
      <c r="S1033">
        <v>3</v>
      </c>
      <c r="T1033">
        <v>1920</v>
      </c>
      <c r="U1033">
        <v>1970</v>
      </c>
      <c r="V1033" t="s">
        <v>92</v>
      </c>
      <c r="W1033" t="s">
        <v>93</v>
      </c>
      <c r="X1033" t="s">
        <v>123</v>
      </c>
      <c r="Y1033" t="s">
        <v>160</v>
      </c>
      <c r="Z1033" t="s">
        <v>116</v>
      </c>
      <c r="AA1033">
        <v>0</v>
      </c>
      <c r="AB1033" t="s">
        <v>97</v>
      </c>
      <c r="AC1033" t="s">
        <v>97</v>
      </c>
      <c r="AD1033" t="s">
        <v>125</v>
      </c>
      <c r="AE1033" t="s">
        <v>97</v>
      </c>
      <c r="AF1033" t="s">
        <v>97</v>
      </c>
      <c r="AG1033" t="s">
        <v>99</v>
      </c>
      <c r="AH1033" t="s">
        <v>100</v>
      </c>
      <c r="AI1033">
        <v>523</v>
      </c>
      <c r="AJ1033" t="s">
        <v>101</v>
      </c>
      <c r="AK1033">
        <v>0</v>
      </c>
      <c r="AL1033">
        <v>301</v>
      </c>
      <c r="AM1033">
        <v>824</v>
      </c>
      <c r="AN1033" t="s">
        <v>102</v>
      </c>
      <c r="AO1033" t="s">
        <v>103</v>
      </c>
      <c r="AP1033" t="s">
        <v>104</v>
      </c>
      <c r="AQ1033" t="s">
        <v>105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97</v>
      </c>
      <c r="BC1033">
        <v>12</v>
      </c>
      <c r="BD1033" t="s">
        <v>106</v>
      </c>
      <c r="BE1033">
        <v>2</v>
      </c>
      <c r="BF1033" t="s">
        <v>97</v>
      </c>
      <c r="BG1033" t="s">
        <v>208</v>
      </c>
      <c r="BH1033">
        <v>1970</v>
      </c>
      <c r="BI1033" t="s">
        <v>156</v>
      </c>
      <c r="BJ1033">
        <v>2</v>
      </c>
      <c r="BK1033">
        <v>672</v>
      </c>
      <c r="BL1033" t="s">
        <v>97</v>
      </c>
      <c r="BM1033" t="s">
        <v>97</v>
      </c>
      <c r="BN1033" t="s">
        <v>104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X1033">
        <v>0</v>
      </c>
      <c r="BY1033">
        <v>8</v>
      </c>
      <c r="BZ1033">
        <v>2009</v>
      </c>
      <c r="CA1033" t="s">
        <v>109</v>
      </c>
      <c r="CB1033" t="s">
        <v>110</v>
      </c>
      <c r="CC1033">
        <v>197000</v>
      </c>
    </row>
    <row r="1034" spans="1:81" x14ac:dyDescent="0.3">
      <c r="A1034">
        <v>1033</v>
      </c>
      <c r="B1034">
        <v>60</v>
      </c>
      <c r="C1034" t="s">
        <v>81</v>
      </c>
      <c r="E1034">
        <v>14541</v>
      </c>
      <c r="F1034" t="s">
        <v>82</v>
      </c>
      <c r="H1034" t="s">
        <v>119</v>
      </c>
      <c r="I1034" t="s">
        <v>84</v>
      </c>
      <c r="J1034" t="s">
        <v>85</v>
      </c>
      <c r="K1034" t="s">
        <v>121</v>
      </c>
      <c r="L1034" t="s">
        <v>87</v>
      </c>
      <c r="M1034" t="s">
        <v>128</v>
      </c>
      <c r="N1034" t="s">
        <v>89</v>
      </c>
      <c r="O1034" t="s">
        <v>89</v>
      </c>
      <c r="P1034" t="s">
        <v>90</v>
      </c>
      <c r="Q1034" t="s">
        <v>91</v>
      </c>
      <c r="R1034">
        <v>8</v>
      </c>
      <c r="S1034">
        <v>7</v>
      </c>
      <c r="T1034">
        <v>1993</v>
      </c>
      <c r="U1034">
        <v>1993</v>
      </c>
      <c r="V1034" t="s">
        <v>92</v>
      </c>
      <c r="W1034" t="s">
        <v>93</v>
      </c>
      <c r="X1034" t="s">
        <v>115</v>
      </c>
      <c r="Y1034" t="s">
        <v>115</v>
      </c>
      <c r="Z1034" t="s">
        <v>116</v>
      </c>
      <c r="AA1034">
        <v>0</v>
      </c>
      <c r="AB1034" t="s">
        <v>96</v>
      </c>
      <c r="AC1034" t="s">
        <v>96</v>
      </c>
      <c r="AD1034" t="s">
        <v>98</v>
      </c>
      <c r="AE1034" t="s">
        <v>96</v>
      </c>
      <c r="AF1034" t="s">
        <v>96</v>
      </c>
      <c r="AG1034" t="s">
        <v>99</v>
      </c>
      <c r="AH1034" t="s">
        <v>100</v>
      </c>
      <c r="AI1034">
        <v>1012</v>
      </c>
      <c r="AJ1034" t="s">
        <v>101</v>
      </c>
      <c r="AK1034">
        <v>0</v>
      </c>
      <c r="AL1034">
        <v>326</v>
      </c>
      <c r="AM1034">
        <v>1338</v>
      </c>
      <c r="AN1034" t="s">
        <v>102</v>
      </c>
      <c r="AO1034" t="s">
        <v>103</v>
      </c>
      <c r="AP1034" t="s">
        <v>104</v>
      </c>
      <c r="AQ1034" t="s">
        <v>105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96</v>
      </c>
      <c r="BC1034">
        <v>10</v>
      </c>
      <c r="BD1034" t="s">
        <v>106</v>
      </c>
      <c r="BE1034">
        <v>1</v>
      </c>
      <c r="BF1034" t="s">
        <v>97</v>
      </c>
      <c r="BG1034" t="s">
        <v>107</v>
      </c>
      <c r="BH1034">
        <v>1993</v>
      </c>
      <c r="BI1034" t="s">
        <v>108</v>
      </c>
      <c r="BJ1034">
        <v>3</v>
      </c>
      <c r="BK1034">
        <v>796</v>
      </c>
      <c r="BL1034" t="s">
        <v>97</v>
      </c>
      <c r="BM1034" t="s">
        <v>97</v>
      </c>
      <c r="BN1034" t="s">
        <v>104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X1034">
        <v>0</v>
      </c>
      <c r="BY1034">
        <v>11</v>
      </c>
      <c r="BZ1034">
        <v>2006</v>
      </c>
      <c r="CA1034" t="s">
        <v>109</v>
      </c>
      <c r="CB1034" t="s">
        <v>127</v>
      </c>
      <c r="CC1034">
        <v>310000</v>
      </c>
    </row>
    <row r="1035" spans="1:81" x14ac:dyDescent="0.3">
      <c r="A1035">
        <v>1034</v>
      </c>
      <c r="B1035">
        <v>20</v>
      </c>
      <c r="C1035" t="s">
        <v>81</v>
      </c>
      <c r="E1035">
        <v>8125</v>
      </c>
      <c r="F1035" t="s">
        <v>82</v>
      </c>
      <c r="H1035" t="s">
        <v>83</v>
      </c>
      <c r="I1035" t="s">
        <v>84</v>
      </c>
      <c r="J1035" t="s">
        <v>85</v>
      </c>
      <c r="K1035" t="s">
        <v>86</v>
      </c>
      <c r="L1035" t="s">
        <v>87</v>
      </c>
      <c r="M1035" t="s">
        <v>88</v>
      </c>
      <c r="N1035" t="s">
        <v>89</v>
      </c>
      <c r="O1035" t="s">
        <v>89</v>
      </c>
      <c r="P1035" t="s">
        <v>90</v>
      </c>
      <c r="Q1035" t="s">
        <v>114</v>
      </c>
      <c r="R1035">
        <v>7</v>
      </c>
      <c r="S1035">
        <v>5</v>
      </c>
      <c r="T1035">
        <v>2002</v>
      </c>
      <c r="U1035">
        <v>2002</v>
      </c>
      <c r="V1035" t="s">
        <v>92</v>
      </c>
      <c r="W1035" t="s">
        <v>93</v>
      </c>
      <c r="X1035" t="s">
        <v>94</v>
      </c>
      <c r="Y1035" t="s">
        <v>94</v>
      </c>
      <c r="Z1035" t="s">
        <v>136</v>
      </c>
      <c r="AA1035">
        <v>295</v>
      </c>
      <c r="AB1035" t="s">
        <v>96</v>
      </c>
      <c r="AC1035" t="s">
        <v>97</v>
      </c>
      <c r="AD1035" t="s">
        <v>98</v>
      </c>
      <c r="AE1035" t="s">
        <v>96</v>
      </c>
      <c r="AF1035" t="s">
        <v>97</v>
      </c>
      <c r="AG1035" t="s">
        <v>99</v>
      </c>
      <c r="AH1035" t="s">
        <v>100</v>
      </c>
      <c r="AI1035">
        <v>986</v>
      </c>
      <c r="AJ1035" t="s">
        <v>101</v>
      </c>
      <c r="AK1035">
        <v>0</v>
      </c>
      <c r="AL1035">
        <v>668</v>
      </c>
      <c r="AM1035">
        <v>1654</v>
      </c>
      <c r="AN1035" t="s">
        <v>102</v>
      </c>
      <c r="AO1035" t="s">
        <v>103</v>
      </c>
      <c r="AP1035" t="s">
        <v>104</v>
      </c>
      <c r="AQ1035" t="s">
        <v>105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96</v>
      </c>
      <c r="BC1035">
        <v>6</v>
      </c>
      <c r="BD1035" t="s">
        <v>106</v>
      </c>
      <c r="BE1035">
        <v>0</v>
      </c>
      <c r="BG1035" t="s">
        <v>107</v>
      </c>
      <c r="BH1035">
        <v>2002</v>
      </c>
      <c r="BI1035" t="s">
        <v>101</v>
      </c>
      <c r="BJ1035">
        <v>3</v>
      </c>
      <c r="BK1035">
        <v>900</v>
      </c>
      <c r="BL1035" t="s">
        <v>97</v>
      </c>
      <c r="BM1035" t="s">
        <v>97</v>
      </c>
      <c r="BN1035" t="s">
        <v>104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X1035">
        <v>0</v>
      </c>
      <c r="BY1035">
        <v>2</v>
      </c>
      <c r="BZ1035">
        <v>2006</v>
      </c>
      <c r="CA1035" t="s">
        <v>109</v>
      </c>
      <c r="CB1035" t="s">
        <v>110</v>
      </c>
      <c r="CC1035">
        <v>230000</v>
      </c>
    </row>
    <row r="1036" spans="1:81" x14ac:dyDescent="0.3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H1036" t="s">
        <v>83</v>
      </c>
      <c r="I1036" t="s">
        <v>174</v>
      </c>
      <c r="J1036" t="s">
        <v>85</v>
      </c>
      <c r="K1036" t="s">
        <v>86</v>
      </c>
      <c r="L1036" t="s">
        <v>87</v>
      </c>
      <c r="M1036" t="s">
        <v>122</v>
      </c>
      <c r="N1036" t="s">
        <v>89</v>
      </c>
      <c r="O1036" t="s">
        <v>89</v>
      </c>
      <c r="P1036" t="s">
        <v>90</v>
      </c>
      <c r="Q1036" t="s">
        <v>114</v>
      </c>
      <c r="R1036">
        <v>5</v>
      </c>
      <c r="S1036">
        <v>7</v>
      </c>
      <c r="T1036">
        <v>1938</v>
      </c>
      <c r="U1036">
        <v>1950</v>
      </c>
      <c r="V1036" t="s">
        <v>92</v>
      </c>
      <c r="W1036" t="s">
        <v>93</v>
      </c>
      <c r="X1036" t="s">
        <v>115</v>
      </c>
      <c r="Y1036" t="s">
        <v>115</v>
      </c>
      <c r="Z1036" t="s">
        <v>116</v>
      </c>
      <c r="AA1036">
        <v>0</v>
      </c>
      <c r="AB1036" t="s">
        <v>97</v>
      </c>
      <c r="AC1036" t="s">
        <v>96</v>
      </c>
      <c r="AD1036" t="s">
        <v>98</v>
      </c>
      <c r="AE1036" t="s">
        <v>146</v>
      </c>
      <c r="AF1036" t="s">
        <v>146</v>
      </c>
      <c r="AG1036" t="s">
        <v>99</v>
      </c>
      <c r="AH1036" t="s">
        <v>101</v>
      </c>
      <c r="AI1036">
        <v>0</v>
      </c>
      <c r="AJ1036" t="s">
        <v>101</v>
      </c>
      <c r="AK1036">
        <v>0</v>
      </c>
      <c r="AL1036">
        <v>920</v>
      </c>
      <c r="AM1036">
        <v>920</v>
      </c>
      <c r="AN1036" t="s">
        <v>102</v>
      </c>
      <c r="AO1036" t="s">
        <v>103</v>
      </c>
      <c r="AP1036" t="s">
        <v>104</v>
      </c>
      <c r="AQ1036" t="s">
        <v>105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146</v>
      </c>
      <c r="BC1036">
        <v>5</v>
      </c>
      <c r="BD1036" t="s">
        <v>106</v>
      </c>
      <c r="BE1036">
        <v>1</v>
      </c>
      <c r="BF1036" t="s">
        <v>96</v>
      </c>
      <c r="BG1036" t="s">
        <v>208</v>
      </c>
      <c r="BH1036">
        <v>1938</v>
      </c>
      <c r="BI1036" t="s">
        <v>101</v>
      </c>
      <c r="BJ1036">
        <v>1</v>
      </c>
      <c r="BK1036">
        <v>240</v>
      </c>
      <c r="BL1036" t="s">
        <v>146</v>
      </c>
      <c r="BM1036" t="s">
        <v>97</v>
      </c>
      <c r="BN1036" t="s">
        <v>104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V1036" t="s">
        <v>133</v>
      </c>
      <c r="BX1036">
        <v>0</v>
      </c>
      <c r="BY1036">
        <v>6</v>
      </c>
      <c r="BZ1036">
        <v>2007</v>
      </c>
      <c r="CA1036" t="s">
        <v>109</v>
      </c>
      <c r="CB1036" t="s">
        <v>110</v>
      </c>
      <c r="CC1036">
        <v>119750</v>
      </c>
    </row>
    <row r="1037" spans="1:81" x14ac:dyDescent="0.3">
      <c r="A1037">
        <v>1036</v>
      </c>
      <c r="B1037">
        <v>20</v>
      </c>
      <c r="C1037" t="s">
        <v>81</v>
      </c>
      <c r="E1037">
        <v>11500</v>
      </c>
      <c r="F1037" t="s">
        <v>82</v>
      </c>
      <c r="H1037" t="s">
        <v>119</v>
      </c>
      <c r="I1037" t="s">
        <v>84</v>
      </c>
      <c r="J1037" t="s">
        <v>85</v>
      </c>
      <c r="K1037" t="s">
        <v>165</v>
      </c>
      <c r="L1037" t="s">
        <v>87</v>
      </c>
      <c r="M1037" t="s">
        <v>184</v>
      </c>
      <c r="N1037" t="s">
        <v>89</v>
      </c>
      <c r="O1037" t="s">
        <v>89</v>
      </c>
      <c r="P1037" t="s">
        <v>90</v>
      </c>
      <c r="Q1037" t="s">
        <v>114</v>
      </c>
      <c r="R1037">
        <v>4</v>
      </c>
      <c r="S1037">
        <v>3</v>
      </c>
      <c r="T1037">
        <v>1957</v>
      </c>
      <c r="U1037">
        <v>1957</v>
      </c>
      <c r="V1037" t="s">
        <v>92</v>
      </c>
      <c r="W1037" t="s">
        <v>93</v>
      </c>
      <c r="X1037" t="s">
        <v>123</v>
      </c>
      <c r="Y1037" t="s">
        <v>123</v>
      </c>
      <c r="Z1037" t="s">
        <v>116</v>
      </c>
      <c r="AA1037">
        <v>0</v>
      </c>
      <c r="AB1037" t="s">
        <v>97</v>
      </c>
      <c r="AC1037" t="s">
        <v>96</v>
      </c>
      <c r="AD1037" t="s">
        <v>167</v>
      </c>
      <c r="AI1037">
        <v>0</v>
      </c>
      <c r="AK1037">
        <v>0</v>
      </c>
      <c r="AL1037">
        <v>0</v>
      </c>
      <c r="AM1037">
        <v>0</v>
      </c>
      <c r="AN1037" t="s">
        <v>102</v>
      </c>
      <c r="AO1037" t="s">
        <v>103</v>
      </c>
      <c r="AP1037" t="s">
        <v>176</v>
      </c>
      <c r="AQ1037" t="s">
        <v>105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97</v>
      </c>
      <c r="BC1037">
        <v>5</v>
      </c>
      <c r="BD1037" t="s">
        <v>106</v>
      </c>
      <c r="BE1037">
        <v>0</v>
      </c>
      <c r="BG1037" t="s">
        <v>126</v>
      </c>
      <c r="BH1037">
        <v>1957</v>
      </c>
      <c r="BI1037" t="s">
        <v>101</v>
      </c>
      <c r="BJ1037">
        <v>1</v>
      </c>
      <c r="BK1037">
        <v>290</v>
      </c>
      <c r="BL1037" t="s">
        <v>97</v>
      </c>
      <c r="BM1037" t="s">
        <v>97</v>
      </c>
      <c r="BN1037" t="s">
        <v>176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X1037">
        <v>0</v>
      </c>
      <c r="BY1037">
        <v>1</v>
      </c>
      <c r="BZ1037">
        <v>2009</v>
      </c>
      <c r="CA1037" t="s">
        <v>109</v>
      </c>
      <c r="CB1037" t="s">
        <v>110</v>
      </c>
      <c r="CC1037">
        <v>84000</v>
      </c>
    </row>
    <row r="1038" spans="1:81" x14ac:dyDescent="0.3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H1038" t="s">
        <v>119</v>
      </c>
      <c r="I1038" t="s">
        <v>198</v>
      </c>
      <c r="J1038" t="s">
        <v>85</v>
      </c>
      <c r="K1038" t="s">
        <v>86</v>
      </c>
      <c r="L1038" t="s">
        <v>87</v>
      </c>
      <c r="M1038" t="s">
        <v>188</v>
      </c>
      <c r="N1038" t="s">
        <v>89</v>
      </c>
      <c r="O1038" t="s">
        <v>89</v>
      </c>
      <c r="P1038" t="s">
        <v>90</v>
      </c>
      <c r="Q1038" t="s">
        <v>114</v>
      </c>
      <c r="R1038">
        <v>9</v>
      </c>
      <c r="S1038">
        <v>5</v>
      </c>
      <c r="T1038">
        <v>2007</v>
      </c>
      <c r="U1038">
        <v>2008</v>
      </c>
      <c r="V1038" t="s">
        <v>151</v>
      </c>
      <c r="W1038" t="s">
        <v>93</v>
      </c>
      <c r="X1038" t="s">
        <v>94</v>
      </c>
      <c r="Y1038" t="s">
        <v>94</v>
      </c>
      <c r="Z1038" t="s">
        <v>136</v>
      </c>
      <c r="AA1038">
        <v>70</v>
      </c>
      <c r="AB1038" t="s">
        <v>96</v>
      </c>
      <c r="AC1038" t="s">
        <v>97</v>
      </c>
      <c r="AD1038" t="s">
        <v>98</v>
      </c>
      <c r="AE1038" t="s">
        <v>103</v>
      </c>
      <c r="AF1038" t="s">
        <v>97</v>
      </c>
      <c r="AG1038" t="s">
        <v>96</v>
      </c>
      <c r="AH1038" t="s">
        <v>100</v>
      </c>
      <c r="AI1038">
        <v>1022</v>
      </c>
      <c r="AJ1038" t="s">
        <v>101</v>
      </c>
      <c r="AK1038">
        <v>0</v>
      </c>
      <c r="AL1038">
        <v>598</v>
      </c>
      <c r="AM1038">
        <v>1620</v>
      </c>
      <c r="AN1038" t="s">
        <v>102</v>
      </c>
      <c r="AO1038" t="s">
        <v>103</v>
      </c>
      <c r="AP1038" t="s">
        <v>104</v>
      </c>
      <c r="AQ1038" t="s">
        <v>105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103</v>
      </c>
      <c r="BC1038">
        <v>6</v>
      </c>
      <c r="BD1038" t="s">
        <v>106</v>
      </c>
      <c r="BE1038">
        <v>1</v>
      </c>
      <c r="BF1038" t="s">
        <v>103</v>
      </c>
      <c r="BG1038" t="s">
        <v>107</v>
      </c>
      <c r="BH1038">
        <v>2008</v>
      </c>
      <c r="BI1038" t="s">
        <v>156</v>
      </c>
      <c r="BJ1038">
        <v>3</v>
      </c>
      <c r="BK1038">
        <v>912</v>
      </c>
      <c r="BL1038" t="s">
        <v>97</v>
      </c>
      <c r="BM1038" t="s">
        <v>97</v>
      </c>
      <c r="BN1038" t="s">
        <v>104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X1038">
        <v>0</v>
      </c>
      <c r="BY1038">
        <v>9</v>
      </c>
      <c r="BZ1038">
        <v>2009</v>
      </c>
      <c r="CA1038" t="s">
        <v>109</v>
      </c>
      <c r="CB1038" t="s">
        <v>110</v>
      </c>
      <c r="CC1038">
        <v>315500</v>
      </c>
    </row>
    <row r="1039" spans="1:81" x14ac:dyDescent="0.3">
      <c r="A1039">
        <v>1038</v>
      </c>
      <c r="B1039">
        <v>60</v>
      </c>
      <c r="C1039" t="s">
        <v>81</v>
      </c>
      <c r="E1039">
        <v>9240</v>
      </c>
      <c r="F1039" t="s">
        <v>82</v>
      </c>
      <c r="H1039" t="s">
        <v>83</v>
      </c>
      <c r="I1039" t="s">
        <v>84</v>
      </c>
      <c r="J1039" t="s">
        <v>85</v>
      </c>
      <c r="K1039" t="s">
        <v>86</v>
      </c>
      <c r="L1039" t="s">
        <v>87</v>
      </c>
      <c r="M1039" t="s">
        <v>88</v>
      </c>
      <c r="N1039" t="s">
        <v>89</v>
      </c>
      <c r="O1039" t="s">
        <v>89</v>
      </c>
      <c r="P1039" t="s">
        <v>90</v>
      </c>
      <c r="Q1039" t="s">
        <v>91</v>
      </c>
      <c r="R1039">
        <v>8</v>
      </c>
      <c r="S1039">
        <v>5</v>
      </c>
      <c r="T1039">
        <v>2001</v>
      </c>
      <c r="U1039">
        <v>2002</v>
      </c>
      <c r="V1039" t="s">
        <v>92</v>
      </c>
      <c r="W1039" t="s">
        <v>93</v>
      </c>
      <c r="X1039" t="s">
        <v>94</v>
      </c>
      <c r="Y1039" t="s">
        <v>94</v>
      </c>
      <c r="Z1039" t="s">
        <v>95</v>
      </c>
      <c r="AA1039">
        <v>396</v>
      </c>
      <c r="AB1039" t="s">
        <v>96</v>
      </c>
      <c r="AC1039" t="s">
        <v>97</v>
      </c>
      <c r="AD1039" t="s">
        <v>98</v>
      </c>
      <c r="AE1039" t="s">
        <v>96</v>
      </c>
      <c r="AF1039" t="s">
        <v>97</v>
      </c>
      <c r="AG1039" t="s">
        <v>99</v>
      </c>
      <c r="AH1039" t="s">
        <v>101</v>
      </c>
      <c r="AI1039">
        <v>0</v>
      </c>
      <c r="AJ1039" t="s">
        <v>101</v>
      </c>
      <c r="AK1039">
        <v>0</v>
      </c>
      <c r="AL1039">
        <v>1055</v>
      </c>
      <c r="AM1039">
        <v>1055</v>
      </c>
      <c r="AN1039" t="s">
        <v>102</v>
      </c>
      <c r="AO1039" t="s">
        <v>103</v>
      </c>
      <c r="AP1039" t="s">
        <v>104</v>
      </c>
      <c r="AQ1039" t="s">
        <v>105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96</v>
      </c>
      <c r="BC1039">
        <v>7</v>
      </c>
      <c r="BD1039" t="s">
        <v>106</v>
      </c>
      <c r="BE1039">
        <v>1</v>
      </c>
      <c r="BF1039" t="s">
        <v>97</v>
      </c>
      <c r="BG1039" t="s">
        <v>155</v>
      </c>
      <c r="BH1039">
        <v>2001</v>
      </c>
      <c r="BI1039" t="s">
        <v>156</v>
      </c>
      <c r="BJ1039">
        <v>2</v>
      </c>
      <c r="BK1039">
        <v>905</v>
      </c>
      <c r="BL1039" t="s">
        <v>97</v>
      </c>
      <c r="BM1039" t="s">
        <v>97</v>
      </c>
      <c r="BN1039" t="s">
        <v>104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X1039">
        <v>0</v>
      </c>
      <c r="BY1039">
        <v>9</v>
      </c>
      <c r="BZ1039">
        <v>2008</v>
      </c>
      <c r="CA1039" t="s">
        <v>109</v>
      </c>
      <c r="CB1039" t="s">
        <v>110</v>
      </c>
      <c r="CC1039">
        <v>287000</v>
      </c>
    </row>
    <row r="1040" spans="1:81" x14ac:dyDescent="0.3">
      <c r="A1040">
        <v>1039</v>
      </c>
      <c r="B1040">
        <v>160</v>
      </c>
      <c r="C1040" t="s">
        <v>141</v>
      </c>
      <c r="D1040">
        <v>21</v>
      </c>
      <c r="E1040">
        <v>1533</v>
      </c>
      <c r="F1040" t="s">
        <v>82</v>
      </c>
      <c r="H1040" t="s">
        <v>83</v>
      </c>
      <c r="I1040" t="s">
        <v>84</v>
      </c>
      <c r="J1040" t="s">
        <v>85</v>
      </c>
      <c r="K1040" t="s">
        <v>86</v>
      </c>
      <c r="L1040" t="s">
        <v>87</v>
      </c>
      <c r="M1040" t="s">
        <v>177</v>
      </c>
      <c r="N1040" t="s">
        <v>89</v>
      </c>
      <c r="O1040" t="s">
        <v>89</v>
      </c>
      <c r="P1040" t="s">
        <v>197</v>
      </c>
      <c r="Q1040" t="s">
        <v>91</v>
      </c>
      <c r="R1040">
        <v>4</v>
      </c>
      <c r="S1040">
        <v>6</v>
      </c>
      <c r="T1040">
        <v>1970</v>
      </c>
      <c r="U1040">
        <v>2008</v>
      </c>
      <c r="V1040" t="s">
        <v>92</v>
      </c>
      <c r="W1040" t="s">
        <v>93</v>
      </c>
      <c r="X1040" t="s">
        <v>179</v>
      </c>
      <c r="Y1040" t="s">
        <v>180</v>
      </c>
      <c r="Z1040" t="s">
        <v>116</v>
      </c>
      <c r="AA1040">
        <v>0</v>
      </c>
      <c r="AB1040" t="s">
        <v>97</v>
      </c>
      <c r="AC1040" t="s">
        <v>97</v>
      </c>
      <c r="AD1040" t="s">
        <v>117</v>
      </c>
      <c r="AE1040" t="s">
        <v>97</v>
      </c>
      <c r="AF1040" t="s">
        <v>97</v>
      </c>
      <c r="AG1040" t="s">
        <v>99</v>
      </c>
      <c r="AH1040" t="s">
        <v>101</v>
      </c>
      <c r="AI1040">
        <v>0</v>
      </c>
      <c r="AJ1040" t="s">
        <v>101</v>
      </c>
      <c r="AK1040">
        <v>0</v>
      </c>
      <c r="AL1040">
        <v>546</v>
      </c>
      <c r="AM1040">
        <v>546</v>
      </c>
      <c r="AN1040" t="s">
        <v>102</v>
      </c>
      <c r="AO1040" t="s">
        <v>97</v>
      </c>
      <c r="AP1040" t="s">
        <v>104</v>
      </c>
      <c r="AQ1040" t="s">
        <v>105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97</v>
      </c>
      <c r="BC1040">
        <v>6</v>
      </c>
      <c r="BD1040" t="s">
        <v>106</v>
      </c>
      <c r="BE1040">
        <v>1</v>
      </c>
      <c r="BF1040" t="s">
        <v>97</v>
      </c>
      <c r="BJ1040">
        <v>0</v>
      </c>
      <c r="BK1040">
        <v>0</v>
      </c>
      <c r="BN1040" t="s">
        <v>104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X1040">
        <v>0</v>
      </c>
      <c r="BY1040">
        <v>5</v>
      </c>
      <c r="BZ1040">
        <v>2009</v>
      </c>
      <c r="CA1040" t="s">
        <v>109</v>
      </c>
      <c r="CB1040" t="s">
        <v>110</v>
      </c>
      <c r="CC1040">
        <v>97000</v>
      </c>
    </row>
    <row r="1041" spans="1:81" x14ac:dyDescent="0.3">
      <c r="A1041">
        <v>1040</v>
      </c>
      <c r="B1041">
        <v>180</v>
      </c>
      <c r="C1041" t="s">
        <v>141</v>
      </c>
      <c r="D1041">
        <v>21</v>
      </c>
      <c r="E1041">
        <v>1477</v>
      </c>
      <c r="F1041" t="s">
        <v>82</v>
      </c>
      <c r="H1041" t="s">
        <v>83</v>
      </c>
      <c r="I1041" t="s">
        <v>84</v>
      </c>
      <c r="J1041" t="s">
        <v>85</v>
      </c>
      <c r="K1041" t="s">
        <v>86</v>
      </c>
      <c r="L1041" t="s">
        <v>87</v>
      </c>
      <c r="M1041" t="s">
        <v>177</v>
      </c>
      <c r="N1041" t="s">
        <v>89</v>
      </c>
      <c r="O1041" t="s">
        <v>89</v>
      </c>
      <c r="P1041" t="s">
        <v>178</v>
      </c>
      <c r="Q1041" t="s">
        <v>190</v>
      </c>
      <c r="R1041">
        <v>4</v>
      </c>
      <c r="S1041">
        <v>4</v>
      </c>
      <c r="T1041">
        <v>1970</v>
      </c>
      <c r="U1041">
        <v>1970</v>
      </c>
      <c r="V1041" t="s">
        <v>92</v>
      </c>
      <c r="W1041" t="s">
        <v>93</v>
      </c>
      <c r="X1041" t="s">
        <v>179</v>
      </c>
      <c r="Y1041" t="s">
        <v>180</v>
      </c>
      <c r="Z1041" t="s">
        <v>116</v>
      </c>
      <c r="AA1041">
        <v>0</v>
      </c>
      <c r="AB1041" t="s">
        <v>97</v>
      </c>
      <c r="AC1041" t="s">
        <v>97</v>
      </c>
      <c r="AD1041" t="s">
        <v>117</v>
      </c>
      <c r="AE1041" t="s">
        <v>96</v>
      </c>
      <c r="AF1041" t="s">
        <v>97</v>
      </c>
      <c r="AG1041" t="s">
        <v>129</v>
      </c>
      <c r="AH1041" t="s">
        <v>100</v>
      </c>
      <c r="AI1041">
        <v>509</v>
      </c>
      <c r="AJ1041" t="s">
        <v>101</v>
      </c>
      <c r="AK1041">
        <v>0</v>
      </c>
      <c r="AL1041">
        <v>121</v>
      </c>
      <c r="AM1041">
        <v>630</v>
      </c>
      <c r="AN1041" t="s">
        <v>102</v>
      </c>
      <c r="AO1041" t="s">
        <v>97</v>
      </c>
      <c r="AP1041" t="s">
        <v>104</v>
      </c>
      <c r="AQ1041" t="s">
        <v>105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97</v>
      </c>
      <c r="BC1041">
        <v>3</v>
      </c>
      <c r="BD1041" t="s">
        <v>106</v>
      </c>
      <c r="BE1041">
        <v>0</v>
      </c>
      <c r="BG1041" t="s">
        <v>107</v>
      </c>
      <c r="BH1041">
        <v>1970</v>
      </c>
      <c r="BI1041" t="s">
        <v>101</v>
      </c>
      <c r="BJ1041">
        <v>1</v>
      </c>
      <c r="BK1041">
        <v>286</v>
      </c>
      <c r="BL1041" t="s">
        <v>97</v>
      </c>
      <c r="BM1041" t="s">
        <v>97</v>
      </c>
      <c r="BN1041" t="s">
        <v>104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X1041">
        <v>0</v>
      </c>
      <c r="BY1041">
        <v>4</v>
      </c>
      <c r="BZ1041">
        <v>2009</v>
      </c>
      <c r="CA1041" t="s">
        <v>109</v>
      </c>
      <c r="CB1041" t="s">
        <v>110</v>
      </c>
      <c r="CC1041">
        <v>80000</v>
      </c>
    </row>
    <row r="1042" spans="1:81" x14ac:dyDescent="0.3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H1042" t="s">
        <v>83</v>
      </c>
      <c r="I1042" t="s">
        <v>84</v>
      </c>
      <c r="J1042" t="s">
        <v>85</v>
      </c>
      <c r="K1042" t="s">
        <v>121</v>
      </c>
      <c r="L1042" t="s">
        <v>87</v>
      </c>
      <c r="M1042" t="s">
        <v>150</v>
      </c>
      <c r="N1042" t="s">
        <v>89</v>
      </c>
      <c r="O1042" t="s">
        <v>89</v>
      </c>
      <c r="P1042" t="s">
        <v>90</v>
      </c>
      <c r="Q1042" t="s">
        <v>114</v>
      </c>
      <c r="R1042">
        <v>5</v>
      </c>
      <c r="S1042">
        <v>4</v>
      </c>
      <c r="T1042">
        <v>1957</v>
      </c>
      <c r="U1042">
        <v>2000</v>
      </c>
      <c r="V1042" t="s">
        <v>92</v>
      </c>
      <c r="W1042" t="s">
        <v>93</v>
      </c>
      <c r="X1042" t="s">
        <v>123</v>
      </c>
      <c r="Y1042" t="s">
        <v>123</v>
      </c>
      <c r="Z1042" t="s">
        <v>206</v>
      </c>
      <c r="AA1042">
        <v>67</v>
      </c>
      <c r="AB1042" t="s">
        <v>97</v>
      </c>
      <c r="AC1042" t="s">
        <v>97</v>
      </c>
      <c r="AD1042" t="s">
        <v>117</v>
      </c>
      <c r="AE1042" t="s">
        <v>97</v>
      </c>
      <c r="AF1042" t="s">
        <v>97</v>
      </c>
      <c r="AG1042" t="s">
        <v>99</v>
      </c>
      <c r="AH1042" t="s">
        <v>152</v>
      </c>
      <c r="AI1042">
        <v>168</v>
      </c>
      <c r="AJ1042" t="s">
        <v>140</v>
      </c>
      <c r="AK1042">
        <v>682</v>
      </c>
      <c r="AL1042">
        <v>284</v>
      </c>
      <c r="AM1042">
        <v>1134</v>
      </c>
      <c r="AN1042" t="s">
        <v>102</v>
      </c>
      <c r="AO1042" t="s">
        <v>103</v>
      </c>
      <c r="AP1042" t="s">
        <v>104</v>
      </c>
      <c r="AQ1042" t="s">
        <v>105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97</v>
      </c>
      <c r="BC1042">
        <v>8</v>
      </c>
      <c r="BD1042" t="s">
        <v>220</v>
      </c>
      <c r="BE1042">
        <v>1</v>
      </c>
      <c r="BF1042" t="s">
        <v>97</v>
      </c>
      <c r="BG1042" t="s">
        <v>107</v>
      </c>
      <c r="BH1042">
        <v>1957</v>
      </c>
      <c r="BI1042" t="s">
        <v>108</v>
      </c>
      <c r="BJ1042">
        <v>2</v>
      </c>
      <c r="BK1042">
        <v>484</v>
      </c>
      <c r="BL1042" t="s">
        <v>97</v>
      </c>
      <c r="BM1042" t="s">
        <v>97</v>
      </c>
      <c r="BN1042" t="s">
        <v>104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V1042" t="s">
        <v>164</v>
      </c>
      <c r="BX1042">
        <v>0</v>
      </c>
      <c r="BY1042">
        <v>1</v>
      </c>
      <c r="BZ1042">
        <v>2006</v>
      </c>
      <c r="CA1042" t="s">
        <v>109</v>
      </c>
      <c r="CB1042" t="s">
        <v>110</v>
      </c>
      <c r="CC1042">
        <v>155000</v>
      </c>
    </row>
    <row r="1043" spans="1:81" x14ac:dyDescent="0.3">
      <c r="A1043">
        <v>1042</v>
      </c>
      <c r="B1043">
        <v>60</v>
      </c>
      <c r="C1043" t="s">
        <v>81</v>
      </c>
      <c r="E1043">
        <v>9130</v>
      </c>
      <c r="F1043" t="s">
        <v>82</v>
      </c>
      <c r="H1043" t="s">
        <v>83</v>
      </c>
      <c r="I1043" t="s">
        <v>84</v>
      </c>
      <c r="J1043" t="s">
        <v>85</v>
      </c>
      <c r="K1043" t="s">
        <v>86</v>
      </c>
      <c r="L1043" t="s">
        <v>87</v>
      </c>
      <c r="M1043" t="s">
        <v>137</v>
      </c>
      <c r="N1043" t="s">
        <v>113</v>
      </c>
      <c r="O1043" t="s">
        <v>89</v>
      </c>
      <c r="P1043" t="s">
        <v>90</v>
      </c>
      <c r="Q1043" t="s">
        <v>91</v>
      </c>
      <c r="R1043">
        <v>6</v>
      </c>
      <c r="S1043">
        <v>8</v>
      </c>
      <c r="T1043">
        <v>1966</v>
      </c>
      <c r="U1043">
        <v>2000</v>
      </c>
      <c r="V1043" t="s">
        <v>151</v>
      </c>
      <c r="W1043" t="s">
        <v>93</v>
      </c>
      <c r="X1043" t="s">
        <v>139</v>
      </c>
      <c r="Y1043" t="s">
        <v>139</v>
      </c>
      <c r="Z1043" t="s">
        <v>95</v>
      </c>
      <c r="AA1043">
        <v>252</v>
      </c>
      <c r="AB1043" t="s">
        <v>97</v>
      </c>
      <c r="AC1043" t="s">
        <v>97</v>
      </c>
      <c r="AD1043" t="s">
        <v>117</v>
      </c>
      <c r="AE1043" t="s">
        <v>97</v>
      </c>
      <c r="AF1043" t="s">
        <v>97</v>
      </c>
      <c r="AG1043" t="s">
        <v>99</v>
      </c>
      <c r="AH1043" t="s">
        <v>100</v>
      </c>
      <c r="AI1043">
        <v>400</v>
      </c>
      <c r="AJ1043" t="s">
        <v>152</v>
      </c>
      <c r="AK1043">
        <v>64</v>
      </c>
      <c r="AL1043">
        <v>336</v>
      </c>
      <c r="AM1043">
        <v>800</v>
      </c>
      <c r="AN1043" t="s">
        <v>102</v>
      </c>
      <c r="AO1043" t="s">
        <v>96</v>
      </c>
      <c r="AP1043" t="s">
        <v>104</v>
      </c>
      <c r="AQ1043" t="s">
        <v>105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96</v>
      </c>
      <c r="BC1043">
        <v>7</v>
      </c>
      <c r="BD1043" t="s">
        <v>106</v>
      </c>
      <c r="BE1043">
        <v>0</v>
      </c>
      <c r="BG1043" t="s">
        <v>107</v>
      </c>
      <c r="BH1043">
        <v>1966</v>
      </c>
      <c r="BI1043" t="s">
        <v>101</v>
      </c>
      <c r="BJ1043">
        <v>2</v>
      </c>
      <c r="BK1043">
        <v>484</v>
      </c>
      <c r="BL1043" t="s">
        <v>97</v>
      </c>
      <c r="BM1043" t="s">
        <v>97</v>
      </c>
      <c r="BN1043" t="s">
        <v>104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X1043">
        <v>0</v>
      </c>
      <c r="BY1043">
        <v>7</v>
      </c>
      <c r="BZ1043">
        <v>2008</v>
      </c>
      <c r="CA1043" t="s">
        <v>109</v>
      </c>
      <c r="CB1043" t="s">
        <v>110</v>
      </c>
      <c r="CC1043">
        <v>173000</v>
      </c>
    </row>
    <row r="1044" spans="1:81" x14ac:dyDescent="0.3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H1044" t="s">
        <v>119</v>
      </c>
      <c r="I1044" t="s">
        <v>84</v>
      </c>
      <c r="J1044" t="s">
        <v>85</v>
      </c>
      <c r="K1044" t="s">
        <v>86</v>
      </c>
      <c r="L1044" t="s">
        <v>87</v>
      </c>
      <c r="M1044" t="s">
        <v>153</v>
      </c>
      <c r="N1044" t="s">
        <v>89</v>
      </c>
      <c r="O1044" t="s">
        <v>89</v>
      </c>
      <c r="P1044" t="s">
        <v>197</v>
      </c>
      <c r="Q1044" t="s">
        <v>114</v>
      </c>
      <c r="R1044">
        <v>6</v>
      </c>
      <c r="S1044">
        <v>5</v>
      </c>
      <c r="T1044">
        <v>2005</v>
      </c>
      <c r="U1044">
        <v>2005</v>
      </c>
      <c r="V1044" t="s">
        <v>92</v>
      </c>
      <c r="W1044" t="s">
        <v>93</v>
      </c>
      <c r="X1044" t="s">
        <v>94</v>
      </c>
      <c r="Y1044" t="s">
        <v>94</v>
      </c>
      <c r="Z1044" t="s">
        <v>136</v>
      </c>
      <c r="AA1044">
        <v>135</v>
      </c>
      <c r="AB1044" t="s">
        <v>96</v>
      </c>
      <c r="AC1044" t="s">
        <v>97</v>
      </c>
      <c r="AD1044" t="s">
        <v>98</v>
      </c>
      <c r="AE1044" t="s">
        <v>96</v>
      </c>
      <c r="AF1044" t="s">
        <v>97</v>
      </c>
      <c r="AG1044" t="s">
        <v>129</v>
      </c>
      <c r="AH1044" t="s">
        <v>118</v>
      </c>
      <c r="AI1044">
        <v>900</v>
      </c>
      <c r="AJ1044" t="s">
        <v>101</v>
      </c>
      <c r="AK1044">
        <v>0</v>
      </c>
      <c r="AL1044">
        <v>406</v>
      </c>
      <c r="AM1044">
        <v>1306</v>
      </c>
      <c r="AN1044" t="s">
        <v>102</v>
      </c>
      <c r="AO1044" t="s">
        <v>103</v>
      </c>
      <c r="AP1044" t="s">
        <v>104</v>
      </c>
      <c r="AQ1044" t="s">
        <v>105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96</v>
      </c>
      <c r="BC1044">
        <v>5</v>
      </c>
      <c r="BD1044" t="s">
        <v>106</v>
      </c>
      <c r="BE1044">
        <v>1</v>
      </c>
      <c r="BF1044" t="s">
        <v>96</v>
      </c>
      <c r="BG1044" t="s">
        <v>107</v>
      </c>
      <c r="BH1044">
        <v>2005</v>
      </c>
      <c r="BI1044" t="s">
        <v>108</v>
      </c>
      <c r="BJ1044">
        <v>2</v>
      </c>
      <c r="BK1044">
        <v>624</v>
      </c>
      <c r="BL1044" t="s">
        <v>97</v>
      </c>
      <c r="BM1044" t="s">
        <v>97</v>
      </c>
      <c r="BN1044" t="s">
        <v>104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X1044">
        <v>0</v>
      </c>
      <c r="BY1044">
        <v>8</v>
      </c>
      <c r="BZ1044">
        <v>2009</v>
      </c>
      <c r="CA1044" t="s">
        <v>109</v>
      </c>
      <c r="CB1044" t="s">
        <v>110</v>
      </c>
      <c r="CC1044">
        <v>196000</v>
      </c>
    </row>
    <row r="1045" spans="1:81" x14ac:dyDescent="0.3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H1045" t="s">
        <v>83</v>
      </c>
      <c r="I1045" t="s">
        <v>84</v>
      </c>
      <c r="J1045" t="s">
        <v>85</v>
      </c>
      <c r="K1045" t="s">
        <v>86</v>
      </c>
      <c r="L1045" t="s">
        <v>87</v>
      </c>
      <c r="M1045" t="s">
        <v>169</v>
      </c>
      <c r="N1045" t="s">
        <v>89</v>
      </c>
      <c r="O1045" t="s">
        <v>89</v>
      </c>
      <c r="P1045" t="s">
        <v>90</v>
      </c>
      <c r="Q1045" t="s">
        <v>91</v>
      </c>
      <c r="R1045">
        <v>7</v>
      </c>
      <c r="S1045">
        <v>5</v>
      </c>
      <c r="T1045">
        <v>1990</v>
      </c>
      <c r="U1045">
        <v>1990</v>
      </c>
      <c r="V1045" t="s">
        <v>151</v>
      </c>
      <c r="W1045" t="s">
        <v>93</v>
      </c>
      <c r="X1045" t="s">
        <v>139</v>
      </c>
      <c r="Y1045" t="s">
        <v>139</v>
      </c>
      <c r="Z1045" t="s">
        <v>95</v>
      </c>
      <c r="AA1045">
        <v>99</v>
      </c>
      <c r="AB1045" t="s">
        <v>97</v>
      </c>
      <c r="AC1045" t="s">
        <v>97</v>
      </c>
      <c r="AD1045" t="s">
        <v>98</v>
      </c>
      <c r="AE1045" t="s">
        <v>96</v>
      </c>
      <c r="AF1045" t="s">
        <v>97</v>
      </c>
      <c r="AG1045" t="s">
        <v>99</v>
      </c>
      <c r="AH1045" t="s">
        <v>100</v>
      </c>
      <c r="AI1045">
        <v>1085</v>
      </c>
      <c r="AJ1045" t="s">
        <v>101</v>
      </c>
      <c r="AK1045">
        <v>0</v>
      </c>
      <c r="AL1045">
        <v>390</v>
      </c>
      <c r="AM1045">
        <v>1475</v>
      </c>
      <c r="AN1045" t="s">
        <v>102</v>
      </c>
      <c r="AO1045" t="s">
        <v>103</v>
      </c>
      <c r="AP1045" t="s">
        <v>104</v>
      </c>
      <c r="AQ1045" t="s">
        <v>105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96</v>
      </c>
      <c r="BC1045">
        <v>10</v>
      </c>
      <c r="BD1045" t="s">
        <v>106</v>
      </c>
      <c r="BE1045">
        <v>1</v>
      </c>
      <c r="BF1045" t="s">
        <v>103</v>
      </c>
      <c r="BG1045" t="s">
        <v>107</v>
      </c>
      <c r="BH1045">
        <v>1990</v>
      </c>
      <c r="BI1045" t="s">
        <v>101</v>
      </c>
      <c r="BJ1045">
        <v>2</v>
      </c>
      <c r="BK1045">
        <v>514</v>
      </c>
      <c r="BL1045" t="s">
        <v>97</v>
      </c>
      <c r="BM1045" t="s">
        <v>97</v>
      </c>
      <c r="BN1045" t="s">
        <v>104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X1045">
        <v>0</v>
      </c>
      <c r="BY1045">
        <v>5</v>
      </c>
      <c r="BZ1045">
        <v>2008</v>
      </c>
      <c r="CA1045" t="s">
        <v>109</v>
      </c>
      <c r="CB1045" t="s">
        <v>110</v>
      </c>
      <c r="CC1045">
        <v>262280</v>
      </c>
    </row>
    <row r="1046" spans="1:81" x14ac:dyDescent="0.3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H1046" t="s">
        <v>83</v>
      </c>
      <c r="I1046" t="s">
        <v>84</v>
      </c>
      <c r="J1046" t="s">
        <v>85</v>
      </c>
      <c r="K1046" t="s">
        <v>86</v>
      </c>
      <c r="L1046" t="s">
        <v>87</v>
      </c>
      <c r="M1046" t="s">
        <v>137</v>
      </c>
      <c r="N1046" t="s">
        <v>138</v>
      </c>
      <c r="O1046" t="s">
        <v>89</v>
      </c>
      <c r="P1046" t="s">
        <v>90</v>
      </c>
      <c r="Q1046" t="s">
        <v>114</v>
      </c>
      <c r="R1046">
        <v>8</v>
      </c>
      <c r="S1046">
        <v>5</v>
      </c>
      <c r="T1046">
        <v>1981</v>
      </c>
      <c r="U1046">
        <v>1981</v>
      </c>
      <c r="V1046" t="s">
        <v>151</v>
      </c>
      <c r="W1046" t="s">
        <v>195</v>
      </c>
      <c r="X1046" t="s">
        <v>95</v>
      </c>
      <c r="Y1046" t="s">
        <v>95</v>
      </c>
      <c r="Z1046" t="s">
        <v>116</v>
      </c>
      <c r="AA1046">
        <v>0</v>
      </c>
      <c r="AB1046" t="s">
        <v>96</v>
      </c>
      <c r="AC1046" t="s">
        <v>97</v>
      </c>
      <c r="AD1046" t="s">
        <v>98</v>
      </c>
      <c r="AE1046" t="s">
        <v>96</v>
      </c>
      <c r="AF1046" t="s">
        <v>97</v>
      </c>
      <c r="AG1046" t="s">
        <v>99</v>
      </c>
      <c r="AH1046" t="s">
        <v>118</v>
      </c>
      <c r="AI1046">
        <v>1104</v>
      </c>
      <c r="AJ1046" t="s">
        <v>101</v>
      </c>
      <c r="AK1046">
        <v>0</v>
      </c>
      <c r="AL1046">
        <v>1420</v>
      </c>
      <c r="AM1046">
        <v>2524</v>
      </c>
      <c r="AN1046" t="s">
        <v>102</v>
      </c>
      <c r="AO1046" t="s">
        <v>97</v>
      </c>
      <c r="AP1046" t="s">
        <v>104</v>
      </c>
      <c r="AQ1046" t="s">
        <v>105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96</v>
      </c>
      <c r="BC1046">
        <v>9</v>
      </c>
      <c r="BD1046" t="s">
        <v>106</v>
      </c>
      <c r="BE1046">
        <v>1</v>
      </c>
      <c r="BF1046" t="s">
        <v>96</v>
      </c>
      <c r="BG1046" t="s">
        <v>107</v>
      </c>
      <c r="BH1046">
        <v>1981</v>
      </c>
      <c r="BI1046" t="s">
        <v>156</v>
      </c>
      <c r="BJ1046">
        <v>2</v>
      </c>
      <c r="BK1046">
        <v>542</v>
      </c>
      <c r="BL1046" t="s">
        <v>97</v>
      </c>
      <c r="BM1046" t="s">
        <v>97</v>
      </c>
      <c r="BN1046" t="s">
        <v>104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V1046" t="s">
        <v>133</v>
      </c>
      <c r="BX1046">
        <v>0</v>
      </c>
      <c r="BY1046">
        <v>7</v>
      </c>
      <c r="BZ1046">
        <v>2009</v>
      </c>
      <c r="CA1046" t="s">
        <v>109</v>
      </c>
      <c r="CB1046" t="s">
        <v>110</v>
      </c>
      <c r="CC1046">
        <v>278000</v>
      </c>
    </row>
    <row r="1047" spans="1:81" x14ac:dyDescent="0.3">
      <c r="A1047">
        <v>1046</v>
      </c>
      <c r="B1047">
        <v>20</v>
      </c>
      <c r="C1047" t="s">
        <v>81</v>
      </c>
      <c r="E1047">
        <v>13680</v>
      </c>
      <c r="F1047" t="s">
        <v>82</v>
      </c>
      <c r="H1047" t="s">
        <v>119</v>
      </c>
      <c r="I1047" t="s">
        <v>84</v>
      </c>
      <c r="J1047" t="s">
        <v>85</v>
      </c>
      <c r="K1047" t="s">
        <v>165</v>
      </c>
      <c r="L1047" t="s">
        <v>87</v>
      </c>
      <c r="M1047" t="s">
        <v>184</v>
      </c>
      <c r="N1047" t="s">
        <v>89</v>
      </c>
      <c r="O1047" t="s">
        <v>89</v>
      </c>
      <c r="P1047" t="s">
        <v>90</v>
      </c>
      <c r="Q1047" t="s">
        <v>114</v>
      </c>
      <c r="R1047">
        <v>3</v>
      </c>
      <c r="S1047">
        <v>5</v>
      </c>
      <c r="T1047">
        <v>1955</v>
      </c>
      <c r="U1047">
        <v>1955</v>
      </c>
      <c r="V1047" t="s">
        <v>151</v>
      </c>
      <c r="W1047" t="s">
        <v>93</v>
      </c>
      <c r="X1047" t="s">
        <v>95</v>
      </c>
      <c r="Y1047" t="s">
        <v>123</v>
      </c>
      <c r="Z1047" t="s">
        <v>116</v>
      </c>
      <c r="AA1047">
        <v>0</v>
      </c>
      <c r="AB1047" t="s">
        <v>97</v>
      </c>
      <c r="AC1047" t="s">
        <v>97</v>
      </c>
      <c r="AD1047" t="s">
        <v>167</v>
      </c>
      <c r="AI1047">
        <v>0</v>
      </c>
      <c r="AK1047">
        <v>0</v>
      </c>
      <c r="AL1047">
        <v>0</v>
      </c>
      <c r="AM1047">
        <v>0</v>
      </c>
      <c r="AN1047" t="s">
        <v>102</v>
      </c>
      <c r="AO1047" t="s">
        <v>103</v>
      </c>
      <c r="AP1047" t="s">
        <v>104</v>
      </c>
      <c r="AQ1047" t="s">
        <v>163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97</v>
      </c>
      <c r="BC1047">
        <v>8</v>
      </c>
      <c r="BD1047" t="s">
        <v>223</v>
      </c>
      <c r="BE1047">
        <v>1</v>
      </c>
      <c r="BF1047" t="s">
        <v>96</v>
      </c>
      <c r="BG1047" t="s">
        <v>107</v>
      </c>
      <c r="BH1047">
        <v>1955</v>
      </c>
      <c r="BI1047" t="s">
        <v>101</v>
      </c>
      <c r="BJ1047">
        <v>2</v>
      </c>
      <c r="BK1047">
        <v>452</v>
      </c>
      <c r="BL1047" t="s">
        <v>97</v>
      </c>
      <c r="BM1047" t="s">
        <v>97</v>
      </c>
      <c r="BN1047" t="s">
        <v>104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X1047">
        <v>0</v>
      </c>
      <c r="BY1047">
        <v>6</v>
      </c>
      <c r="BZ1047">
        <v>2009</v>
      </c>
      <c r="CA1047" t="s">
        <v>109</v>
      </c>
      <c r="CB1047" t="s">
        <v>110</v>
      </c>
      <c r="CC1047">
        <v>139600</v>
      </c>
    </row>
    <row r="1048" spans="1:81" x14ac:dyDescent="0.3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H1048" t="s">
        <v>119</v>
      </c>
      <c r="I1048" t="s">
        <v>84</v>
      </c>
      <c r="J1048" t="s">
        <v>85</v>
      </c>
      <c r="K1048" t="s">
        <v>86</v>
      </c>
      <c r="L1048" t="s">
        <v>87</v>
      </c>
      <c r="M1048" t="s">
        <v>199</v>
      </c>
      <c r="N1048" t="s">
        <v>89</v>
      </c>
      <c r="O1048" t="s">
        <v>89</v>
      </c>
      <c r="P1048" t="s">
        <v>90</v>
      </c>
      <c r="Q1048" t="s">
        <v>91</v>
      </c>
      <c r="R1048">
        <v>9</v>
      </c>
      <c r="S1048">
        <v>5</v>
      </c>
      <c r="T1048">
        <v>2005</v>
      </c>
      <c r="U1048">
        <v>2006</v>
      </c>
      <c r="V1048" t="s">
        <v>151</v>
      </c>
      <c r="W1048" t="s">
        <v>93</v>
      </c>
      <c r="X1048" t="s">
        <v>179</v>
      </c>
      <c r="Y1048" t="s">
        <v>180</v>
      </c>
      <c r="Z1048" t="s">
        <v>136</v>
      </c>
      <c r="AA1048">
        <v>208</v>
      </c>
      <c r="AB1048" t="s">
        <v>96</v>
      </c>
      <c r="AC1048" t="s">
        <v>97</v>
      </c>
      <c r="AD1048" t="s">
        <v>98</v>
      </c>
      <c r="AE1048" t="s">
        <v>103</v>
      </c>
      <c r="AF1048" t="s">
        <v>97</v>
      </c>
      <c r="AG1048" t="s">
        <v>129</v>
      </c>
      <c r="AH1048" t="s">
        <v>100</v>
      </c>
      <c r="AI1048">
        <v>240</v>
      </c>
      <c r="AJ1048" t="s">
        <v>101</v>
      </c>
      <c r="AK1048">
        <v>0</v>
      </c>
      <c r="AL1048">
        <v>1752</v>
      </c>
      <c r="AM1048">
        <v>1992</v>
      </c>
      <c r="AN1048" t="s">
        <v>102</v>
      </c>
      <c r="AO1048" t="s">
        <v>103</v>
      </c>
      <c r="AP1048" t="s">
        <v>104</v>
      </c>
      <c r="AQ1048" t="s">
        <v>105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103</v>
      </c>
      <c r="BC1048">
        <v>11</v>
      </c>
      <c r="BD1048" t="s">
        <v>106</v>
      </c>
      <c r="BE1048">
        <v>1</v>
      </c>
      <c r="BF1048" t="s">
        <v>96</v>
      </c>
      <c r="BG1048" t="s">
        <v>155</v>
      </c>
      <c r="BH1048">
        <v>2005</v>
      </c>
      <c r="BI1048" t="s">
        <v>156</v>
      </c>
      <c r="BJ1048">
        <v>3</v>
      </c>
      <c r="BK1048">
        <v>716</v>
      </c>
      <c r="BL1048" t="s">
        <v>97</v>
      </c>
      <c r="BM1048" t="s">
        <v>97</v>
      </c>
      <c r="BN1048" t="s">
        <v>104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X1048">
        <v>0</v>
      </c>
      <c r="BY1048">
        <v>7</v>
      </c>
      <c r="BZ1048">
        <v>2006</v>
      </c>
      <c r="CA1048" t="s">
        <v>157</v>
      </c>
      <c r="CB1048" t="s">
        <v>158</v>
      </c>
      <c r="CC1048">
        <v>556581</v>
      </c>
    </row>
    <row r="1049" spans="1:81" x14ac:dyDescent="0.3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H1049" t="s">
        <v>159</v>
      </c>
      <c r="I1049" t="s">
        <v>84</v>
      </c>
      <c r="J1049" t="s">
        <v>85</v>
      </c>
      <c r="K1049" t="s">
        <v>86</v>
      </c>
      <c r="L1049" t="s">
        <v>87</v>
      </c>
      <c r="M1049" t="s">
        <v>88</v>
      </c>
      <c r="N1049" t="s">
        <v>89</v>
      </c>
      <c r="O1049" t="s">
        <v>89</v>
      </c>
      <c r="P1049" t="s">
        <v>90</v>
      </c>
      <c r="Q1049" t="s">
        <v>114</v>
      </c>
      <c r="R1049">
        <v>5</v>
      </c>
      <c r="S1049">
        <v>5</v>
      </c>
      <c r="T1049">
        <v>1994</v>
      </c>
      <c r="U1049">
        <v>1995</v>
      </c>
      <c r="V1049" t="s">
        <v>92</v>
      </c>
      <c r="W1049" t="s">
        <v>93</v>
      </c>
      <c r="X1049" t="s">
        <v>94</v>
      </c>
      <c r="Y1049" t="s">
        <v>94</v>
      </c>
      <c r="Z1049" t="s">
        <v>116</v>
      </c>
      <c r="AA1049">
        <v>0</v>
      </c>
      <c r="AB1049" t="s">
        <v>97</v>
      </c>
      <c r="AC1049" t="s">
        <v>97</v>
      </c>
      <c r="AD1049" t="s">
        <v>98</v>
      </c>
      <c r="AE1049" t="s">
        <v>96</v>
      </c>
      <c r="AF1049" t="s">
        <v>97</v>
      </c>
      <c r="AG1049" t="s">
        <v>99</v>
      </c>
      <c r="AH1049" t="s">
        <v>100</v>
      </c>
      <c r="AI1049">
        <v>686</v>
      </c>
      <c r="AJ1049" t="s">
        <v>101</v>
      </c>
      <c r="AK1049">
        <v>0</v>
      </c>
      <c r="AL1049">
        <v>304</v>
      </c>
      <c r="AM1049">
        <v>990</v>
      </c>
      <c r="AN1049" t="s">
        <v>102</v>
      </c>
      <c r="AO1049" t="s">
        <v>103</v>
      </c>
      <c r="AP1049" t="s">
        <v>104</v>
      </c>
      <c r="AQ1049" t="s">
        <v>105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97</v>
      </c>
      <c r="BC1049">
        <v>5</v>
      </c>
      <c r="BD1049" t="s">
        <v>106</v>
      </c>
      <c r="BE1049">
        <v>0</v>
      </c>
      <c r="BG1049" t="s">
        <v>126</v>
      </c>
      <c r="BH1049">
        <v>1996</v>
      </c>
      <c r="BI1049" t="s">
        <v>101</v>
      </c>
      <c r="BJ1049">
        <v>2</v>
      </c>
      <c r="BK1049">
        <v>672</v>
      </c>
      <c r="BL1049" t="s">
        <v>97</v>
      </c>
      <c r="BM1049" t="s">
        <v>97</v>
      </c>
      <c r="BN1049" t="s">
        <v>104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X1049">
        <v>0</v>
      </c>
      <c r="BY1049">
        <v>2</v>
      </c>
      <c r="BZ1049">
        <v>2008</v>
      </c>
      <c r="CA1049" t="s">
        <v>109</v>
      </c>
      <c r="CB1049" t="s">
        <v>110</v>
      </c>
      <c r="CC1049">
        <v>145000</v>
      </c>
    </row>
    <row r="1050" spans="1:81" x14ac:dyDescent="0.3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H1050" t="s">
        <v>83</v>
      </c>
      <c r="I1050" t="s">
        <v>84</v>
      </c>
      <c r="J1050" t="s">
        <v>85</v>
      </c>
      <c r="K1050" t="s">
        <v>86</v>
      </c>
      <c r="L1050" t="s">
        <v>87</v>
      </c>
      <c r="M1050" t="s">
        <v>130</v>
      </c>
      <c r="N1050" t="s">
        <v>89</v>
      </c>
      <c r="O1050" t="s">
        <v>89</v>
      </c>
      <c r="P1050" t="s">
        <v>90</v>
      </c>
      <c r="Q1050" t="s">
        <v>114</v>
      </c>
      <c r="R1050">
        <v>5</v>
      </c>
      <c r="S1050">
        <v>4</v>
      </c>
      <c r="T1050">
        <v>1960</v>
      </c>
      <c r="U1050">
        <v>2006</v>
      </c>
      <c r="V1050" t="s">
        <v>151</v>
      </c>
      <c r="W1050" t="s">
        <v>93</v>
      </c>
      <c r="X1050" t="s">
        <v>139</v>
      </c>
      <c r="Y1050" t="s">
        <v>139</v>
      </c>
      <c r="Z1050" t="s">
        <v>95</v>
      </c>
      <c r="AA1050">
        <v>75</v>
      </c>
      <c r="AB1050" t="s">
        <v>97</v>
      </c>
      <c r="AC1050" t="s">
        <v>146</v>
      </c>
      <c r="AD1050" t="s">
        <v>167</v>
      </c>
      <c r="AI1050">
        <v>0</v>
      </c>
      <c r="AK1050">
        <v>0</v>
      </c>
      <c r="AL1050">
        <v>0</v>
      </c>
      <c r="AM1050">
        <v>0</v>
      </c>
      <c r="AN1050" t="s">
        <v>102</v>
      </c>
      <c r="AO1050" t="s">
        <v>97</v>
      </c>
      <c r="AP1050" t="s">
        <v>104</v>
      </c>
      <c r="AQ1050" t="s">
        <v>105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97</v>
      </c>
      <c r="BC1050">
        <v>9</v>
      </c>
      <c r="BD1050" t="s">
        <v>145</v>
      </c>
      <c r="BE1050">
        <v>1</v>
      </c>
      <c r="BF1050" t="s">
        <v>97</v>
      </c>
      <c r="BG1050" t="s">
        <v>107</v>
      </c>
      <c r="BH1050">
        <v>1960</v>
      </c>
      <c r="BI1050" t="s">
        <v>101</v>
      </c>
      <c r="BJ1050">
        <v>2</v>
      </c>
      <c r="BK1050">
        <v>336</v>
      </c>
      <c r="BL1050" t="s">
        <v>97</v>
      </c>
      <c r="BM1050" t="s">
        <v>97</v>
      </c>
      <c r="BN1050" t="s">
        <v>104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V1050" t="s">
        <v>164</v>
      </c>
      <c r="BX1050">
        <v>0</v>
      </c>
      <c r="BY1050">
        <v>11</v>
      </c>
      <c r="BZ1050">
        <v>2009</v>
      </c>
      <c r="CA1050" t="s">
        <v>109</v>
      </c>
      <c r="CB1050" t="s">
        <v>110</v>
      </c>
      <c r="CC1050">
        <v>115000</v>
      </c>
    </row>
    <row r="1051" spans="1:81" x14ac:dyDescent="0.3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H1051" t="s">
        <v>83</v>
      </c>
      <c r="I1051" t="s">
        <v>194</v>
      </c>
      <c r="J1051" t="s">
        <v>85</v>
      </c>
      <c r="K1051" t="s">
        <v>86</v>
      </c>
      <c r="L1051" t="s">
        <v>87</v>
      </c>
      <c r="M1051" t="s">
        <v>184</v>
      </c>
      <c r="N1051" t="s">
        <v>89</v>
      </c>
      <c r="O1051" t="s">
        <v>89</v>
      </c>
      <c r="P1051" t="s">
        <v>90</v>
      </c>
      <c r="Q1051" t="s">
        <v>114</v>
      </c>
      <c r="R1051">
        <v>4</v>
      </c>
      <c r="S1051">
        <v>7</v>
      </c>
      <c r="T1051">
        <v>1946</v>
      </c>
      <c r="U1051">
        <v>2006</v>
      </c>
      <c r="V1051" t="s">
        <v>92</v>
      </c>
      <c r="W1051" t="s">
        <v>93</v>
      </c>
      <c r="X1051" t="s">
        <v>115</v>
      </c>
      <c r="Y1051" t="s">
        <v>115</v>
      </c>
      <c r="Z1051" t="s">
        <v>116</v>
      </c>
      <c r="AA1051">
        <v>0</v>
      </c>
      <c r="AB1051" t="s">
        <v>97</v>
      </c>
      <c r="AC1051" t="s">
        <v>97</v>
      </c>
      <c r="AD1051" t="s">
        <v>117</v>
      </c>
      <c r="AI1051">
        <v>0</v>
      </c>
      <c r="AK1051">
        <v>0</v>
      </c>
      <c r="AL1051">
        <v>0</v>
      </c>
      <c r="AM1051">
        <v>0</v>
      </c>
      <c r="AN1051" t="s">
        <v>102</v>
      </c>
      <c r="AO1051" t="s">
        <v>103</v>
      </c>
      <c r="AP1051" t="s">
        <v>104</v>
      </c>
      <c r="AQ1051" t="s">
        <v>105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96</v>
      </c>
      <c r="BC1051">
        <v>6</v>
      </c>
      <c r="BD1051" t="s">
        <v>106</v>
      </c>
      <c r="BE1051">
        <v>0</v>
      </c>
      <c r="BG1051" t="s">
        <v>126</v>
      </c>
      <c r="BH1051">
        <v>1946</v>
      </c>
      <c r="BI1051" t="s">
        <v>101</v>
      </c>
      <c r="BJ1051">
        <v>1</v>
      </c>
      <c r="BK1051">
        <v>308</v>
      </c>
      <c r="BL1051" t="s">
        <v>97</v>
      </c>
      <c r="BM1051" t="s">
        <v>97</v>
      </c>
      <c r="BN1051" t="s">
        <v>104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X1051">
        <v>0</v>
      </c>
      <c r="BY1051">
        <v>4</v>
      </c>
      <c r="BZ1051">
        <v>2010</v>
      </c>
      <c r="CA1051" t="s">
        <v>109</v>
      </c>
      <c r="CB1051" t="s">
        <v>127</v>
      </c>
      <c r="CC1051">
        <v>84900</v>
      </c>
    </row>
    <row r="1052" spans="1:81" x14ac:dyDescent="0.3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H1052" t="s">
        <v>119</v>
      </c>
      <c r="I1052" t="s">
        <v>84</v>
      </c>
      <c r="J1052" t="s">
        <v>85</v>
      </c>
      <c r="K1052" t="s">
        <v>86</v>
      </c>
      <c r="L1052" t="s">
        <v>87</v>
      </c>
      <c r="M1052" t="s">
        <v>192</v>
      </c>
      <c r="N1052" t="s">
        <v>89</v>
      </c>
      <c r="O1052" t="s">
        <v>89</v>
      </c>
      <c r="P1052" t="s">
        <v>90</v>
      </c>
      <c r="Q1052" t="s">
        <v>114</v>
      </c>
      <c r="R1052">
        <v>7</v>
      </c>
      <c r="S1052">
        <v>5</v>
      </c>
      <c r="T1052">
        <v>2007</v>
      </c>
      <c r="U1052">
        <v>2007</v>
      </c>
      <c r="V1052" t="s">
        <v>92</v>
      </c>
      <c r="W1052" t="s">
        <v>93</v>
      </c>
      <c r="X1052" t="s">
        <v>94</v>
      </c>
      <c r="Y1052" t="s">
        <v>94</v>
      </c>
      <c r="Z1052" t="s">
        <v>116</v>
      </c>
      <c r="AA1052">
        <v>0</v>
      </c>
      <c r="AB1052" t="s">
        <v>96</v>
      </c>
      <c r="AC1052" t="s">
        <v>97</v>
      </c>
      <c r="AD1052" t="s">
        <v>98</v>
      </c>
      <c r="AE1052" t="s">
        <v>96</v>
      </c>
      <c r="AF1052" t="s">
        <v>97</v>
      </c>
      <c r="AG1052" t="s">
        <v>129</v>
      </c>
      <c r="AH1052" t="s">
        <v>101</v>
      </c>
      <c r="AI1052">
        <v>0</v>
      </c>
      <c r="AJ1052" t="s">
        <v>101</v>
      </c>
      <c r="AK1052">
        <v>0</v>
      </c>
      <c r="AL1052">
        <v>1302</v>
      </c>
      <c r="AM1052">
        <v>1302</v>
      </c>
      <c r="AN1052" t="s">
        <v>102</v>
      </c>
      <c r="AO1052" t="s">
        <v>103</v>
      </c>
      <c r="AP1052" t="s">
        <v>104</v>
      </c>
      <c r="AQ1052" t="s">
        <v>105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96</v>
      </c>
      <c r="BC1052">
        <v>6</v>
      </c>
      <c r="BD1052" t="s">
        <v>106</v>
      </c>
      <c r="BE1052">
        <v>0</v>
      </c>
      <c r="BG1052" t="s">
        <v>107</v>
      </c>
      <c r="BH1052">
        <v>2007</v>
      </c>
      <c r="BI1052" t="s">
        <v>156</v>
      </c>
      <c r="BJ1052">
        <v>2</v>
      </c>
      <c r="BK1052">
        <v>436</v>
      </c>
      <c r="BL1052" t="s">
        <v>97</v>
      </c>
      <c r="BM1052" t="s">
        <v>97</v>
      </c>
      <c r="BN1052" t="s">
        <v>104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X1052">
        <v>0</v>
      </c>
      <c r="BY1052">
        <v>8</v>
      </c>
      <c r="BZ1052">
        <v>2007</v>
      </c>
      <c r="CA1052" t="s">
        <v>157</v>
      </c>
      <c r="CB1052" t="s">
        <v>158</v>
      </c>
      <c r="CC1052">
        <v>176485</v>
      </c>
    </row>
    <row r="1053" spans="1:81" x14ac:dyDescent="0.3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H1053" t="s">
        <v>119</v>
      </c>
      <c r="I1053" t="s">
        <v>84</v>
      </c>
      <c r="J1053" t="s">
        <v>85</v>
      </c>
      <c r="K1053" t="s">
        <v>121</v>
      </c>
      <c r="L1053" t="s">
        <v>87</v>
      </c>
      <c r="M1053" t="s">
        <v>88</v>
      </c>
      <c r="N1053" t="s">
        <v>89</v>
      </c>
      <c r="O1053" t="s">
        <v>89</v>
      </c>
      <c r="P1053" t="s">
        <v>90</v>
      </c>
      <c r="Q1053" t="s">
        <v>114</v>
      </c>
      <c r="R1053">
        <v>7</v>
      </c>
      <c r="S1053">
        <v>5</v>
      </c>
      <c r="T1053">
        <v>2007</v>
      </c>
      <c r="U1053">
        <v>2007</v>
      </c>
      <c r="V1053" t="s">
        <v>92</v>
      </c>
      <c r="W1053" t="s">
        <v>93</v>
      </c>
      <c r="X1053" t="s">
        <v>94</v>
      </c>
      <c r="Y1053" t="s">
        <v>94</v>
      </c>
      <c r="Z1053" t="s">
        <v>116</v>
      </c>
      <c r="AA1053">
        <v>0</v>
      </c>
      <c r="AB1053" t="s">
        <v>96</v>
      </c>
      <c r="AC1053" t="s">
        <v>97</v>
      </c>
      <c r="AD1053" t="s">
        <v>98</v>
      </c>
      <c r="AE1053" t="s">
        <v>96</v>
      </c>
      <c r="AF1053" t="s">
        <v>97</v>
      </c>
      <c r="AG1053" t="s">
        <v>129</v>
      </c>
      <c r="AH1053" t="s">
        <v>101</v>
      </c>
      <c r="AI1053">
        <v>0</v>
      </c>
      <c r="AJ1053" t="s">
        <v>101</v>
      </c>
      <c r="AK1053">
        <v>0</v>
      </c>
      <c r="AL1053">
        <v>1316</v>
      </c>
      <c r="AM1053">
        <v>1316</v>
      </c>
      <c r="AN1053" t="s">
        <v>102</v>
      </c>
      <c r="AO1053" t="s">
        <v>103</v>
      </c>
      <c r="AP1053" t="s">
        <v>104</v>
      </c>
      <c r="AQ1053" t="s">
        <v>105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96</v>
      </c>
      <c r="BC1053">
        <v>6</v>
      </c>
      <c r="BD1053" t="s">
        <v>106</v>
      </c>
      <c r="BE1053">
        <v>1</v>
      </c>
      <c r="BF1053" t="s">
        <v>96</v>
      </c>
      <c r="BG1053" t="s">
        <v>107</v>
      </c>
      <c r="BH1053">
        <v>2007</v>
      </c>
      <c r="BI1053" t="s">
        <v>156</v>
      </c>
      <c r="BJ1053">
        <v>2</v>
      </c>
      <c r="BK1053">
        <v>440</v>
      </c>
      <c r="BL1053" t="s">
        <v>97</v>
      </c>
      <c r="BM1053" t="s">
        <v>97</v>
      </c>
      <c r="BN1053" t="s">
        <v>104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X1053">
        <v>0</v>
      </c>
      <c r="BY1053">
        <v>10</v>
      </c>
      <c r="BZ1053">
        <v>2007</v>
      </c>
      <c r="CA1053" t="s">
        <v>157</v>
      </c>
      <c r="CB1053" t="s">
        <v>158</v>
      </c>
      <c r="CC1053">
        <v>200141</v>
      </c>
    </row>
    <row r="1054" spans="1:81" x14ac:dyDescent="0.3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H1054" t="s">
        <v>83</v>
      </c>
      <c r="I1054" t="s">
        <v>84</v>
      </c>
      <c r="J1054" t="s">
        <v>85</v>
      </c>
      <c r="K1054" t="s">
        <v>121</v>
      </c>
      <c r="L1054" t="s">
        <v>87</v>
      </c>
      <c r="M1054" t="s">
        <v>270</v>
      </c>
      <c r="N1054" t="s">
        <v>143</v>
      </c>
      <c r="O1054" t="s">
        <v>89</v>
      </c>
      <c r="P1054" t="s">
        <v>90</v>
      </c>
      <c r="Q1054" t="s">
        <v>91</v>
      </c>
      <c r="R1054">
        <v>6</v>
      </c>
      <c r="S1054">
        <v>6</v>
      </c>
      <c r="T1054">
        <v>1964</v>
      </c>
      <c r="U1054">
        <v>1978</v>
      </c>
      <c r="V1054" t="s">
        <v>92</v>
      </c>
      <c r="W1054" t="s">
        <v>93</v>
      </c>
      <c r="X1054" t="s">
        <v>94</v>
      </c>
      <c r="Y1054" t="s">
        <v>94</v>
      </c>
      <c r="Z1054" t="s">
        <v>206</v>
      </c>
      <c r="AA1054">
        <v>272</v>
      </c>
      <c r="AB1054" t="s">
        <v>97</v>
      </c>
      <c r="AC1054" t="s">
        <v>97</v>
      </c>
      <c r="AD1054" t="s">
        <v>117</v>
      </c>
      <c r="AE1054" t="s">
        <v>97</v>
      </c>
      <c r="AF1054" t="s">
        <v>97</v>
      </c>
      <c r="AG1054" t="s">
        <v>99</v>
      </c>
      <c r="AH1054" t="s">
        <v>152</v>
      </c>
      <c r="AI1054">
        <v>442</v>
      </c>
      <c r="AJ1054" t="s">
        <v>101</v>
      </c>
      <c r="AK1054">
        <v>0</v>
      </c>
      <c r="AL1054">
        <v>374</v>
      </c>
      <c r="AM1054">
        <v>816</v>
      </c>
      <c r="AN1054" t="s">
        <v>102</v>
      </c>
      <c r="AO1054" t="s">
        <v>97</v>
      </c>
      <c r="AP1054" t="s">
        <v>104</v>
      </c>
      <c r="AQ1054" t="s">
        <v>105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97</v>
      </c>
      <c r="BC1054">
        <v>9</v>
      </c>
      <c r="BD1054" t="s">
        <v>106</v>
      </c>
      <c r="BE1054">
        <v>1</v>
      </c>
      <c r="BF1054" t="s">
        <v>97</v>
      </c>
      <c r="BG1054" t="s">
        <v>107</v>
      </c>
      <c r="BH1054">
        <v>1964</v>
      </c>
      <c r="BI1054" t="s">
        <v>108</v>
      </c>
      <c r="BJ1054">
        <v>2</v>
      </c>
      <c r="BK1054">
        <v>540</v>
      </c>
      <c r="BL1054" t="s">
        <v>97</v>
      </c>
      <c r="BM1054" t="s">
        <v>97</v>
      </c>
      <c r="BN1054" t="s">
        <v>104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V1054" t="s">
        <v>164</v>
      </c>
      <c r="BX1054">
        <v>0</v>
      </c>
      <c r="BY1054">
        <v>6</v>
      </c>
      <c r="BZ1054">
        <v>2007</v>
      </c>
      <c r="CA1054" t="s">
        <v>109</v>
      </c>
      <c r="CB1054" t="s">
        <v>110</v>
      </c>
      <c r="CC1054">
        <v>165000</v>
      </c>
    </row>
    <row r="1055" spans="1:81" x14ac:dyDescent="0.3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H1055" t="s">
        <v>83</v>
      </c>
      <c r="I1055" t="s">
        <v>84</v>
      </c>
      <c r="J1055" t="s">
        <v>85</v>
      </c>
      <c r="K1055" t="s">
        <v>86</v>
      </c>
      <c r="L1055" t="s">
        <v>193</v>
      </c>
      <c r="M1055" t="s">
        <v>184</v>
      </c>
      <c r="N1055" t="s">
        <v>89</v>
      </c>
      <c r="O1055" t="s">
        <v>89</v>
      </c>
      <c r="P1055" t="s">
        <v>90</v>
      </c>
      <c r="Q1055" t="s">
        <v>114</v>
      </c>
      <c r="R1055">
        <v>5</v>
      </c>
      <c r="S1055">
        <v>6</v>
      </c>
      <c r="T1055">
        <v>1957</v>
      </c>
      <c r="U1055">
        <v>2002</v>
      </c>
      <c r="V1055" t="s">
        <v>151</v>
      </c>
      <c r="W1055" t="s">
        <v>93</v>
      </c>
      <c r="X1055" t="s">
        <v>139</v>
      </c>
      <c r="Y1055" t="s">
        <v>139</v>
      </c>
      <c r="Z1055" t="s">
        <v>136</v>
      </c>
      <c r="AA1055">
        <v>145</v>
      </c>
      <c r="AB1055" t="s">
        <v>97</v>
      </c>
      <c r="AC1055" t="s">
        <v>97</v>
      </c>
      <c r="AD1055" t="s">
        <v>117</v>
      </c>
      <c r="AE1055" t="s">
        <v>97</v>
      </c>
      <c r="AF1055" t="s">
        <v>97</v>
      </c>
      <c r="AG1055" t="s">
        <v>129</v>
      </c>
      <c r="AH1055" t="s">
        <v>152</v>
      </c>
      <c r="AI1055">
        <v>383</v>
      </c>
      <c r="AJ1055" t="s">
        <v>101</v>
      </c>
      <c r="AK1055">
        <v>0</v>
      </c>
      <c r="AL1055">
        <v>833</v>
      </c>
      <c r="AM1055">
        <v>1216</v>
      </c>
      <c r="AN1055" t="s">
        <v>102</v>
      </c>
      <c r="AO1055" t="s">
        <v>103</v>
      </c>
      <c r="AP1055" t="s">
        <v>104</v>
      </c>
      <c r="AQ1055" t="s">
        <v>163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97</v>
      </c>
      <c r="BC1055">
        <v>7</v>
      </c>
      <c r="BD1055" t="s">
        <v>223</v>
      </c>
      <c r="BE1055">
        <v>1</v>
      </c>
      <c r="BF1055" t="s">
        <v>96</v>
      </c>
      <c r="BG1055" t="s">
        <v>208</v>
      </c>
      <c r="BH1055">
        <v>1957</v>
      </c>
      <c r="BI1055" t="s">
        <v>101</v>
      </c>
      <c r="BJ1055">
        <v>1</v>
      </c>
      <c r="BK1055">
        <v>364</v>
      </c>
      <c r="BL1055" t="s">
        <v>97</v>
      </c>
      <c r="BM1055" t="s">
        <v>97</v>
      </c>
      <c r="BN1055" t="s">
        <v>104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X1055">
        <v>0</v>
      </c>
      <c r="BY1055">
        <v>5</v>
      </c>
      <c r="BZ1055">
        <v>2010</v>
      </c>
      <c r="CA1055" t="s">
        <v>109</v>
      </c>
      <c r="CB1055" t="s">
        <v>110</v>
      </c>
      <c r="CC1055">
        <v>144500</v>
      </c>
    </row>
    <row r="1056" spans="1:81" x14ac:dyDescent="0.3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H1056" t="s">
        <v>83</v>
      </c>
      <c r="I1056" t="s">
        <v>84</v>
      </c>
      <c r="J1056" t="s">
        <v>85</v>
      </c>
      <c r="K1056" t="s">
        <v>121</v>
      </c>
      <c r="L1056" t="s">
        <v>87</v>
      </c>
      <c r="M1056" t="s">
        <v>88</v>
      </c>
      <c r="N1056" t="s">
        <v>89</v>
      </c>
      <c r="O1056" t="s">
        <v>89</v>
      </c>
      <c r="P1056" t="s">
        <v>90</v>
      </c>
      <c r="Q1056" t="s">
        <v>91</v>
      </c>
      <c r="R1056">
        <v>8</v>
      </c>
      <c r="S1056">
        <v>5</v>
      </c>
      <c r="T1056">
        <v>2002</v>
      </c>
      <c r="U1056">
        <v>2002</v>
      </c>
      <c r="V1056" t="s">
        <v>92</v>
      </c>
      <c r="W1056" t="s">
        <v>93</v>
      </c>
      <c r="X1056" t="s">
        <v>94</v>
      </c>
      <c r="Y1056" t="s">
        <v>94</v>
      </c>
      <c r="Z1056" t="s">
        <v>95</v>
      </c>
      <c r="AA1056">
        <v>210</v>
      </c>
      <c r="AB1056" t="s">
        <v>96</v>
      </c>
      <c r="AC1056" t="s">
        <v>97</v>
      </c>
      <c r="AD1056" t="s">
        <v>98</v>
      </c>
      <c r="AE1056" t="s">
        <v>96</v>
      </c>
      <c r="AF1056" t="s">
        <v>97</v>
      </c>
      <c r="AG1056" t="s">
        <v>120</v>
      </c>
      <c r="AH1056" t="s">
        <v>100</v>
      </c>
      <c r="AI1056">
        <v>932</v>
      </c>
      <c r="AJ1056" t="s">
        <v>101</v>
      </c>
      <c r="AK1056">
        <v>0</v>
      </c>
      <c r="AL1056">
        <v>133</v>
      </c>
      <c r="AM1056">
        <v>1065</v>
      </c>
      <c r="AN1056" t="s">
        <v>102</v>
      </c>
      <c r="AO1056" t="s">
        <v>103</v>
      </c>
      <c r="AP1056" t="s">
        <v>104</v>
      </c>
      <c r="AQ1056" t="s">
        <v>105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96</v>
      </c>
      <c r="BC1056">
        <v>7</v>
      </c>
      <c r="BD1056" t="s">
        <v>106</v>
      </c>
      <c r="BE1056">
        <v>1</v>
      </c>
      <c r="BF1056" t="s">
        <v>96</v>
      </c>
      <c r="BG1056" t="s">
        <v>107</v>
      </c>
      <c r="BH1056">
        <v>2002</v>
      </c>
      <c r="BI1056" t="s">
        <v>156</v>
      </c>
      <c r="BJ1056">
        <v>2</v>
      </c>
      <c r="BK1056">
        <v>586</v>
      </c>
      <c r="BL1056" t="s">
        <v>97</v>
      </c>
      <c r="BM1056" t="s">
        <v>97</v>
      </c>
      <c r="BN1056" t="s">
        <v>104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X1056">
        <v>0</v>
      </c>
      <c r="BY1056">
        <v>11</v>
      </c>
      <c r="BZ1056">
        <v>2006</v>
      </c>
      <c r="CA1056" t="s">
        <v>109</v>
      </c>
      <c r="CB1056" t="s">
        <v>110</v>
      </c>
      <c r="CC1056">
        <v>255000</v>
      </c>
    </row>
    <row r="1057" spans="1:81" x14ac:dyDescent="0.3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H1057" t="s">
        <v>83</v>
      </c>
      <c r="I1057" t="s">
        <v>84</v>
      </c>
      <c r="J1057" t="s">
        <v>85</v>
      </c>
      <c r="K1057" t="s">
        <v>86</v>
      </c>
      <c r="L1057" t="s">
        <v>87</v>
      </c>
      <c r="M1057" t="s">
        <v>137</v>
      </c>
      <c r="N1057" t="s">
        <v>89</v>
      </c>
      <c r="O1057" t="s">
        <v>89</v>
      </c>
      <c r="P1057" t="s">
        <v>90</v>
      </c>
      <c r="Q1057" t="s">
        <v>114</v>
      </c>
      <c r="R1057">
        <v>6</v>
      </c>
      <c r="S1057">
        <v>5</v>
      </c>
      <c r="T1057">
        <v>1976</v>
      </c>
      <c r="U1057">
        <v>1976</v>
      </c>
      <c r="V1057" t="s">
        <v>92</v>
      </c>
      <c r="W1057" t="s">
        <v>93</v>
      </c>
      <c r="X1057" t="s">
        <v>160</v>
      </c>
      <c r="Y1057" t="s">
        <v>160</v>
      </c>
      <c r="Z1057" t="s">
        <v>95</v>
      </c>
      <c r="AA1057">
        <v>160</v>
      </c>
      <c r="AB1057" t="s">
        <v>97</v>
      </c>
      <c r="AC1057" t="s">
        <v>97</v>
      </c>
      <c r="AD1057" t="s">
        <v>117</v>
      </c>
      <c r="AE1057" t="s">
        <v>96</v>
      </c>
      <c r="AF1057" t="s">
        <v>97</v>
      </c>
      <c r="AG1057" t="s">
        <v>99</v>
      </c>
      <c r="AH1057" t="s">
        <v>118</v>
      </c>
      <c r="AI1057">
        <v>644</v>
      </c>
      <c r="AJ1057" t="s">
        <v>101</v>
      </c>
      <c r="AK1057">
        <v>0</v>
      </c>
      <c r="AL1057">
        <v>549</v>
      </c>
      <c r="AM1057">
        <v>1193</v>
      </c>
      <c r="AN1057" t="s">
        <v>102</v>
      </c>
      <c r="AO1057" t="s">
        <v>97</v>
      </c>
      <c r="AP1057" t="s">
        <v>104</v>
      </c>
      <c r="AQ1057" t="s">
        <v>105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97</v>
      </c>
      <c r="BC1057">
        <v>7</v>
      </c>
      <c r="BD1057" t="s">
        <v>106</v>
      </c>
      <c r="BE1057">
        <v>1</v>
      </c>
      <c r="BF1057" t="s">
        <v>97</v>
      </c>
      <c r="BG1057" t="s">
        <v>107</v>
      </c>
      <c r="BH1057">
        <v>1976</v>
      </c>
      <c r="BI1057" t="s">
        <v>156</v>
      </c>
      <c r="BJ1057">
        <v>2</v>
      </c>
      <c r="BK1057">
        <v>478</v>
      </c>
      <c r="BL1057" t="s">
        <v>97</v>
      </c>
      <c r="BM1057" t="s">
        <v>97</v>
      </c>
      <c r="BN1057" t="s">
        <v>104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V1057" t="s">
        <v>133</v>
      </c>
      <c r="BX1057">
        <v>0</v>
      </c>
      <c r="BY1057">
        <v>5</v>
      </c>
      <c r="BZ1057">
        <v>2008</v>
      </c>
      <c r="CA1057" t="s">
        <v>172</v>
      </c>
      <c r="CB1057" t="s">
        <v>127</v>
      </c>
      <c r="CC1057">
        <v>180000</v>
      </c>
    </row>
    <row r="1058" spans="1:81" x14ac:dyDescent="0.3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H1058" t="s">
        <v>119</v>
      </c>
      <c r="I1058" t="s">
        <v>84</v>
      </c>
      <c r="J1058" t="s">
        <v>85</v>
      </c>
      <c r="K1058" t="s">
        <v>86</v>
      </c>
      <c r="L1058" t="s">
        <v>87</v>
      </c>
      <c r="M1058" t="s">
        <v>153</v>
      </c>
      <c r="N1058" t="s">
        <v>89</v>
      </c>
      <c r="O1058" t="s">
        <v>89</v>
      </c>
      <c r="P1058" t="s">
        <v>178</v>
      </c>
      <c r="Q1058" t="s">
        <v>114</v>
      </c>
      <c r="R1058">
        <v>7</v>
      </c>
      <c r="S1058">
        <v>5</v>
      </c>
      <c r="T1058">
        <v>2005</v>
      </c>
      <c r="U1058">
        <v>2005</v>
      </c>
      <c r="V1058" t="s">
        <v>92</v>
      </c>
      <c r="W1058" t="s">
        <v>93</v>
      </c>
      <c r="X1058" t="s">
        <v>94</v>
      </c>
      <c r="Y1058" t="s">
        <v>94</v>
      </c>
      <c r="Z1058" t="s">
        <v>136</v>
      </c>
      <c r="AA1058">
        <v>240</v>
      </c>
      <c r="AB1058" t="s">
        <v>96</v>
      </c>
      <c r="AC1058" t="s">
        <v>97</v>
      </c>
      <c r="AD1058" t="s">
        <v>98</v>
      </c>
      <c r="AE1058" t="s">
        <v>96</v>
      </c>
      <c r="AF1058" t="s">
        <v>97</v>
      </c>
      <c r="AG1058" t="s">
        <v>129</v>
      </c>
      <c r="AH1058" t="s">
        <v>100</v>
      </c>
      <c r="AI1058">
        <v>659</v>
      </c>
      <c r="AJ1058" t="s">
        <v>101</v>
      </c>
      <c r="AK1058">
        <v>0</v>
      </c>
      <c r="AL1058">
        <v>705</v>
      </c>
      <c r="AM1058">
        <v>1364</v>
      </c>
      <c r="AN1058" t="s">
        <v>102</v>
      </c>
      <c r="AO1058" t="s">
        <v>103</v>
      </c>
      <c r="AP1058" t="s">
        <v>104</v>
      </c>
      <c r="AQ1058" t="s">
        <v>105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96</v>
      </c>
      <c r="BC1058">
        <v>6</v>
      </c>
      <c r="BD1058" t="s">
        <v>106</v>
      </c>
      <c r="BE1058">
        <v>1</v>
      </c>
      <c r="BF1058" t="s">
        <v>96</v>
      </c>
      <c r="BG1058" t="s">
        <v>107</v>
      </c>
      <c r="BH1058">
        <v>2005</v>
      </c>
      <c r="BI1058" t="s">
        <v>108</v>
      </c>
      <c r="BJ1058">
        <v>2</v>
      </c>
      <c r="BK1058">
        <v>484</v>
      </c>
      <c r="BL1058" t="s">
        <v>97</v>
      </c>
      <c r="BM1058" t="s">
        <v>97</v>
      </c>
      <c r="BN1058" t="s">
        <v>104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X1058">
        <v>0</v>
      </c>
      <c r="BY1058">
        <v>6</v>
      </c>
      <c r="BZ1058">
        <v>2006</v>
      </c>
      <c r="CA1058" t="s">
        <v>109</v>
      </c>
      <c r="CB1058" t="s">
        <v>110</v>
      </c>
      <c r="CC1058">
        <v>185850</v>
      </c>
    </row>
    <row r="1059" spans="1:81" x14ac:dyDescent="0.3">
      <c r="A1059">
        <v>1058</v>
      </c>
      <c r="B1059">
        <v>60</v>
      </c>
      <c r="C1059" t="s">
        <v>81</v>
      </c>
      <c r="E1059">
        <v>29959</v>
      </c>
      <c r="F1059" t="s">
        <v>82</v>
      </c>
      <c r="H1059" t="s">
        <v>159</v>
      </c>
      <c r="I1059" t="s">
        <v>84</v>
      </c>
      <c r="J1059" t="s">
        <v>85</v>
      </c>
      <c r="K1059" t="s">
        <v>111</v>
      </c>
      <c r="L1059" t="s">
        <v>87</v>
      </c>
      <c r="M1059" t="s">
        <v>128</v>
      </c>
      <c r="N1059" t="s">
        <v>89</v>
      </c>
      <c r="O1059" t="s">
        <v>89</v>
      </c>
      <c r="P1059" t="s">
        <v>90</v>
      </c>
      <c r="Q1059" t="s">
        <v>91</v>
      </c>
      <c r="R1059">
        <v>7</v>
      </c>
      <c r="S1059">
        <v>6</v>
      </c>
      <c r="T1059">
        <v>1994</v>
      </c>
      <c r="U1059">
        <v>1994</v>
      </c>
      <c r="V1059" t="s">
        <v>92</v>
      </c>
      <c r="W1059" t="s">
        <v>93</v>
      </c>
      <c r="X1059" t="s">
        <v>139</v>
      </c>
      <c r="Y1059" t="s">
        <v>139</v>
      </c>
      <c r="Z1059" t="s">
        <v>116</v>
      </c>
      <c r="AA1059">
        <v>0</v>
      </c>
      <c r="AB1059" t="s">
        <v>96</v>
      </c>
      <c r="AC1059" t="s">
        <v>97</v>
      </c>
      <c r="AD1059" t="s">
        <v>98</v>
      </c>
      <c r="AE1059" t="s">
        <v>96</v>
      </c>
      <c r="AF1059" t="s">
        <v>97</v>
      </c>
      <c r="AG1059" t="s">
        <v>99</v>
      </c>
      <c r="AH1059" t="s">
        <v>100</v>
      </c>
      <c r="AI1059">
        <v>595</v>
      </c>
      <c r="AJ1059" t="s">
        <v>101</v>
      </c>
      <c r="AK1059">
        <v>0</v>
      </c>
      <c r="AL1059">
        <v>378</v>
      </c>
      <c r="AM1059">
        <v>973</v>
      </c>
      <c r="AN1059" t="s">
        <v>102</v>
      </c>
      <c r="AO1059" t="s">
        <v>103</v>
      </c>
      <c r="AP1059" t="s">
        <v>104</v>
      </c>
      <c r="AQ1059" t="s">
        <v>105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96</v>
      </c>
      <c r="BC1059">
        <v>7</v>
      </c>
      <c r="BD1059" t="s">
        <v>106</v>
      </c>
      <c r="BE1059">
        <v>1</v>
      </c>
      <c r="BF1059" t="s">
        <v>96</v>
      </c>
      <c r="BG1059" t="s">
        <v>155</v>
      </c>
      <c r="BH1059">
        <v>1994</v>
      </c>
      <c r="BI1059" t="s">
        <v>156</v>
      </c>
      <c r="BJ1059">
        <v>2</v>
      </c>
      <c r="BK1059">
        <v>467</v>
      </c>
      <c r="BL1059" t="s">
        <v>97</v>
      </c>
      <c r="BM1059" t="s">
        <v>97</v>
      </c>
      <c r="BN1059" t="s">
        <v>104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X1059">
        <v>0</v>
      </c>
      <c r="BY1059">
        <v>1</v>
      </c>
      <c r="BZ1059">
        <v>2009</v>
      </c>
      <c r="CA1059" t="s">
        <v>109</v>
      </c>
      <c r="CB1059" t="s">
        <v>110</v>
      </c>
      <c r="CC1059">
        <v>248000</v>
      </c>
    </row>
    <row r="1060" spans="1:81" x14ac:dyDescent="0.3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H1060" t="s">
        <v>119</v>
      </c>
      <c r="I1060" t="s">
        <v>84</v>
      </c>
      <c r="J1060" t="s">
        <v>85</v>
      </c>
      <c r="K1060" t="s">
        <v>86</v>
      </c>
      <c r="L1060" t="s">
        <v>87</v>
      </c>
      <c r="M1060" t="s">
        <v>153</v>
      </c>
      <c r="N1060" t="s">
        <v>89</v>
      </c>
      <c r="O1060" t="s">
        <v>89</v>
      </c>
      <c r="P1060" t="s">
        <v>90</v>
      </c>
      <c r="Q1060" t="s">
        <v>91</v>
      </c>
      <c r="R1060">
        <v>9</v>
      </c>
      <c r="S1060">
        <v>5</v>
      </c>
      <c r="T1060">
        <v>2008</v>
      </c>
      <c r="U1060">
        <v>2008</v>
      </c>
      <c r="V1060" t="s">
        <v>92</v>
      </c>
      <c r="W1060" t="s">
        <v>93</v>
      </c>
      <c r="X1060" t="s">
        <v>94</v>
      </c>
      <c r="Y1060" t="s">
        <v>94</v>
      </c>
      <c r="Z1060" t="s">
        <v>136</v>
      </c>
      <c r="AA1060">
        <v>154</v>
      </c>
      <c r="AB1060" t="s">
        <v>103</v>
      </c>
      <c r="AC1060" t="s">
        <v>97</v>
      </c>
      <c r="AD1060" t="s">
        <v>98</v>
      </c>
      <c r="AE1060" t="s">
        <v>103</v>
      </c>
      <c r="AF1060" t="s">
        <v>97</v>
      </c>
      <c r="AG1060" t="s">
        <v>129</v>
      </c>
      <c r="AH1060" t="s">
        <v>100</v>
      </c>
      <c r="AI1060">
        <v>936</v>
      </c>
      <c r="AJ1060" t="s">
        <v>101</v>
      </c>
      <c r="AK1060">
        <v>0</v>
      </c>
      <c r="AL1060">
        <v>168</v>
      </c>
      <c r="AM1060">
        <v>1104</v>
      </c>
      <c r="AN1060" t="s">
        <v>102</v>
      </c>
      <c r="AO1060" t="s">
        <v>103</v>
      </c>
      <c r="AP1060" t="s">
        <v>104</v>
      </c>
      <c r="AQ1060" t="s">
        <v>105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103</v>
      </c>
      <c r="BC1060">
        <v>10</v>
      </c>
      <c r="BD1060" t="s">
        <v>106</v>
      </c>
      <c r="BE1060">
        <v>1</v>
      </c>
      <c r="BF1060" t="s">
        <v>96</v>
      </c>
      <c r="BG1060" t="s">
        <v>107</v>
      </c>
      <c r="BH1060">
        <v>2008</v>
      </c>
      <c r="BI1060" t="s">
        <v>156</v>
      </c>
      <c r="BJ1060">
        <v>3</v>
      </c>
      <c r="BK1060">
        <v>836</v>
      </c>
      <c r="BL1060" t="s">
        <v>97</v>
      </c>
      <c r="BM1060" t="s">
        <v>97</v>
      </c>
      <c r="BN1060" t="s">
        <v>104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X1060">
        <v>0</v>
      </c>
      <c r="BY1060">
        <v>7</v>
      </c>
      <c r="BZ1060">
        <v>2009</v>
      </c>
      <c r="CA1060" t="s">
        <v>109</v>
      </c>
      <c r="CB1060" t="s">
        <v>110</v>
      </c>
      <c r="CC1060">
        <v>335000</v>
      </c>
    </row>
    <row r="1061" spans="1:81" x14ac:dyDescent="0.3">
      <c r="A1061">
        <v>1060</v>
      </c>
      <c r="B1061">
        <v>50</v>
      </c>
      <c r="C1061" t="s">
        <v>81</v>
      </c>
      <c r="E1061">
        <v>11275</v>
      </c>
      <c r="F1061" t="s">
        <v>82</v>
      </c>
      <c r="H1061" t="s">
        <v>119</v>
      </c>
      <c r="I1061" t="s">
        <v>198</v>
      </c>
      <c r="J1061" t="s">
        <v>85</v>
      </c>
      <c r="K1061" t="s">
        <v>121</v>
      </c>
      <c r="L1061" t="s">
        <v>193</v>
      </c>
      <c r="M1061" t="s">
        <v>122</v>
      </c>
      <c r="N1061" t="s">
        <v>89</v>
      </c>
      <c r="O1061" t="s">
        <v>89</v>
      </c>
      <c r="P1061" t="s">
        <v>90</v>
      </c>
      <c r="Q1061" t="s">
        <v>131</v>
      </c>
      <c r="R1061">
        <v>6</v>
      </c>
      <c r="S1061">
        <v>7</v>
      </c>
      <c r="T1061">
        <v>1932</v>
      </c>
      <c r="U1061">
        <v>1950</v>
      </c>
      <c r="V1061" t="s">
        <v>92</v>
      </c>
      <c r="W1061" t="s">
        <v>93</v>
      </c>
      <c r="X1061" t="s">
        <v>115</v>
      </c>
      <c r="Y1061" t="s">
        <v>115</v>
      </c>
      <c r="Z1061" t="s">
        <v>95</v>
      </c>
      <c r="AA1061">
        <v>480</v>
      </c>
      <c r="AB1061" t="s">
        <v>97</v>
      </c>
      <c r="AC1061" t="s">
        <v>97</v>
      </c>
      <c r="AD1061" t="s">
        <v>117</v>
      </c>
      <c r="AE1061" t="s">
        <v>97</v>
      </c>
      <c r="AF1061" t="s">
        <v>97</v>
      </c>
      <c r="AG1061" t="s">
        <v>120</v>
      </c>
      <c r="AH1061" t="s">
        <v>152</v>
      </c>
      <c r="AI1061">
        <v>297</v>
      </c>
      <c r="AJ1061" t="s">
        <v>171</v>
      </c>
      <c r="AK1061">
        <v>557</v>
      </c>
      <c r="AL1061">
        <v>0</v>
      </c>
      <c r="AM1061">
        <v>854</v>
      </c>
      <c r="AN1061" t="s">
        <v>102</v>
      </c>
      <c r="AO1061" t="s">
        <v>97</v>
      </c>
      <c r="AP1061" t="s">
        <v>104</v>
      </c>
      <c r="AQ1061" t="s">
        <v>105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97</v>
      </c>
      <c r="BC1061">
        <v>7</v>
      </c>
      <c r="BD1061" t="s">
        <v>106</v>
      </c>
      <c r="BE1061">
        <v>1</v>
      </c>
      <c r="BF1061" t="s">
        <v>96</v>
      </c>
      <c r="BG1061" t="s">
        <v>126</v>
      </c>
      <c r="BH1061">
        <v>1977</v>
      </c>
      <c r="BI1061" t="s">
        <v>101</v>
      </c>
      <c r="BJ1061">
        <v>2</v>
      </c>
      <c r="BK1061">
        <v>432</v>
      </c>
      <c r="BL1061" t="s">
        <v>97</v>
      </c>
      <c r="BM1061" t="s">
        <v>146</v>
      </c>
      <c r="BN1061" t="s">
        <v>104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X1061">
        <v>0</v>
      </c>
      <c r="BY1061">
        <v>3</v>
      </c>
      <c r="BZ1061">
        <v>2007</v>
      </c>
      <c r="CA1061" t="s">
        <v>109</v>
      </c>
      <c r="CB1061" t="s">
        <v>110</v>
      </c>
      <c r="CC1061">
        <v>220000</v>
      </c>
    </row>
    <row r="1062" spans="1:81" x14ac:dyDescent="0.3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H1062" t="s">
        <v>83</v>
      </c>
      <c r="I1062" t="s">
        <v>84</v>
      </c>
      <c r="J1062" t="s">
        <v>85</v>
      </c>
      <c r="K1062" t="s">
        <v>86</v>
      </c>
      <c r="L1062" t="s">
        <v>87</v>
      </c>
      <c r="M1062" t="s">
        <v>199</v>
      </c>
      <c r="N1062" t="s">
        <v>89</v>
      </c>
      <c r="O1062" t="s">
        <v>89</v>
      </c>
      <c r="P1062" t="s">
        <v>178</v>
      </c>
      <c r="Q1062" t="s">
        <v>114</v>
      </c>
      <c r="R1062">
        <v>8</v>
      </c>
      <c r="S1062">
        <v>5</v>
      </c>
      <c r="T1062">
        <v>2001</v>
      </c>
      <c r="U1062">
        <v>2001</v>
      </c>
      <c r="V1062" t="s">
        <v>92</v>
      </c>
      <c r="W1062" t="s">
        <v>93</v>
      </c>
      <c r="X1062" t="s">
        <v>179</v>
      </c>
      <c r="Y1062" t="s">
        <v>180</v>
      </c>
      <c r="Z1062" t="s">
        <v>116</v>
      </c>
      <c r="AA1062">
        <v>0</v>
      </c>
      <c r="AB1062" t="s">
        <v>96</v>
      </c>
      <c r="AC1062" t="s">
        <v>97</v>
      </c>
      <c r="AD1062" t="s">
        <v>98</v>
      </c>
      <c r="AE1062" t="s">
        <v>96</v>
      </c>
      <c r="AF1062" t="s">
        <v>97</v>
      </c>
      <c r="AG1062" t="s">
        <v>120</v>
      </c>
      <c r="AH1062" t="s">
        <v>100</v>
      </c>
      <c r="AI1062">
        <v>616</v>
      </c>
      <c r="AJ1062" t="s">
        <v>101</v>
      </c>
      <c r="AK1062">
        <v>0</v>
      </c>
      <c r="AL1062">
        <v>722</v>
      </c>
      <c r="AM1062">
        <v>1338</v>
      </c>
      <c r="AN1062" t="s">
        <v>102</v>
      </c>
      <c r="AO1062" t="s">
        <v>103</v>
      </c>
      <c r="AP1062" t="s">
        <v>104</v>
      </c>
      <c r="AQ1062" t="s">
        <v>105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96</v>
      </c>
      <c r="BC1062">
        <v>6</v>
      </c>
      <c r="BD1062" t="s">
        <v>106</v>
      </c>
      <c r="BE1062">
        <v>0</v>
      </c>
      <c r="BG1062" t="s">
        <v>107</v>
      </c>
      <c r="BH1062">
        <v>2001</v>
      </c>
      <c r="BI1062" t="s">
        <v>156</v>
      </c>
      <c r="BJ1062">
        <v>2</v>
      </c>
      <c r="BK1062">
        <v>582</v>
      </c>
      <c r="BL1062" t="s">
        <v>97</v>
      </c>
      <c r="BM1062" t="s">
        <v>97</v>
      </c>
      <c r="BN1062" t="s">
        <v>104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X1062">
        <v>0</v>
      </c>
      <c r="BY1062">
        <v>4</v>
      </c>
      <c r="BZ1062">
        <v>2010</v>
      </c>
      <c r="CA1062" t="s">
        <v>109</v>
      </c>
      <c r="CB1062" t="s">
        <v>110</v>
      </c>
      <c r="CC1062">
        <v>213500</v>
      </c>
    </row>
    <row r="1063" spans="1:81" x14ac:dyDescent="0.3">
      <c r="A1063">
        <v>1062</v>
      </c>
      <c r="B1063">
        <v>30</v>
      </c>
      <c r="C1063" t="s">
        <v>182</v>
      </c>
      <c r="D1063">
        <v>120</v>
      </c>
      <c r="E1063">
        <v>18000</v>
      </c>
      <c r="F1063" t="s">
        <v>173</v>
      </c>
      <c r="H1063" t="s">
        <v>83</v>
      </c>
      <c r="I1063" t="s">
        <v>194</v>
      </c>
      <c r="J1063" t="s">
        <v>85</v>
      </c>
      <c r="K1063" t="s">
        <v>86</v>
      </c>
      <c r="L1063" t="s">
        <v>87</v>
      </c>
      <c r="M1063" t="s">
        <v>175</v>
      </c>
      <c r="N1063" t="s">
        <v>89</v>
      </c>
      <c r="O1063" t="s">
        <v>89</v>
      </c>
      <c r="P1063" t="s">
        <v>90</v>
      </c>
      <c r="Q1063" t="s">
        <v>114</v>
      </c>
      <c r="R1063">
        <v>3</v>
      </c>
      <c r="S1063">
        <v>4</v>
      </c>
      <c r="T1063">
        <v>1935</v>
      </c>
      <c r="U1063">
        <v>1950</v>
      </c>
      <c r="V1063" t="s">
        <v>92</v>
      </c>
      <c r="W1063" t="s">
        <v>93</v>
      </c>
      <c r="X1063" t="s">
        <v>115</v>
      </c>
      <c r="Y1063" t="s">
        <v>115</v>
      </c>
      <c r="Z1063" t="s">
        <v>116</v>
      </c>
      <c r="AA1063">
        <v>0</v>
      </c>
      <c r="AB1063" t="s">
        <v>146</v>
      </c>
      <c r="AC1063" t="s">
        <v>97</v>
      </c>
      <c r="AD1063" t="s">
        <v>117</v>
      </c>
      <c r="AE1063" t="s">
        <v>97</v>
      </c>
      <c r="AF1063" t="s">
        <v>97</v>
      </c>
      <c r="AG1063" t="s">
        <v>99</v>
      </c>
      <c r="AH1063" t="s">
        <v>101</v>
      </c>
      <c r="AI1063">
        <v>0</v>
      </c>
      <c r="AJ1063" t="s">
        <v>101</v>
      </c>
      <c r="AK1063">
        <v>0</v>
      </c>
      <c r="AL1063">
        <v>894</v>
      </c>
      <c r="AM1063">
        <v>894</v>
      </c>
      <c r="AN1063" t="s">
        <v>102</v>
      </c>
      <c r="AO1063" t="s">
        <v>97</v>
      </c>
      <c r="AP1063" t="s">
        <v>104</v>
      </c>
      <c r="AQ1063" t="s">
        <v>105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97</v>
      </c>
      <c r="BC1063">
        <v>6</v>
      </c>
      <c r="BD1063" t="s">
        <v>106</v>
      </c>
      <c r="BE1063">
        <v>0</v>
      </c>
      <c r="BG1063" t="s">
        <v>126</v>
      </c>
      <c r="BH1063">
        <v>1994</v>
      </c>
      <c r="BI1063" t="s">
        <v>108</v>
      </c>
      <c r="BJ1063">
        <v>3</v>
      </c>
      <c r="BK1063">
        <v>1248</v>
      </c>
      <c r="BL1063" t="s">
        <v>97</v>
      </c>
      <c r="BM1063" t="s">
        <v>97</v>
      </c>
      <c r="BN1063" t="s">
        <v>104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W1063" t="s">
        <v>134</v>
      </c>
      <c r="BX1063">
        <v>560</v>
      </c>
      <c r="BY1063">
        <v>8</v>
      </c>
      <c r="BZ1063">
        <v>2008</v>
      </c>
      <c r="CA1063" t="s">
        <v>207</v>
      </c>
      <c r="CB1063" t="s">
        <v>110</v>
      </c>
      <c r="CC1063">
        <v>81000</v>
      </c>
    </row>
    <row r="1064" spans="1:81" x14ac:dyDescent="0.3">
      <c r="A1064">
        <v>1063</v>
      </c>
      <c r="B1064">
        <v>190</v>
      </c>
      <c r="C1064" t="s">
        <v>141</v>
      </c>
      <c r="D1064">
        <v>85</v>
      </c>
      <c r="E1064">
        <v>13600</v>
      </c>
      <c r="F1064" t="s">
        <v>82</v>
      </c>
      <c r="G1064" t="s">
        <v>173</v>
      </c>
      <c r="H1064" t="s">
        <v>83</v>
      </c>
      <c r="I1064" t="s">
        <v>84</v>
      </c>
      <c r="J1064" t="s">
        <v>85</v>
      </c>
      <c r="K1064" t="s">
        <v>86</v>
      </c>
      <c r="L1064" t="s">
        <v>87</v>
      </c>
      <c r="M1064" t="s">
        <v>142</v>
      </c>
      <c r="N1064" t="s">
        <v>89</v>
      </c>
      <c r="O1064" t="s">
        <v>89</v>
      </c>
      <c r="P1064" t="s">
        <v>148</v>
      </c>
      <c r="Q1064" t="s">
        <v>91</v>
      </c>
      <c r="R1064">
        <v>5</v>
      </c>
      <c r="S1064">
        <v>5</v>
      </c>
      <c r="T1064">
        <v>1900</v>
      </c>
      <c r="U1064">
        <v>1950</v>
      </c>
      <c r="V1064" t="s">
        <v>92</v>
      </c>
      <c r="W1064" t="s">
        <v>93</v>
      </c>
      <c r="X1064" t="s">
        <v>123</v>
      </c>
      <c r="Y1064" t="s">
        <v>123</v>
      </c>
      <c r="Z1064" t="s">
        <v>116</v>
      </c>
      <c r="AA1064">
        <v>0</v>
      </c>
      <c r="AB1064" t="s">
        <v>97</v>
      </c>
      <c r="AC1064" t="s">
        <v>97</v>
      </c>
      <c r="AD1064" t="s">
        <v>125</v>
      </c>
      <c r="AE1064" t="s">
        <v>97</v>
      </c>
      <c r="AF1064" t="s">
        <v>97</v>
      </c>
      <c r="AG1064" t="s">
        <v>99</v>
      </c>
      <c r="AH1064" t="s">
        <v>101</v>
      </c>
      <c r="AI1064">
        <v>0</v>
      </c>
      <c r="AJ1064" t="s">
        <v>101</v>
      </c>
      <c r="AK1064">
        <v>0</v>
      </c>
      <c r="AL1064">
        <v>662</v>
      </c>
      <c r="AM1064">
        <v>662</v>
      </c>
      <c r="AN1064" t="s">
        <v>102</v>
      </c>
      <c r="AO1064" t="s">
        <v>97</v>
      </c>
      <c r="AP1064" t="s">
        <v>176</v>
      </c>
      <c r="AQ1064" t="s">
        <v>105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97</v>
      </c>
      <c r="BC1064">
        <v>10</v>
      </c>
      <c r="BD1064" t="s">
        <v>223</v>
      </c>
      <c r="BE1064">
        <v>0</v>
      </c>
      <c r="BG1064" t="s">
        <v>126</v>
      </c>
      <c r="BH1064">
        <v>1945</v>
      </c>
      <c r="BI1064" t="s">
        <v>101</v>
      </c>
      <c r="BJ1064">
        <v>2</v>
      </c>
      <c r="BK1064">
        <v>560</v>
      </c>
      <c r="BL1064" t="s">
        <v>97</v>
      </c>
      <c r="BM1064" t="s">
        <v>97</v>
      </c>
      <c r="BN1064" t="s">
        <v>104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X1064">
        <v>0</v>
      </c>
      <c r="BY1064">
        <v>9</v>
      </c>
      <c r="BZ1064">
        <v>2007</v>
      </c>
      <c r="CA1064" t="s">
        <v>109</v>
      </c>
      <c r="CB1064" t="s">
        <v>110</v>
      </c>
      <c r="CC1064">
        <v>90000</v>
      </c>
    </row>
    <row r="1065" spans="1:81" x14ac:dyDescent="0.3">
      <c r="A1065">
        <v>1064</v>
      </c>
      <c r="B1065">
        <v>30</v>
      </c>
      <c r="C1065" t="s">
        <v>141</v>
      </c>
      <c r="D1065">
        <v>50</v>
      </c>
      <c r="E1065">
        <v>6000</v>
      </c>
      <c r="F1065" t="s">
        <v>82</v>
      </c>
      <c r="H1065" t="s">
        <v>83</v>
      </c>
      <c r="I1065" t="s">
        <v>84</v>
      </c>
      <c r="J1065" t="s">
        <v>85</v>
      </c>
      <c r="K1065" t="s">
        <v>86</v>
      </c>
      <c r="L1065" t="s">
        <v>87</v>
      </c>
      <c r="M1065" t="s">
        <v>142</v>
      </c>
      <c r="N1065" t="s">
        <v>143</v>
      </c>
      <c r="O1065" t="s">
        <v>89</v>
      </c>
      <c r="P1065" t="s">
        <v>90</v>
      </c>
      <c r="Q1065" t="s">
        <v>114</v>
      </c>
      <c r="R1065">
        <v>6</v>
      </c>
      <c r="S1065">
        <v>6</v>
      </c>
      <c r="T1065">
        <v>1925</v>
      </c>
      <c r="U1065">
        <v>1980</v>
      </c>
      <c r="V1065" t="s">
        <v>92</v>
      </c>
      <c r="W1065" t="s">
        <v>93</v>
      </c>
      <c r="X1065" t="s">
        <v>115</v>
      </c>
      <c r="Y1065" t="s">
        <v>115</v>
      </c>
      <c r="Z1065" t="s">
        <v>116</v>
      </c>
      <c r="AA1065">
        <v>0</v>
      </c>
      <c r="AB1065" t="s">
        <v>97</v>
      </c>
      <c r="AC1065" t="s">
        <v>96</v>
      </c>
      <c r="AD1065" t="s">
        <v>125</v>
      </c>
      <c r="AE1065" t="s">
        <v>97</v>
      </c>
      <c r="AF1065" t="s">
        <v>97</v>
      </c>
      <c r="AG1065" t="s">
        <v>99</v>
      </c>
      <c r="AH1065" t="s">
        <v>140</v>
      </c>
      <c r="AI1065">
        <v>397</v>
      </c>
      <c r="AJ1065" t="s">
        <v>101</v>
      </c>
      <c r="AK1065">
        <v>0</v>
      </c>
      <c r="AL1065">
        <v>706</v>
      </c>
      <c r="AM1065">
        <v>1103</v>
      </c>
      <c r="AN1065" t="s">
        <v>102</v>
      </c>
      <c r="AO1065" t="s">
        <v>96</v>
      </c>
      <c r="AP1065" t="s">
        <v>104</v>
      </c>
      <c r="AQ1065" t="s">
        <v>105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96</v>
      </c>
      <c r="BC1065">
        <v>5</v>
      </c>
      <c r="BD1065" t="s">
        <v>106</v>
      </c>
      <c r="BE1065">
        <v>1</v>
      </c>
      <c r="BF1065" t="s">
        <v>96</v>
      </c>
      <c r="BG1065" t="s">
        <v>126</v>
      </c>
      <c r="BH1065">
        <v>1976</v>
      </c>
      <c r="BI1065" t="s">
        <v>101</v>
      </c>
      <c r="BJ1065">
        <v>2</v>
      </c>
      <c r="BK1065">
        <v>440</v>
      </c>
      <c r="BL1065" t="s">
        <v>97</v>
      </c>
      <c r="BM1065" t="s">
        <v>97</v>
      </c>
      <c r="BN1065" t="s">
        <v>104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V1065" t="s">
        <v>133</v>
      </c>
      <c r="BX1065">
        <v>0</v>
      </c>
      <c r="BY1065">
        <v>7</v>
      </c>
      <c r="BZ1065">
        <v>2006</v>
      </c>
      <c r="CA1065" t="s">
        <v>109</v>
      </c>
      <c r="CB1065" t="s">
        <v>110</v>
      </c>
      <c r="CC1065">
        <v>110500</v>
      </c>
    </row>
    <row r="1066" spans="1:81" x14ac:dyDescent="0.3">
      <c r="A1066">
        <v>1065</v>
      </c>
      <c r="B1066">
        <v>20</v>
      </c>
      <c r="C1066" t="s">
        <v>81</v>
      </c>
      <c r="E1066">
        <v>11000</v>
      </c>
      <c r="F1066" t="s">
        <v>82</v>
      </c>
      <c r="H1066" t="s">
        <v>119</v>
      </c>
      <c r="I1066" t="s">
        <v>84</v>
      </c>
      <c r="J1066" t="s">
        <v>85</v>
      </c>
      <c r="K1066" t="s">
        <v>165</v>
      </c>
      <c r="L1066" t="s">
        <v>87</v>
      </c>
      <c r="M1066" t="s">
        <v>270</v>
      </c>
      <c r="N1066" t="s">
        <v>89</v>
      </c>
      <c r="O1066" t="s">
        <v>89</v>
      </c>
      <c r="P1066" t="s">
        <v>90</v>
      </c>
      <c r="Q1066" t="s">
        <v>114</v>
      </c>
      <c r="R1066">
        <v>5</v>
      </c>
      <c r="S1066">
        <v>6</v>
      </c>
      <c r="T1066">
        <v>1966</v>
      </c>
      <c r="U1066">
        <v>1966</v>
      </c>
      <c r="V1066" t="s">
        <v>92</v>
      </c>
      <c r="W1066" t="s">
        <v>93</v>
      </c>
      <c r="X1066" t="s">
        <v>160</v>
      </c>
      <c r="Y1066" t="s">
        <v>160</v>
      </c>
      <c r="Z1066" t="s">
        <v>95</v>
      </c>
      <c r="AA1066">
        <v>200</v>
      </c>
      <c r="AB1066" t="s">
        <v>97</v>
      </c>
      <c r="AC1066" t="s">
        <v>97</v>
      </c>
      <c r="AD1066" t="s">
        <v>117</v>
      </c>
      <c r="AE1066" t="s">
        <v>97</v>
      </c>
      <c r="AF1066" t="s">
        <v>97</v>
      </c>
      <c r="AG1066" t="s">
        <v>120</v>
      </c>
      <c r="AH1066" t="s">
        <v>140</v>
      </c>
      <c r="AI1066">
        <v>740</v>
      </c>
      <c r="AJ1066" t="s">
        <v>152</v>
      </c>
      <c r="AK1066">
        <v>230</v>
      </c>
      <c r="AL1066">
        <v>184</v>
      </c>
      <c r="AM1066">
        <v>1154</v>
      </c>
      <c r="AN1066" t="s">
        <v>102</v>
      </c>
      <c r="AO1066" t="s">
        <v>103</v>
      </c>
      <c r="AP1066" t="s">
        <v>104</v>
      </c>
      <c r="AQ1066" t="s">
        <v>105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97</v>
      </c>
      <c r="BC1066">
        <v>6</v>
      </c>
      <c r="BD1066" t="s">
        <v>106</v>
      </c>
      <c r="BE1066">
        <v>1</v>
      </c>
      <c r="BF1066" t="s">
        <v>211</v>
      </c>
      <c r="BG1066" t="s">
        <v>107</v>
      </c>
      <c r="BH1066">
        <v>1966</v>
      </c>
      <c r="BI1066" t="s">
        <v>108</v>
      </c>
      <c r="BJ1066">
        <v>2</v>
      </c>
      <c r="BK1066">
        <v>480</v>
      </c>
      <c r="BL1066" t="s">
        <v>97</v>
      </c>
      <c r="BM1066" t="s">
        <v>97</v>
      </c>
      <c r="BN1066" t="s">
        <v>104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V1066" t="s">
        <v>133</v>
      </c>
      <c r="BX1066">
        <v>0</v>
      </c>
      <c r="BY1066">
        <v>11</v>
      </c>
      <c r="BZ1066">
        <v>2009</v>
      </c>
      <c r="CA1066" t="s">
        <v>109</v>
      </c>
      <c r="CB1066" t="s">
        <v>110</v>
      </c>
      <c r="CC1066">
        <v>154000</v>
      </c>
    </row>
    <row r="1067" spans="1:81" x14ac:dyDescent="0.3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H1067" t="s">
        <v>83</v>
      </c>
      <c r="I1067" t="s">
        <v>84</v>
      </c>
      <c r="J1067" t="s">
        <v>85</v>
      </c>
      <c r="K1067" t="s">
        <v>86</v>
      </c>
      <c r="L1067" t="s">
        <v>193</v>
      </c>
      <c r="M1067" t="s">
        <v>204</v>
      </c>
      <c r="N1067" t="s">
        <v>89</v>
      </c>
      <c r="O1067" t="s">
        <v>89</v>
      </c>
      <c r="P1067" t="s">
        <v>90</v>
      </c>
      <c r="Q1067" t="s">
        <v>91</v>
      </c>
      <c r="R1067">
        <v>7</v>
      </c>
      <c r="S1067">
        <v>5</v>
      </c>
      <c r="T1067">
        <v>1996</v>
      </c>
      <c r="U1067">
        <v>1997</v>
      </c>
      <c r="V1067" t="s">
        <v>92</v>
      </c>
      <c r="W1067" t="s">
        <v>93</v>
      </c>
      <c r="X1067" t="s">
        <v>123</v>
      </c>
      <c r="Y1067" t="s">
        <v>123</v>
      </c>
      <c r="Z1067" t="s">
        <v>116</v>
      </c>
      <c r="AA1067">
        <v>0</v>
      </c>
      <c r="AB1067" t="s">
        <v>96</v>
      </c>
      <c r="AC1067" t="s">
        <v>97</v>
      </c>
      <c r="AD1067" t="s">
        <v>98</v>
      </c>
      <c r="AE1067" t="s">
        <v>103</v>
      </c>
      <c r="AF1067" t="s">
        <v>97</v>
      </c>
      <c r="AG1067" t="s">
        <v>96</v>
      </c>
      <c r="AH1067" t="s">
        <v>100</v>
      </c>
      <c r="AI1067">
        <v>1201</v>
      </c>
      <c r="AJ1067" t="s">
        <v>101</v>
      </c>
      <c r="AK1067">
        <v>0</v>
      </c>
      <c r="AL1067">
        <v>105</v>
      </c>
      <c r="AM1067">
        <v>1306</v>
      </c>
      <c r="AN1067" t="s">
        <v>102</v>
      </c>
      <c r="AO1067" t="s">
        <v>103</v>
      </c>
      <c r="AP1067" t="s">
        <v>104</v>
      </c>
      <c r="AQ1067" t="s">
        <v>105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96</v>
      </c>
      <c r="BC1067">
        <v>7</v>
      </c>
      <c r="BD1067" t="s">
        <v>106</v>
      </c>
      <c r="BE1067">
        <v>0</v>
      </c>
      <c r="BG1067" t="s">
        <v>107</v>
      </c>
      <c r="BH1067">
        <v>1996</v>
      </c>
      <c r="BI1067" t="s">
        <v>108</v>
      </c>
      <c r="BJ1067">
        <v>2</v>
      </c>
      <c r="BK1067">
        <v>533</v>
      </c>
      <c r="BL1067" t="s">
        <v>97</v>
      </c>
      <c r="BM1067" t="s">
        <v>97</v>
      </c>
      <c r="BN1067" t="s">
        <v>104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X1067">
        <v>0</v>
      </c>
      <c r="BY1067">
        <v>4</v>
      </c>
      <c r="BZ1067">
        <v>2010</v>
      </c>
      <c r="CA1067" t="s">
        <v>109</v>
      </c>
      <c r="CB1067" t="s">
        <v>110</v>
      </c>
      <c r="CC1067">
        <v>328000</v>
      </c>
    </row>
    <row r="1068" spans="1:81" x14ac:dyDescent="0.3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H1068" t="s">
        <v>119</v>
      </c>
      <c r="I1068" t="s">
        <v>84</v>
      </c>
      <c r="J1068" t="s">
        <v>85</v>
      </c>
      <c r="K1068" t="s">
        <v>86</v>
      </c>
      <c r="L1068" t="s">
        <v>87</v>
      </c>
      <c r="M1068" t="s">
        <v>192</v>
      </c>
      <c r="N1068" t="s">
        <v>89</v>
      </c>
      <c r="O1068" t="s">
        <v>89</v>
      </c>
      <c r="P1068" t="s">
        <v>90</v>
      </c>
      <c r="Q1068" t="s">
        <v>91</v>
      </c>
      <c r="R1068">
        <v>6</v>
      </c>
      <c r="S1068">
        <v>7</v>
      </c>
      <c r="T1068">
        <v>1993</v>
      </c>
      <c r="U1068">
        <v>1994</v>
      </c>
      <c r="V1068" t="s">
        <v>92</v>
      </c>
      <c r="W1068" t="s">
        <v>93</v>
      </c>
      <c r="X1068" t="s">
        <v>94</v>
      </c>
      <c r="Y1068" t="s">
        <v>94</v>
      </c>
      <c r="Z1068" t="s">
        <v>116</v>
      </c>
      <c r="AA1068">
        <v>0</v>
      </c>
      <c r="AB1068" t="s">
        <v>96</v>
      </c>
      <c r="AC1068" t="s">
        <v>97</v>
      </c>
      <c r="AD1068" t="s">
        <v>98</v>
      </c>
      <c r="AE1068" t="s">
        <v>96</v>
      </c>
      <c r="AF1068" t="s">
        <v>97</v>
      </c>
      <c r="AG1068" t="s">
        <v>99</v>
      </c>
      <c r="AH1068" t="s">
        <v>101</v>
      </c>
      <c r="AI1068">
        <v>0</v>
      </c>
      <c r="AJ1068" t="s">
        <v>101</v>
      </c>
      <c r="AK1068">
        <v>0</v>
      </c>
      <c r="AL1068">
        <v>799</v>
      </c>
      <c r="AM1068">
        <v>799</v>
      </c>
      <c r="AN1068" t="s">
        <v>102</v>
      </c>
      <c r="AO1068" t="s">
        <v>96</v>
      </c>
      <c r="AP1068" t="s">
        <v>104</v>
      </c>
      <c r="AQ1068" t="s">
        <v>105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97</v>
      </c>
      <c r="BC1068">
        <v>7</v>
      </c>
      <c r="BD1068" t="s">
        <v>106</v>
      </c>
      <c r="BE1068">
        <v>1</v>
      </c>
      <c r="BF1068" t="s">
        <v>97</v>
      </c>
      <c r="BG1068" t="s">
        <v>107</v>
      </c>
      <c r="BH1068">
        <v>1993</v>
      </c>
      <c r="BI1068" t="s">
        <v>108</v>
      </c>
      <c r="BJ1068">
        <v>2</v>
      </c>
      <c r="BK1068">
        <v>380</v>
      </c>
      <c r="BL1068" t="s">
        <v>97</v>
      </c>
      <c r="BM1068" t="s">
        <v>97</v>
      </c>
      <c r="BN1068" t="s">
        <v>104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X1068">
        <v>0</v>
      </c>
      <c r="BY1068">
        <v>5</v>
      </c>
      <c r="BZ1068">
        <v>2009</v>
      </c>
      <c r="CA1068" t="s">
        <v>109</v>
      </c>
      <c r="CB1068" t="s">
        <v>110</v>
      </c>
      <c r="CC1068">
        <v>178000</v>
      </c>
    </row>
    <row r="1069" spans="1:81" x14ac:dyDescent="0.3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H1069" t="s">
        <v>83</v>
      </c>
      <c r="I1069" t="s">
        <v>84</v>
      </c>
      <c r="J1069" t="s">
        <v>85</v>
      </c>
      <c r="K1069" t="s">
        <v>86</v>
      </c>
      <c r="L1069" t="s">
        <v>193</v>
      </c>
      <c r="M1069" t="s">
        <v>270</v>
      </c>
      <c r="N1069" t="s">
        <v>89</v>
      </c>
      <c r="O1069" t="s">
        <v>89</v>
      </c>
      <c r="P1069" t="s">
        <v>90</v>
      </c>
      <c r="Q1069" t="s">
        <v>91</v>
      </c>
      <c r="R1069">
        <v>6</v>
      </c>
      <c r="S1069">
        <v>6</v>
      </c>
      <c r="T1069">
        <v>1964</v>
      </c>
      <c r="U1069">
        <v>1964</v>
      </c>
      <c r="V1069" t="s">
        <v>92</v>
      </c>
      <c r="W1069" t="s">
        <v>93</v>
      </c>
      <c r="X1069" t="s">
        <v>139</v>
      </c>
      <c r="Y1069" t="s">
        <v>139</v>
      </c>
      <c r="Z1069" t="s">
        <v>95</v>
      </c>
      <c r="AA1069">
        <v>360</v>
      </c>
      <c r="AB1069" t="s">
        <v>97</v>
      </c>
      <c r="AC1069" t="s">
        <v>97</v>
      </c>
      <c r="AD1069" t="s">
        <v>117</v>
      </c>
      <c r="AE1069" t="s">
        <v>97</v>
      </c>
      <c r="AF1069" t="s">
        <v>97</v>
      </c>
      <c r="AG1069" t="s">
        <v>96</v>
      </c>
      <c r="AH1069" t="s">
        <v>100</v>
      </c>
      <c r="AI1069">
        <v>674</v>
      </c>
      <c r="AJ1069" t="s">
        <v>171</v>
      </c>
      <c r="AK1069">
        <v>106</v>
      </c>
      <c r="AL1069">
        <v>0</v>
      </c>
      <c r="AM1069">
        <v>780</v>
      </c>
      <c r="AN1069" t="s">
        <v>102</v>
      </c>
      <c r="AO1069" t="s">
        <v>97</v>
      </c>
      <c r="AP1069" t="s">
        <v>104</v>
      </c>
      <c r="AQ1069" t="s">
        <v>105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97</v>
      </c>
      <c r="BC1069">
        <v>7</v>
      </c>
      <c r="BD1069" t="s">
        <v>106</v>
      </c>
      <c r="BE1069">
        <v>0</v>
      </c>
      <c r="BG1069" t="s">
        <v>107</v>
      </c>
      <c r="BH1069">
        <v>1964</v>
      </c>
      <c r="BI1069" t="s">
        <v>108</v>
      </c>
      <c r="BJ1069">
        <v>2</v>
      </c>
      <c r="BK1069">
        <v>442</v>
      </c>
      <c r="BL1069" t="s">
        <v>97</v>
      </c>
      <c r="BM1069" t="s">
        <v>97</v>
      </c>
      <c r="BN1069" t="s">
        <v>104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X1069">
        <v>0</v>
      </c>
      <c r="BY1069">
        <v>6</v>
      </c>
      <c r="BZ1069">
        <v>2008</v>
      </c>
      <c r="CA1069" t="s">
        <v>109</v>
      </c>
      <c r="CB1069" t="s">
        <v>110</v>
      </c>
      <c r="CC1069">
        <v>167900</v>
      </c>
    </row>
    <row r="1070" spans="1:81" x14ac:dyDescent="0.3">
      <c r="A1070">
        <v>1069</v>
      </c>
      <c r="B1070">
        <v>160</v>
      </c>
      <c r="C1070" t="s">
        <v>141</v>
      </c>
      <c r="D1070">
        <v>42</v>
      </c>
      <c r="E1070">
        <v>3964</v>
      </c>
      <c r="F1070" t="s">
        <v>82</v>
      </c>
      <c r="H1070" t="s">
        <v>83</v>
      </c>
      <c r="I1070" t="s">
        <v>84</v>
      </c>
      <c r="J1070" t="s">
        <v>85</v>
      </c>
      <c r="K1070" t="s">
        <v>86</v>
      </c>
      <c r="L1070" t="s">
        <v>87</v>
      </c>
      <c r="M1070" t="s">
        <v>177</v>
      </c>
      <c r="N1070" t="s">
        <v>89</v>
      </c>
      <c r="O1070" t="s">
        <v>89</v>
      </c>
      <c r="P1070" t="s">
        <v>178</v>
      </c>
      <c r="Q1070" t="s">
        <v>91</v>
      </c>
      <c r="R1070">
        <v>6</v>
      </c>
      <c r="S1070">
        <v>4</v>
      </c>
      <c r="T1070">
        <v>1973</v>
      </c>
      <c r="U1070">
        <v>1973</v>
      </c>
      <c r="V1070" t="s">
        <v>92</v>
      </c>
      <c r="W1070" t="s">
        <v>93</v>
      </c>
      <c r="X1070" t="s">
        <v>179</v>
      </c>
      <c r="Y1070" t="s">
        <v>180</v>
      </c>
      <c r="Z1070" t="s">
        <v>116</v>
      </c>
      <c r="AA1070">
        <v>0</v>
      </c>
      <c r="AB1070" t="s">
        <v>97</v>
      </c>
      <c r="AC1070" t="s">
        <v>97</v>
      </c>
      <c r="AD1070" t="s">
        <v>117</v>
      </c>
      <c r="AE1070" t="s">
        <v>96</v>
      </c>
      <c r="AF1070" t="s">
        <v>97</v>
      </c>
      <c r="AG1070" t="s">
        <v>99</v>
      </c>
      <c r="AH1070" t="s">
        <v>118</v>
      </c>
      <c r="AI1070">
        <v>837</v>
      </c>
      <c r="AJ1070" t="s">
        <v>101</v>
      </c>
      <c r="AK1070">
        <v>0</v>
      </c>
      <c r="AL1070">
        <v>105</v>
      </c>
      <c r="AM1070">
        <v>942</v>
      </c>
      <c r="AN1070" t="s">
        <v>102</v>
      </c>
      <c r="AO1070" t="s">
        <v>96</v>
      </c>
      <c r="AP1070" t="s">
        <v>104</v>
      </c>
      <c r="AQ1070" t="s">
        <v>105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97</v>
      </c>
      <c r="BC1070">
        <v>10</v>
      </c>
      <c r="BD1070" t="s">
        <v>220</v>
      </c>
      <c r="BE1070">
        <v>1</v>
      </c>
      <c r="BF1070" t="s">
        <v>96</v>
      </c>
      <c r="BG1070" t="s">
        <v>107</v>
      </c>
      <c r="BH1070">
        <v>1973</v>
      </c>
      <c r="BI1070" t="s">
        <v>156</v>
      </c>
      <c r="BJ1070">
        <v>2</v>
      </c>
      <c r="BK1070">
        <v>576</v>
      </c>
      <c r="BL1070" t="s">
        <v>97</v>
      </c>
      <c r="BM1070" t="s">
        <v>97</v>
      </c>
      <c r="BN1070" t="s">
        <v>104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V1070" t="s">
        <v>164</v>
      </c>
      <c r="BX1070">
        <v>0</v>
      </c>
      <c r="BY1070">
        <v>6</v>
      </c>
      <c r="BZ1070">
        <v>2006</v>
      </c>
      <c r="CA1070" t="s">
        <v>109</v>
      </c>
      <c r="CB1070" t="s">
        <v>110</v>
      </c>
      <c r="CC1070">
        <v>151400</v>
      </c>
    </row>
    <row r="1071" spans="1:81" x14ac:dyDescent="0.3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H1071" t="s">
        <v>83</v>
      </c>
      <c r="I1071" t="s">
        <v>84</v>
      </c>
      <c r="J1071" t="s">
        <v>85</v>
      </c>
      <c r="K1071" t="s">
        <v>86</v>
      </c>
      <c r="L1071" t="s">
        <v>87</v>
      </c>
      <c r="M1071" t="s">
        <v>270</v>
      </c>
      <c r="N1071" t="s">
        <v>89</v>
      </c>
      <c r="O1071" t="s">
        <v>89</v>
      </c>
      <c r="P1071" t="s">
        <v>90</v>
      </c>
      <c r="Q1071" t="s">
        <v>149</v>
      </c>
      <c r="R1071">
        <v>5</v>
      </c>
      <c r="S1071">
        <v>7</v>
      </c>
      <c r="T1071">
        <v>1949</v>
      </c>
      <c r="U1071">
        <v>2003</v>
      </c>
      <c r="V1071" t="s">
        <v>92</v>
      </c>
      <c r="W1071" t="s">
        <v>93</v>
      </c>
      <c r="X1071" t="s">
        <v>115</v>
      </c>
      <c r="Y1071" t="s">
        <v>115</v>
      </c>
      <c r="Z1071" t="s">
        <v>116</v>
      </c>
      <c r="AA1071">
        <v>0</v>
      </c>
      <c r="AB1071" t="s">
        <v>97</v>
      </c>
      <c r="AC1071" t="s">
        <v>97</v>
      </c>
      <c r="AD1071" t="s">
        <v>117</v>
      </c>
      <c r="AE1071" t="s">
        <v>97</v>
      </c>
      <c r="AF1071" t="s">
        <v>97</v>
      </c>
      <c r="AG1071" t="s">
        <v>99</v>
      </c>
      <c r="AH1071" t="s">
        <v>118</v>
      </c>
      <c r="AI1071">
        <v>220</v>
      </c>
      <c r="AJ1071" t="s">
        <v>101</v>
      </c>
      <c r="AK1071">
        <v>0</v>
      </c>
      <c r="AL1071">
        <v>625</v>
      </c>
      <c r="AM1071">
        <v>845</v>
      </c>
      <c r="AN1071" t="s">
        <v>102</v>
      </c>
      <c r="AO1071" t="s">
        <v>97</v>
      </c>
      <c r="AP1071" t="s">
        <v>104</v>
      </c>
      <c r="AQ1071" t="s">
        <v>105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96</v>
      </c>
      <c r="BC1071">
        <v>4</v>
      </c>
      <c r="BD1071" t="s">
        <v>106</v>
      </c>
      <c r="BE1071">
        <v>0</v>
      </c>
      <c r="BG1071" t="s">
        <v>126</v>
      </c>
      <c r="BH1071">
        <v>1985</v>
      </c>
      <c r="BI1071" t="s">
        <v>101</v>
      </c>
      <c r="BJ1071">
        <v>2</v>
      </c>
      <c r="BK1071">
        <v>576</v>
      </c>
      <c r="BL1071" t="s">
        <v>97</v>
      </c>
      <c r="BM1071" t="s">
        <v>97</v>
      </c>
      <c r="BN1071" t="s">
        <v>104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X1071">
        <v>0</v>
      </c>
      <c r="BY1071">
        <v>5</v>
      </c>
      <c r="BZ1071">
        <v>2007</v>
      </c>
      <c r="CA1071" t="s">
        <v>109</v>
      </c>
      <c r="CB1071" t="s">
        <v>110</v>
      </c>
      <c r="CC1071">
        <v>135000</v>
      </c>
    </row>
    <row r="1072" spans="1:81" x14ac:dyDescent="0.3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H1072" t="s">
        <v>83</v>
      </c>
      <c r="I1072" t="s">
        <v>84</v>
      </c>
      <c r="J1072" t="s">
        <v>85</v>
      </c>
      <c r="K1072" t="s">
        <v>86</v>
      </c>
      <c r="L1072" t="s">
        <v>87</v>
      </c>
      <c r="M1072" t="s">
        <v>270</v>
      </c>
      <c r="N1072" t="s">
        <v>89</v>
      </c>
      <c r="O1072" t="s">
        <v>89</v>
      </c>
      <c r="P1072" t="s">
        <v>90</v>
      </c>
      <c r="Q1072" t="s">
        <v>114</v>
      </c>
      <c r="R1072">
        <v>5</v>
      </c>
      <c r="S1072">
        <v>5</v>
      </c>
      <c r="T1072">
        <v>1956</v>
      </c>
      <c r="U1072">
        <v>1956</v>
      </c>
      <c r="V1072" t="s">
        <v>151</v>
      </c>
      <c r="W1072" t="s">
        <v>93</v>
      </c>
      <c r="X1072" t="s">
        <v>115</v>
      </c>
      <c r="Y1072" t="s">
        <v>115</v>
      </c>
      <c r="Z1072" t="s">
        <v>95</v>
      </c>
      <c r="AA1072">
        <v>120</v>
      </c>
      <c r="AB1072" t="s">
        <v>97</v>
      </c>
      <c r="AC1072" t="s">
        <v>97</v>
      </c>
      <c r="AD1072" t="s">
        <v>117</v>
      </c>
      <c r="AE1072" t="s">
        <v>97</v>
      </c>
      <c r="AF1072" t="s">
        <v>97</v>
      </c>
      <c r="AG1072" t="s">
        <v>99</v>
      </c>
      <c r="AH1072" t="s">
        <v>140</v>
      </c>
      <c r="AI1072">
        <v>586</v>
      </c>
      <c r="AJ1072" t="s">
        <v>101</v>
      </c>
      <c r="AK1072">
        <v>0</v>
      </c>
      <c r="AL1072">
        <v>462</v>
      </c>
      <c r="AM1072">
        <v>1048</v>
      </c>
      <c r="AN1072" t="s">
        <v>102</v>
      </c>
      <c r="AO1072" t="s">
        <v>97</v>
      </c>
      <c r="AP1072" t="s">
        <v>104</v>
      </c>
      <c r="AQ1072" t="s">
        <v>105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97</v>
      </c>
      <c r="BC1072">
        <v>6</v>
      </c>
      <c r="BD1072" t="s">
        <v>106</v>
      </c>
      <c r="BE1072">
        <v>0</v>
      </c>
      <c r="BG1072" t="s">
        <v>107</v>
      </c>
      <c r="BH1072">
        <v>1956</v>
      </c>
      <c r="BI1072" t="s">
        <v>101</v>
      </c>
      <c r="BJ1072">
        <v>1</v>
      </c>
      <c r="BK1072">
        <v>286</v>
      </c>
      <c r="BL1072" t="s">
        <v>97</v>
      </c>
      <c r="BM1072" t="s">
        <v>97</v>
      </c>
      <c r="BN1072" t="s">
        <v>104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X1072">
        <v>0</v>
      </c>
      <c r="BY1072">
        <v>6</v>
      </c>
      <c r="BZ1072">
        <v>2007</v>
      </c>
      <c r="CA1072" t="s">
        <v>109</v>
      </c>
      <c r="CB1072" t="s">
        <v>110</v>
      </c>
      <c r="CC1072">
        <v>135000</v>
      </c>
    </row>
    <row r="1073" spans="1:81" x14ac:dyDescent="0.3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H1073" t="s">
        <v>83</v>
      </c>
      <c r="I1073" t="s">
        <v>84</v>
      </c>
      <c r="J1073" t="s">
        <v>85</v>
      </c>
      <c r="K1073" t="s">
        <v>86</v>
      </c>
      <c r="L1073" t="s">
        <v>87</v>
      </c>
      <c r="M1073" t="s">
        <v>137</v>
      </c>
      <c r="N1073" t="s">
        <v>201</v>
      </c>
      <c r="O1073" t="s">
        <v>89</v>
      </c>
      <c r="P1073" t="s">
        <v>90</v>
      </c>
      <c r="Q1073" t="s">
        <v>91</v>
      </c>
      <c r="R1073">
        <v>6</v>
      </c>
      <c r="S1073">
        <v>6</v>
      </c>
      <c r="T1073">
        <v>1968</v>
      </c>
      <c r="U1073">
        <v>1968</v>
      </c>
      <c r="V1073" t="s">
        <v>92</v>
      </c>
      <c r="W1073" t="s">
        <v>93</v>
      </c>
      <c r="X1073" t="s">
        <v>115</v>
      </c>
      <c r="Y1073" t="s">
        <v>115</v>
      </c>
      <c r="Z1073" t="s">
        <v>116</v>
      </c>
      <c r="AA1073">
        <v>0</v>
      </c>
      <c r="AB1073" t="s">
        <v>97</v>
      </c>
      <c r="AC1073" t="s">
        <v>97</v>
      </c>
      <c r="AD1073" t="s">
        <v>117</v>
      </c>
      <c r="AE1073" t="s">
        <v>97</v>
      </c>
      <c r="AF1073" t="s">
        <v>97</v>
      </c>
      <c r="AG1073" t="s">
        <v>99</v>
      </c>
      <c r="AH1073" t="s">
        <v>152</v>
      </c>
      <c r="AI1073">
        <v>298</v>
      </c>
      <c r="AJ1073" t="s">
        <v>101</v>
      </c>
      <c r="AK1073">
        <v>0</v>
      </c>
      <c r="AL1073">
        <v>429</v>
      </c>
      <c r="AM1073">
        <v>727</v>
      </c>
      <c r="AN1073" t="s">
        <v>102</v>
      </c>
      <c r="AO1073" t="s">
        <v>103</v>
      </c>
      <c r="AP1073" t="s">
        <v>104</v>
      </c>
      <c r="AQ1073" t="s">
        <v>105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97</v>
      </c>
      <c r="BC1073">
        <v>8</v>
      </c>
      <c r="BD1073" t="s">
        <v>106</v>
      </c>
      <c r="BE1073">
        <v>0</v>
      </c>
      <c r="BG1073" t="s">
        <v>107</v>
      </c>
      <c r="BH1073">
        <v>1968</v>
      </c>
      <c r="BI1073" t="s">
        <v>101</v>
      </c>
      <c r="BJ1073">
        <v>2</v>
      </c>
      <c r="BK1073">
        <v>441</v>
      </c>
      <c r="BL1073" t="s">
        <v>97</v>
      </c>
      <c r="BM1073" t="s">
        <v>97</v>
      </c>
      <c r="BN1073" t="s">
        <v>104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X1073">
        <v>0</v>
      </c>
      <c r="BY1073">
        <v>5</v>
      </c>
      <c r="BZ1073">
        <v>2009</v>
      </c>
      <c r="CA1073" t="s">
        <v>109</v>
      </c>
      <c r="CB1073" t="s">
        <v>110</v>
      </c>
      <c r="CC1073">
        <v>154000</v>
      </c>
    </row>
    <row r="1074" spans="1:81" x14ac:dyDescent="0.3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H1074" t="s">
        <v>83</v>
      </c>
      <c r="I1074" t="s">
        <v>84</v>
      </c>
      <c r="J1074" t="s">
        <v>85</v>
      </c>
      <c r="K1074" t="s">
        <v>86</v>
      </c>
      <c r="L1074" t="s">
        <v>87</v>
      </c>
      <c r="M1074" t="s">
        <v>184</v>
      </c>
      <c r="N1074" t="s">
        <v>143</v>
      </c>
      <c r="O1074" t="s">
        <v>89</v>
      </c>
      <c r="P1074" t="s">
        <v>90</v>
      </c>
      <c r="Q1074" t="s">
        <v>131</v>
      </c>
      <c r="R1074">
        <v>5</v>
      </c>
      <c r="S1074">
        <v>3</v>
      </c>
      <c r="T1074">
        <v>1948</v>
      </c>
      <c r="U1074">
        <v>1950</v>
      </c>
      <c r="V1074" t="s">
        <v>92</v>
      </c>
      <c r="W1074" t="s">
        <v>93</v>
      </c>
      <c r="X1074" t="s">
        <v>115</v>
      </c>
      <c r="Y1074" t="s">
        <v>115</v>
      </c>
      <c r="Z1074" t="s">
        <v>116</v>
      </c>
      <c r="AA1074">
        <v>0</v>
      </c>
      <c r="AB1074" t="s">
        <v>97</v>
      </c>
      <c r="AC1074" t="s">
        <v>97</v>
      </c>
      <c r="AD1074" t="s">
        <v>117</v>
      </c>
      <c r="AE1074" t="s">
        <v>146</v>
      </c>
      <c r="AF1074" t="s">
        <v>146</v>
      </c>
      <c r="AG1074" t="s">
        <v>120</v>
      </c>
      <c r="AH1074" t="s">
        <v>101</v>
      </c>
      <c r="AI1074">
        <v>0</v>
      </c>
      <c r="AJ1074" t="s">
        <v>101</v>
      </c>
      <c r="AK1074">
        <v>0</v>
      </c>
      <c r="AL1074">
        <v>810</v>
      </c>
      <c r="AM1074">
        <v>810</v>
      </c>
      <c r="AN1074" t="s">
        <v>102</v>
      </c>
      <c r="AO1074" t="s">
        <v>146</v>
      </c>
      <c r="AP1074" t="s">
        <v>104</v>
      </c>
      <c r="AQ1074" t="s">
        <v>163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97</v>
      </c>
      <c r="BC1074">
        <v>7</v>
      </c>
      <c r="BD1074" t="s">
        <v>106</v>
      </c>
      <c r="BE1074">
        <v>1</v>
      </c>
      <c r="BF1074" t="s">
        <v>97</v>
      </c>
      <c r="BG1074" t="s">
        <v>126</v>
      </c>
      <c r="BH1074">
        <v>1954</v>
      </c>
      <c r="BI1074" t="s">
        <v>101</v>
      </c>
      <c r="BJ1074">
        <v>1</v>
      </c>
      <c r="BK1074">
        <v>280</v>
      </c>
      <c r="BL1074" t="s">
        <v>97</v>
      </c>
      <c r="BM1074" t="s">
        <v>97</v>
      </c>
      <c r="BN1074" t="s">
        <v>189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X1074">
        <v>0</v>
      </c>
      <c r="BY1074">
        <v>8</v>
      </c>
      <c r="BZ1074">
        <v>2006</v>
      </c>
      <c r="CA1074" t="s">
        <v>109</v>
      </c>
      <c r="CB1074" t="s">
        <v>110</v>
      </c>
      <c r="CC1074">
        <v>91500</v>
      </c>
    </row>
    <row r="1075" spans="1:81" x14ac:dyDescent="0.3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H1075" t="s">
        <v>119</v>
      </c>
      <c r="I1075" t="s">
        <v>174</v>
      </c>
      <c r="J1075" t="s">
        <v>85</v>
      </c>
      <c r="K1075" t="s">
        <v>121</v>
      </c>
      <c r="L1075" t="s">
        <v>87</v>
      </c>
      <c r="M1075" t="s">
        <v>184</v>
      </c>
      <c r="N1075" t="s">
        <v>89</v>
      </c>
      <c r="O1075" t="s">
        <v>89</v>
      </c>
      <c r="P1075" t="s">
        <v>90</v>
      </c>
      <c r="Q1075" t="s">
        <v>91</v>
      </c>
      <c r="R1075">
        <v>6</v>
      </c>
      <c r="S1075">
        <v>6</v>
      </c>
      <c r="T1075">
        <v>1977</v>
      </c>
      <c r="U1075">
        <v>1977</v>
      </c>
      <c r="V1075" t="s">
        <v>151</v>
      </c>
      <c r="W1075" t="s">
        <v>93</v>
      </c>
      <c r="X1075" t="s">
        <v>139</v>
      </c>
      <c r="Y1075" t="s">
        <v>160</v>
      </c>
      <c r="Z1075" t="s">
        <v>95</v>
      </c>
      <c r="AA1075">
        <v>140</v>
      </c>
      <c r="AB1075" t="s">
        <v>97</v>
      </c>
      <c r="AC1075" t="s">
        <v>97</v>
      </c>
      <c r="AD1075" t="s">
        <v>117</v>
      </c>
      <c r="AE1075" t="s">
        <v>97</v>
      </c>
      <c r="AF1075" t="s">
        <v>97</v>
      </c>
      <c r="AG1075" t="s">
        <v>99</v>
      </c>
      <c r="AH1075" t="s">
        <v>140</v>
      </c>
      <c r="AI1075">
        <v>535</v>
      </c>
      <c r="AJ1075" t="s">
        <v>101</v>
      </c>
      <c r="AK1075">
        <v>0</v>
      </c>
      <c r="AL1075">
        <v>155</v>
      </c>
      <c r="AM1075">
        <v>690</v>
      </c>
      <c r="AN1075" t="s">
        <v>102</v>
      </c>
      <c r="AO1075" t="s">
        <v>97</v>
      </c>
      <c r="AP1075" t="s">
        <v>104</v>
      </c>
      <c r="AQ1075" t="s">
        <v>105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97</v>
      </c>
      <c r="BC1075">
        <v>6</v>
      </c>
      <c r="BD1075" t="s">
        <v>106</v>
      </c>
      <c r="BE1075">
        <v>0</v>
      </c>
      <c r="BG1075" t="s">
        <v>107</v>
      </c>
      <c r="BH1075">
        <v>1977</v>
      </c>
      <c r="BI1075" t="s">
        <v>156</v>
      </c>
      <c r="BJ1075">
        <v>2</v>
      </c>
      <c r="BK1075">
        <v>440</v>
      </c>
      <c r="BL1075" t="s">
        <v>97</v>
      </c>
      <c r="BM1075" t="s">
        <v>97</v>
      </c>
      <c r="BN1075" t="s">
        <v>104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V1075" t="s">
        <v>133</v>
      </c>
      <c r="BX1075">
        <v>0</v>
      </c>
      <c r="BY1075">
        <v>7</v>
      </c>
      <c r="BZ1075">
        <v>2009</v>
      </c>
      <c r="CA1075" t="s">
        <v>109</v>
      </c>
      <c r="CB1075" t="s">
        <v>110</v>
      </c>
      <c r="CC1075">
        <v>159500</v>
      </c>
    </row>
    <row r="1076" spans="1:81" x14ac:dyDescent="0.3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H1076" t="s">
        <v>83</v>
      </c>
      <c r="I1076" t="s">
        <v>84</v>
      </c>
      <c r="J1076" t="s">
        <v>85</v>
      </c>
      <c r="K1076" t="s">
        <v>86</v>
      </c>
      <c r="L1076" t="s">
        <v>87</v>
      </c>
      <c r="M1076" t="s">
        <v>88</v>
      </c>
      <c r="N1076" t="s">
        <v>89</v>
      </c>
      <c r="O1076" t="s">
        <v>89</v>
      </c>
      <c r="P1076" t="s">
        <v>90</v>
      </c>
      <c r="Q1076" t="s">
        <v>114</v>
      </c>
      <c r="R1076">
        <v>7</v>
      </c>
      <c r="S1076">
        <v>5</v>
      </c>
      <c r="T1076">
        <v>2006</v>
      </c>
      <c r="U1076">
        <v>2006</v>
      </c>
      <c r="V1076" t="s">
        <v>92</v>
      </c>
      <c r="W1076" t="s">
        <v>93</v>
      </c>
      <c r="X1076" t="s">
        <v>94</v>
      </c>
      <c r="Y1076" t="s">
        <v>94</v>
      </c>
      <c r="Z1076" t="s">
        <v>116</v>
      </c>
      <c r="AA1076">
        <v>0</v>
      </c>
      <c r="AB1076" t="s">
        <v>96</v>
      </c>
      <c r="AC1076" t="s">
        <v>97</v>
      </c>
      <c r="AD1076" t="s">
        <v>98</v>
      </c>
      <c r="AE1076" t="s">
        <v>96</v>
      </c>
      <c r="AF1076" t="s">
        <v>97</v>
      </c>
      <c r="AG1076" t="s">
        <v>129</v>
      </c>
      <c r="AH1076" t="s">
        <v>101</v>
      </c>
      <c r="AI1076">
        <v>0</v>
      </c>
      <c r="AJ1076" t="s">
        <v>101</v>
      </c>
      <c r="AK1076">
        <v>0</v>
      </c>
      <c r="AL1076">
        <v>1240</v>
      </c>
      <c r="AM1076">
        <v>1240</v>
      </c>
      <c r="AN1076" t="s">
        <v>102</v>
      </c>
      <c r="AO1076" t="s">
        <v>103</v>
      </c>
      <c r="AP1076" t="s">
        <v>104</v>
      </c>
      <c r="AQ1076" t="s">
        <v>105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96</v>
      </c>
      <c r="BC1076">
        <v>5</v>
      </c>
      <c r="BD1076" t="s">
        <v>106</v>
      </c>
      <c r="BE1076">
        <v>0</v>
      </c>
      <c r="BG1076" t="s">
        <v>107</v>
      </c>
      <c r="BH1076">
        <v>2006</v>
      </c>
      <c r="BI1076" t="s">
        <v>108</v>
      </c>
      <c r="BJ1076">
        <v>3</v>
      </c>
      <c r="BK1076">
        <v>826</v>
      </c>
      <c r="BL1076" t="s">
        <v>97</v>
      </c>
      <c r="BM1076" t="s">
        <v>97</v>
      </c>
      <c r="BN1076" t="s">
        <v>104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X1076">
        <v>0</v>
      </c>
      <c r="BY1076">
        <v>5</v>
      </c>
      <c r="BZ1076">
        <v>2007</v>
      </c>
      <c r="CA1076" t="s">
        <v>109</v>
      </c>
      <c r="CB1076" t="s">
        <v>110</v>
      </c>
      <c r="CC1076">
        <v>194000</v>
      </c>
    </row>
    <row r="1077" spans="1:81" x14ac:dyDescent="0.3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H1077" t="s">
        <v>83</v>
      </c>
      <c r="I1077" t="s">
        <v>84</v>
      </c>
      <c r="J1077" t="s">
        <v>85</v>
      </c>
      <c r="K1077" t="s">
        <v>86</v>
      </c>
      <c r="L1077" t="s">
        <v>87</v>
      </c>
      <c r="M1077" t="s">
        <v>122</v>
      </c>
      <c r="N1077" t="s">
        <v>89</v>
      </c>
      <c r="O1077" t="s">
        <v>89</v>
      </c>
      <c r="P1077" t="s">
        <v>90</v>
      </c>
      <c r="Q1077" t="s">
        <v>91</v>
      </c>
      <c r="R1077">
        <v>7</v>
      </c>
      <c r="S1077">
        <v>6</v>
      </c>
      <c r="T1077">
        <v>1940</v>
      </c>
      <c r="U1077">
        <v>1984</v>
      </c>
      <c r="V1077" t="s">
        <v>92</v>
      </c>
      <c r="W1077" t="s">
        <v>93</v>
      </c>
      <c r="X1077" t="s">
        <v>123</v>
      </c>
      <c r="Y1077" t="s">
        <v>123</v>
      </c>
      <c r="Z1077" t="s">
        <v>116</v>
      </c>
      <c r="AA1077">
        <v>0</v>
      </c>
      <c r="AB1077" t="s">
        <v>97</v>
      </c>
      <c r="AC1077" t="s">
        <v>97</v>
      </c>
      <c r="AD1077" t="s">
        <v>117</v>
      </c>
      <c r="AE1077" t="s">
        <v>97</v>
      </c>
      <c r="AF1077" t="s">
        <v>97</v>
      </c>
      <c r="AG1077" t="s">
        <v>99</v>
      </c>
      <c r="AH1077" t="s">
        <v>140</v>
      </c>
      <c r="AI1077">
        <v>410</v>
      </c>
      <c r="AJ1077" t="s">
        <v>101</v>
      </c>
      <c r="AK1077">
        <v>0</v>
      </c>
      <c r="AL1077">
        <v>390</v>
      </c>
      <c r="AM1077">
        <v>800</v>
      </c>
      <c r="AN1077" t="s">
        <v>102</v>
      </c>
      <c r="AO1077" t="s">
        <v>97</v>
      </c>
      <c r="AP1077" t="s">
        <v>104</v>
      </c>
      <c r="AQ1077" t="s">
        <v>105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97</v>
      </c>
      <c r="BC1077">
        <v>6</v>
      </c>
      <c r="BD1077" t="s">
        <v>106</v>
      </c>
      <c r="BE1077">
        <v>2</v>
      </c>
      <c r="BF1077" t="s">
        <v>96</v>
      </c>
      <c r="BG1077" t="s">
        <v>107</v>
      </c>
      <c r="BH1077">
        <v>1940</v>
      </c>
      <c r="BI1077" t="s">
        <v>101</v>
      </c>
      <c r="BJ1077">
        <v>1</v>
      </c>
      <c r="BK1077">
        <v>240</v>
      </c>
      <c r="BL1077" t="s">
        <v>97</v>
      </c>
      <c r="BM1077" t="s">
        <v>97</v>
      </c>
      <c r="BN1077" t="s">
        <v>104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X1077">
        <v>0</v>
      </c>
      <c r="BY1077">
        <v>7</v>
      </c>
      <c r="BZ1077">
        <v>2007</v>
      </c>
      <c r="CA1077" t="s">
        <v>229</v>
      </c>
      <c r="CB1077" t="s">
        <v>110</v>
      </c>
      <c r="CC1077">
        <v>219500</v>
      </c>
    </row>
    <row r="1078" spans="1:81" x14ac:dyDescent="0.3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173</v>
      </c>
      <c r="H1078" t="s">
        <v>83</v>
      </c>
      <c r="I1078" t="s">
        <v>84</v>
      </c>
      <c r="J1078" t="s">
        <v>85</v>
      </c>
      <c r="K1078" t="s">
        <v>86</v>
      </c>
      <c r="L1078" t="s">
        <v>87</v>
      </c>
      <c r="M1078" t="s">
        <v>142</v>
      </c>
      <c r="N1078" t="s">
        <v>89</v>
      </c>
      <c r="O1078" t="s">
        <v>89</v>
      </c>
      <c r="P1078" t="s">
        <v>90</v>
      </c>
      <c r="Q1078" t="s">
        <v>131</v>
      </c>
      <c r="R1078">
        <v>5</v>
      </c>
      <c r="S1078">
        <v>8</v>
      </c>
      <c r="T1078">
        <v>1936</v>
      </c>
      <c r="U1078">
        <v>1989</v>
      </c>
      <c r="V1078" t="s">
        <v>92</v>
      </c>
      <c r="W1078" t="s">
        <v>93</v>
      </c>
      <c r="X1078" t="s">
        <v>123</v>
      </c>
      <c r="Y1078" t="s">
        <v>123</v>
      </c>
      <c r="Z1078" t="s">
        <v>116</v>
      </c>
      <c r="AA1078">
        <v>0</v>
      </c>
      <c r="AB1078" t="s">
        <v>97</v>
      </c>
      <c r="AC1078" t="s">
        <v>97</v>
      </c>
      <c r="AD1078" t="s">
        <v>117</v>
      </c>
      <c r="AE1078" t="s">
        <v>146</v>
      </c>
      <c r="AF1078" t="s">
        <v>97</v>
      </c>
      <c r="AG1078" t="s">
        <v>99</v>
      </c>
      <c r="AH1078" t="s">
        <v>118</v>
      </c>
      <c r="AI1078">
        <v>626</v>
      </c>
      <c r="AJ1078" t="s">
        <v>101</v>
      </c>
      <c r="AK1078">
        <v>0</v>
      </c>
      <c r="AL1078">
        <v>170</v>
      </c>
      <c r="AM1078">
        <v>796</v>
      </c>
      <c r="AN1078" t="s">
        <v>102</v>
      </c>
      <c r="AO1078" t="s">
        <v>96</v>
      </c>
      <c r="AP1078" t="s">
        <v>104</v>
      </c>
      <c r="AQ1078" t="s">
        <v>105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96</v>
      </c>
      <c r="BC1078">
        <v>7</v>
      </c>
      <c r="BD1078" t="s">
        <v>145</v>
      </c>
      <c r="BE1078">
        <v>1</v>
      </c>
      <c r="BF1078" t="s">
        <v>97</v>
      </c>
      <c r="BG1078" t="s">
        <v>107</v>
      </c>
      <c r="BH1078">
        <v>1950</v>
      </c>
      <c r="BI1078" t="s">
        <v>101</v>
      </c>
      <c r="BJ1078">
        <v>2</v>
      </c>
      <c r="BK1078">
        <v>566</v>
      </c>
      <c r="BL1078" t="s">
        <v>97</v>
      </c>
      <c r="BM1078" t="s">
        <v>97</v>
      </c>
      <c r="BN1078" t="s">
        <v>104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W1078" t="s">
        <v>134</v>
      </c>
      <c r="BX1078">
        <v>500</v>
      </c>
      <c r="BY1078">
        <v>4</v>
      </c>
      <c r="BZ1078">
        <v>2006</v>
      </c>
      <c r="CA1078" t="s">
        <v>109</v>
      </c>
      <c r="CB1078" t="s">
        <v>110</v>
      </c>
      <c r="CC1078">
        <v>170000</v>
      </c>
    </row>
    <row r="1079" spans="1:81" x14ac:dyDescent="0.3">
      <c r="A1079">
        <v>1078</v>
      </c>
      <c r="B1079">
        <v>20</v>
      </c>
      <c r="C1079" t="s">
        <v>81</v>
      </c>
      <c r="E1079">
        <v>15870</v>
      </c>
      <c r="F1079" t="s">
        <v>82</v>
      </c>
      <c r="H1079" t="s">
        <v>119</v>
      </c>
      <c r="I1079" t="s">
        <v>84</v>
      </c>
      <c r="J1079" t="s">
        <v>85</v>
      </c>
      <c r="K1079" t="s">
        <v>121</v>
      </c>
      <c r="L1079" t="s">
        <v>87</v>
      </c>
      <c r="M1079" t="s">
        <v>270</v>
      </c>
      <c r="N1079" t="s">
        <v>89</v>
      </c>
      <c r="O1079" t="s">
        <v>89</v>
      </c>
      <c r="P1079" t="s">
        <v>90</v>
      </c>
      <c r="Q1079" t="s">
        <v>114</v>
      </c>
      <c r="R1079">
        <v>5</v>
      </c>
      <c r="S1079">
        <v>5</v>
      </c>
      <c r="T1079">
        <v>1969</v>
      </c>
      <c r="U1079">
        <v>1969</v>
      </c>
      <c r="V1079" t="s">
        <v>92</v>
      </c>
      <c r="W1079" t="s">
        <v>93</v>
      </c>
      <c r="X1079" t="s">
        <v>94</v>
      </c>
      <c r="Y1079" t="s">
        <v>160</v>
      </c>
      <c r="Z1079" t="s">
        <v>116</v>
      </c>
      <c r="AA1079">
        <v>0</v>
      </c>
      <c r="AB1079" t="s">
        <v>97</v>
      </c>
      <c r="AC1079" t="s">
        <v>97</v>
      </c>
      <c r="AD1079" t="s">
        <v>117</v>
      </c>
      <c r="AE1079" t="s">
        <v>97</v>
      </c>
      <c r="AF1079" t="s">
        <v>97</v>
      </c>
      <c r="AG1079" t="s">
        <v>120</v>
      </c>
      <c r="AH1079" t="s">
        <v>140</v>
      </c>
      <c r="AI1079">
        <v>75</v>
      </c>
      <c r="AJ1079" t="s">
        <v>152</v>
      </c>
      <c r="AK1079">
        <v>791</v>
      </c>
      <c r="AL1079">
        <v>230</v>
      </c>
      <c r="AM1079">
        <v>1096</v>
      </c>
      <c r="AN1079" t="s">
        <v>102</v>
      </c>
      <c r="AO1079" t="s">
        <v>103</v>
      </c>
      <c r="AP1079" t="s">
        <v>104</v>
      </c>
      <c r="AQ1079" t="s">
        <v>105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97</v>
      </c>
      <c r="BC1079">
        <v>6</v>
      </c>
      <c r="BD1079" t="s">
        <v>106</v>
      </c>
      <c r="BE1079">
        <v>0</v>
      </c>
      <c r="BG1079" t="s">
        <v>107</v>
      </c>
      <c r="BH1079">
        <v>1969</v>
      </c>
      <c r="BI1079" t="s">
        <v>156</v>
      </c>
      <c r="BJ1079">
        <v>1</v>
      </c>
      <c r="BK1079">
        <v>299</v>
      </c>
      <c r="BL1079" t="s">
        <v>97</v>
      </c>
      <c r="BM1079" t="s">
        <v>97</v>
      </c>
      <c r="BN1079" t="s">
        <v>104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X1079">
        <v>0</v>
      </c>
      <c r="BY1079">
        <v>3</v>
      </c>
      <c r="BZ1079">
        <v>2006</v>
      </c>
      <c r="CA1079" t="s">
        <v>109</v>
      </c>
      <c r="CB1079" t="s">
        <v>127</v>
      </c>
      <c r="CC1079">
        <v>138800</v>
      </c>
    </row>
    <row r="1080" spans="1:81" x14ac:dyDescent="0.3">
      <c r="A1080">
        <v>1079</v>
      </c>
      <c r="B1080">
        <v>120</v>
      </c>
      <c r="C1080" t="s">
        <v>141</v>
      </c>
      <c r="D1080">
        <v>37</v>
      </c>
      <c r="E1080">
        <v>4435</v>
      </c>
      <c r="F1080" t="s">
        <v>82</v>
      </c>
      <c r="H1080" t="s">
        <v>83</v>
      </c>
      <c r="I1080" t="s">
        <v>84</v>
      </c>
      <c r="J1080" t="s">
        <v>85</v>
      </c>
      <c r="K1080" t="s">
        <v>86</v>
      </c>
      <c r="L1080" t="s">
        <v>87</v>
      </c>
      <c r="M1080" t="s">
        <v>88</v>
      </c>
      <c r="N1080" t="s">
        <v>89</v>
      </c>
      <c r="O1080" t="s">
        <v>89</v>
      </c>
      <c r="P1080" t="s">
        <v>178</v>
      </c>
      <c r="Q1080" t="s">
        <v>114</v>
      </c>
      <c r="R1080">
        <v>6</v>
      </c>
      <c r="S1080">
        <v>5</v>
      </c>
      <c r="T1080">
        <v>2004</v>
      </c>
      <c r="U1080">
        <v>2004</v>
      </c>
      <c r="V1080" t="s">
        <v>92</v>
      </c>
      <c r="W1080" t="s">
        <v>93</v>
      </c>
      <c r="X1080" t="s">
        <v>94</v>
      </c>
      <c r="Y1080" t="s">
        <v>94</v>
      </c>
      <c r="Z1080" t="s">
        <v>95</v>
      </c>
      <c r="AA1080">
        <v>169</v>
      </c>
      <c r="AB1080" t="s">
        <v>96</v>
      </c>
      <c r="AC1080" t="s">
        <v>97</v>
      </c>
      <c r="AD1080" t="s">
        <v>98</v>
      </c>
      <c r="AE1080" t="s">
        <v>96</v>
      </c>
      <c r="AF1080" t="s">
        <v>97</v>
      </c>
      <c r="AG1080" t="s">
        <v>120</v>
      </c>
      <c r="AH1080" t="s">
        <v>100</v>
      </c>
      <c r="AI1080">
        <v>662</v>
      </c>
      <c r="AJ1080" t="s">
        <v>101</v>
      </c>
      <c r="AK1080">
        <v>0</v>
      </c>
      <c r="AL1080">
        <v>186</v>
      </c>
      <c r="AM1080">
        <v>848</v>
      </c>
      <c r="AN1080" t="s">
        <v>102</v>
      </c>
      <c r="AO1080" t="s">
        <v>103</v>
      </c>
      <c r="AP1080" t="s">
        <v>104</v>
      </c>
      <c r="AQ1080" t="s">
        <v>105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96</v>
      </c>
      <c r="BC1080">
        <v>3</v>
      </c>
      <c r="BD1080" t="s">
        <v>106</v>
      </c>
      <c r="BE1080">
        <v>1</v>
      </c>
      <c r="BF1080" t="s">
        <v>96</v>
      </c>
      <c r="BG1080" t="s">
        <v>107</v>
      </c>
      <c r="BH1080">
        <v>2004</v>
      </c>
      <c r="BI1080" t="s">
        <v>108</v>
      </c>
      <c r="BJ1080">
        <v>2</v>
      </c>
      <c r="BK1080">
        <v>420</v>
      </c>
      <c r="BL1080" t="s">
        <v>97</v>
      </c>
      <c r="BM1080" t="s">
        <v>97</v>
      </c>
      <c r="BN1080" t="s">
        <v>104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X1080">
        <v>0</v>
      </c>
      <c r="BY1080">
        <v>5</v>
      </c>
      <c r="BZ1080">
        <v>2006</v>
      </c>
      <c r="CA1080" t="s">
        <v>109</v>
      </c>
      <c r="CB1080" t="s">
        <v>110</v>
      </c>
      <c r="CC1080">
        <v>155900</v>
      </c>
    </row>
    <row r="1081" spans="1:81" x14ac:dyDescent="0.3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H1081" t="s">
        <v>83</v>
      </c>
      <c r="I1081" t="s">
        <v>84</v>
      </c>
      <c r="J1081" t="s">
        <v>85</v>
      </c>
      <c r="K1081" t="s">
        <v>86</v>
      </c>
      <c r="L1081" t="s">
        <v>87</v>
      </c>
      <c r="M1081" t="s">
        <v>88</v>
      </c>
      <c r="N1081" t="s">
        <v>89</v>
      </c>
      <c r="O1081" t="s">
        <v>89</v>
      </c>
      <c r="P1081" t="s">
        <v>90</v>
      </c>
      <c r="Q1081" t="s">
        <v>114</v>
      </c>
      <c r="R1081">
        <v>5</v>
      </c>
      <c r="S1081">
        <v>5</v>
      </c>
      <c r="T1081">
        <v>1994</v>
      </c>
      <c r="U1081">
        <v>1994</v>
      </c>
      <c r="V1081" t="s">
        <v>92</v>
      </c>
      <c r="W1081" t="s">
        <v>93</v>
      </c>
      <c r="X1081" t="s">
        <v>94</v>
      </c>
      <c r="Y1081" t="s">
        <v>94</v>
      </c>
      <c r="Z1081" t="s">
        <v>116</v>
      </c>
      <c r="AA1081">
        <v>0</v>
      </c>
      <c r="AB1081" t="s">
        <v>97</v>
      </c>
      <c r="AC1081" t="s">
        <v>97</v>
      </c>
      <c r="AD1081" t="s">
        <v>98</v>
      </c>
      <c r="AE1081" t="s">
        <v>96</v>
      </c>
      <c r="AF1081" t="s">
        <v>97</v>
      </c>
      <c r="AG1081" t="s">
        <v>99</v>
      </c>
      <c r="AH1081" t="s">
        <v>100</v>
      </c>
      <c r="AI1081">
        <v>495</v>
      </c>
      <c r="AJ1081" t="s">
        <v>101</v>
      </c>
      <c r="AK1081">
        <v>0</v>
      </c>
      <c r="AL1081">
        <v>495</v>
      </c>
      <c r="AM1081">
        <v>990</v>
      </c>
      <c r="AN1081" t="s">
        <v>102</v>
      </c>
      <c r="AO1081" t="s">
        <v>96</v>
      </c>
      <c r="AP1081" t="s">
        <v>104</v>
      </c>
      <c r="AQ1081" t="s">
        <v>105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97</v>
      </c>
      <c r="BC1081">
        <v>5</v>
      </c>
      <c r="BD1081" t="s">
        <v>106</v>
      </c>
      <c r="BE1081">
        <v>0</v>
      </c>
      <c r="BG1081" t="s">
        <v>107</v>
      </c>
      <c r="BH1081">
        <v>1996</v>
      </c>
      <c r="BI1081" t="s">
        <v>101</v>
      </c>
      <c r="BJ1081">
        <v>1</v>
      </c>
      <c r="BK1081">
        <v>299</v>
      </c>
      <c r="BL1081" t="s">
        <v>97</v>
      </c>
      <c r="BM1081" t="s">
        <v>97</v>
      </c>
      <c r="BN1081" t="s">
        <v>104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X1081">
        <v>0</v>
      </c>
      <c r="BY1081">
        <v>4</v>
      </c>
      <c r="BZ1081">
        <v>2007</v>
      </c>
      <c r="CA1081" t="s">
        <v>109</v>
      </c>
      <c r="CB1081" t="s">
        <v>110</v>
      </c>
      <c r="CC1081">
        <v>126000</v>
      </c>
    </row>
    <row r="1082" spans="1:81" x14ac:dyDescent="0.3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H1082" t="s">
        <v>83</v>
      </c>
      <c r="I1082" t="s">
        <v>84</v>
      </c>
      <c r="J1082" t="s">
        <v>85</v>
      </c>
      <c r="K1082" t="s">
        <v>86</v>
      </c>
      <c r="L1082" t="s">
        <v>87</v>
      </c>
      <c r="M1082" t="s">
        <v>137</v>
      </c>
      <c r="N1082" t="s">
        <v>89</v>
      </c>
      <c r="O1082" t="s">
        <v>89</v>
      </c>
      <c r="P1082" t="s">
        <v>90</v>
      </c>
      <c r="Q1082" t="s">
        <v>114</v>
      </c>
      <c r="R1082">
        <v>6</v>
      </c>
      <c r="S1082">
        <v>7</v>
      </c>
      <c r="T1082">
        <v>1971</v>
      </c>
      <c r="U1082">
        <v>2004</v>
      </c>
      <c r="V1082" t="s">
        <v>92</v>
      </c>
      <c r="W1082" t="s">
        <v>93</v>
      </c>
      <c r="X1082" t="s">
        <v>94</v>
      </c>
      <c r="Y1082" t="s">
        <v>94</v>
      </c>
      <c r="Z1082" t="s">
        <v>95</v>
      </c>
      <c r="AA1082">
        <v>144</v>
      </c>
      <c r="AB1082" t="s">
        <v>96</v>
      </c>
      <c r="AC1082" t="s">
        <v>96</v>
      </c>
      <c r="AD1082" t="s">
        <v>117</v>
      </c>
      <c r="AE1082" t="s">
        <v>97</v>
      </c>
      <c r="AF1082" t="s">
        <v>97</v>
      </c>
      <c r="AG1082" t="s">
        <v>99</v>
      </c>
      <c r="AH1082" t="s">
        <v>118</v>
      </c>
      <c r="AI1082">
        <v>656</v>
      </c>
      <c r="AJ1082" t="s">
        <v>101</v>
      </c>
      <c r="AK1082">
        <v>0</v>
      </c>
      <c r="AL1082">
        <v>602</v>
      </c>
      <c r="AM1082">
        <v>1258</v>
      </c>
      <c r="AN1082" t="s">
        <v>102</v>
      </c>
      <c r="AO1082" t="s">
        <v>103</v>
      </c>
      <c r="AP1082" t="s">
        <v>104</v>
      </c>
      <c r="AQ1082" t="s">
        <v>105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96</v>
      </c>
      <c r="BC1082">
        <v>5</v>
      </c>
      <c r="BD1082" t="s">
        <v>106</v>
      </c>
      <c r="BE1082">
        <v>0</v>
      </c>
      <c r="BG1082" t="s">
        <v>107</v>
      </c>
      <c r="BH1082">
        <v>1971</v>
      </c>
      <c r="BI1082" t="s">
        <v>108</v>
      </c>
      <c r="BJ1082">
        <v>2</v>
      </c>
      <c r="BK1082">
        <v>528</v>
      </c>
      <c r="BL1082" t="s">
        <v>97</v>
      </c>
      <c r="BM1082" t="s">
        <v>97</v>
      </c>
      <c r="BN1082" t="s">
        <v>104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X1082">
        <v>0</v>
      </c>
      <c r="BY1082">
        <v>10</v>
      </c>
      <c r="BZ1082">
        <v>2008</v>
      </c>
      <c r="CA1082" t="s">
        <v>172</v>
      </c>
      <c r="CB1082" t="s">
        <v>127</v>
      </c>
      <c r="CC1082">
        <v>145000</v>
      </c>
    </row>
    <row r="1083" spans="1:81" x14ac:dyDescent="0.3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H1083" t="s">
        <v>83</v>
      </c>
      <c r="I1083" t="s">
        <v>84</v>
      </c>
      <c r="J1083" t="s">
        <v>85</v>
      </c>
      <c r="K1083" t="s">
        <v>121</v>
      </c>
      <c r="L1083" t="s">
        <v>87</v>
      </c>
      <c r="M1083" t="s">
        <v>150</v>
      </c>
      <c r="N1083" t="s">
        <v>113</v>
      </c>
      <c r="O1083" t="s">
        <v>89</v>
      </c>
      <c r="P1083" t="s">
        <v>90</v>
      </c>
      <c r="Q1083" t="s">
        <v>114</v>
      </c>
      <c r="R1083">
        <v>5</v>
      </c>
      <c r="S1083">
        <v>5</v>
      </c>
      <c r="T1083">
        <v>1963</v>
      </c>
      <c r="U1083">
        <v>1963</v>
      </c>
      <c r="V1083" t="s">
        <v>92</v>
      </c>
      <c r="W1083" t="s">
        <v>93</v>
      </c>
      <c r="X1083" t="s">
        <v>139</v>
      </c>
      <c r="Y1083" t="s">
        <v>139</v>
      </c>
      <c r="Z1083" t="s">
        <v>116</v>
      </c>
      <c r="AA1083">
        <v>0</v>
      </c>
      <c r="AB1083" t="s">
        <v>97</v>
      </c>
      <c r="AC1083" t="s">
        <v>97</v>
      </c>
      <c r="AD1083" t="s">
        <v>117</v>
      </c>
      <c r="AE1083" t="s">
        <v>97</v>
      </c>
      <c r="AF1083" t="s">
        <v>97</v>
      </c>
      <c r="AG1083" t="s">
        <v>99</v>
      </c>
      <c r="AH1083" t="s">
        <v>118</v>
      </c>
      <c r="AI1083">
        <v>824</v>
      </c>
      <c r="AJ1083" t="s">
        <v>101</v>
      </c>
      <c r="AK1083">
        <v>0</v>
      </c>
      <c r="AL1083">
        <v>216</v>
      </c>
      <c r="AM1083">
        <v>1040</v>
      </c>
      <c r="AN1083" t="s">
        <v>102</v>
      </c>
      <c r="AO1083" t="s">
        <v>146</v>
      </c>
      <c r="AP1083" t="s">
        <v>104</v>
      </c>
      <c r="AQ1083" t="s">
        <v>105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97</v>
      </c>
      <c r="BC1083">
        <v>5</v>
      </c>
      <c r="BD1083" t="s">
        <v>106</v>
      </c>
      <c r="BE1083">
        <v>0</v>
      </c>
      <c r="BG1083" t="s">
        <v>107</v>
      </c>
      <c r="BH1083">
        <v>1963</v>
      </c>
      <c r="BI1083" t="s">
        <v>156</v>
      </c>
      <c r="BJ1083">
        <v>1</v>
      </c>
      <c r="BK1083">
        <v>308</v>
      </c>
      <c r="BL1083" t="s">
        <v>97</v>
      </c>
      <c r="BM1083" t="s">
        <v>97</v>
      </c>
      <c r="BN1083" t="s">
        <v>104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V1083" t="s">
        <v>133</v>
      </c>
      <c r="BX1083">
        <v>0</v>
      </c>
      <c r="BY1083">
        <v>6</v>
      </c>
      <c r="BZ1083">
        <v>2010</v>
      </c>
      <c r="CA1083" t="s">
        <v>109</v>
      </c>
      <c r="CB1083" t="s">
        <v>110</v>
      </c>
      <c r="CC1083">
        <v>133000</v>
      </c>
    </row>
    <row r="1084" spans="1:81" x14ac:dyDescent="0.3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H1084" t="s">
        <v>83</v>
      </c>
      <c r="I1084" t="s">
        <v>84</v>
      </c>
      <c r="J1084" t="s">
        <v>85</v>
      </c>
      <c r="K1084" t="s">
        <v>86</v>
      </c>
      <c r="L1084" t="s">
        <v>87</v>
      </c>
      <c r="M1084" t="s">
        <v>88</v>
      </c>
      <c r="N1084" t="s">
        <v>89</v>
      </c>
      <c r="O1084" t="s">
        <v>89</v>
      </c>
      <c r="P1084" t="s">
        <v>90</v>
      </c>
      <c r="Q1084" t="s">
        <v>114</v>
      </c>
      <c r="R1084">
        <v>7</v>
      </c>
      <c r="S1084">
        <v>5</v>
      </c>
      <c r="T1084">
        <v>2002</v>
      </c>
      <c r="U1084">
        <v>2002</v>
      </c>
      <c r="V1084" t="s">
        <v>92</v>
      </c>
      <c r="W1084" t="s">
        <v>93</v>
      </c>
      <c r="X1084" t="s">
        <v>94</v>
      </c>
      <c r="Y1084" t="s">
        <v>94</v>
      </c>
      <c r="Z1084" t="s">
        <v>95</v>
      </c>
      <c r="AA1084">
        <v>100</v>
      </c>
      <c r="AB1084" t="s">
        <v>96</v>
      </c>
      <c r="AC1084" t="s">
        <v>97</v>
      </c>
      <c r="AD1084" t="s">
        <v>98</v>
      </c>
      <c r="AE1084" t="s">
        <v>96</v>
      </c>
      <c r="AF1084" t="s">
        <v>97</v>
      </c>
      <c r="AG1084" t="s">
        <v>99</v>
      </c>
      <c r="AH1084" t="s">
        <v>101</v>
      </c>
      <c r="AI1084">
        <v>0</v>
      </c>
      <c r="AJ1084" t="s">
        <v>101</v>
      </c>
      <c r="AK1084">
        <v>0</v>
      </c>
      <c r="AL1084">
        <v>1459</v>
      </c>
      <c r="AM1084">
        <v>1459</v>
      </c>
      <c r="AN1084" t="s">
        <v>102</v>
      </c>
      <c r="AO1084" t="s">
        <v>103</v>
      </c>
      <c r="AP1084" t="s">
        <v>104</v>
      </c>
      <c r="AQ1084" t="s">
        <v>105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96</v>
      </c>
      <c r="BC1084">
        <v>6</v>
      </c>
      <c r="BD1084" t="s">
        <v>106</v>
      </c>
      <c r="BE1084">
        <v>1</v>
      </c>
      <c r="BF1084" t="s">
        <v>96</v>
      </c>
      <c r="BG1084" t="s">
        <v>107</v>
      </c>
      <c r="BH1084">
        <v>2002</v>
      </c>
      <c r="BI1084" t="s">
        <v>108</v>
      </c>
      <c r="BJ1084">
        <v>2</v>
      </c>
      <c r="BK1084">
        <v>527</v>
      </c>
      <c r="BL1084" t="s">
        <v>97</v>
      </c>
      <c r="BM1084" t="s">
        <v>97</v>
      </c>
      <c r="BN1084" t="s">
        <v>104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X1084">
        <v>0</v>
      </c>
      <c r="BY1084">
        <v>9</v>
      </c>
      <c r="BZ1084">
        <v>2007</v>
      </c>
      <c r="CA1084" t="s">
        <v>109</v>
      </c>
      <c r="CB1084" t="s">
        <v>110</v>
      </c>
      <c r="CC1084">
        <v>192000</v>
      </c>
    </row>
    <row r="1085" spans="1:81" x14ac:dyDescent="0.3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H1085" t="s">
        <v>83</v>
      </c>
      <c r="I1085" t="s">
        <v>84</v>
      </c>
      <c r="J1085" t="s">
        <v>85</v>
      </c>
      <c r="K1085" t="s">
        <v>86</v>
      </c>
      <c r="L1085" t="s">
        <v>87</v>
      </c>
      <c r="M1085" t="s">
        <v>270</v>
      </c>
      <c r="N1085" t="s">
        <v>89</v>
      </c>
      <c r="O1085" t="s">
        <v>89</v>
      </c>
      <c r="P1085" t="s">
        <v>90</v>
      </c>
      <c r="Q1085" t="s">
        <v>114</v>
      </c>
      <c r="R1085">
        <v>6</v>
      </c>
      <c r="S1085">
        <v>6</v>
      </c>
      <c r="T1085">
        <v>1964</v>
      </c>
      <c r="U1085">
        <v>1964</v>
      </c>
      <c r="V1085" t="s">
        <v>151</v>
      </c>
      <c r="W1085" t="s">
        <v>93</v>
      </c>
      <c r="X1085" t="s">
        <v>139</v>
      </c>
      <c r="Y1085" t="s">
        <v>139</v>
      </c>
      <c r="Z1085" t="s">
        <v>95</v>
      </c>
      <c r="AA1085">
        <v>425</v>
      </c>
      <c r="AB1085" t="s">
        <v>97</v>
      </c>
      <c r="AC1085" t="s">
        <v>97</v>
      </c>
      <c r="AD1085" t="s">
        <v>117</v>
      </c>
      <c r="AE1085" t="s">
        <v>97</v>
      </c>
      <c r="AF1085" t="s">
        <v>97</v>
      </c>
      <c r="AG1085" t="s">
        <v>99</v>
      </c>
      <c r="AH1085" t="s">
        <v>140</v>
      </c>
      <c r="AI1085">
        <v>553</v>
      </c>
      <c r="AJ1085" t="s">
        <v>101</v>
      </c>
      <c r="AK1085">
        <v>0</v>
      </c>
      <c r="AL1085">
        <v>698</v>
      </c>
      <c r="AM1085">
        <v>1251</v>
      </c>
      <c r="AN1085" t="s">
        <v>102</v>
      </c>
      <c r="AO1085" t="s">
        <v>97</v>
      </c>
      <c r="AP1085" t="s">
        <v>104</v>
      </c>
      <c r="AQ1085" t="s">
        <v>105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97</v>
      </c>
      <c r="BC1085">
        <v>6</v>
      </c>
      <c r="BD1085" t="s">
        <v>106</v>
      </c>
      <c r="BE1085">
        <v>2</v>
      </c>
      <c r="BF1085" t="s">
        <v>96</v>
      </c>
      <c r="BG1085" t="s">
        <v>107</v>
      </c>
      <c r="BH1085">
        <v>1964</v>
      </c>
      <c r="BI1085" t="s">
        <v>108</v>
      </c>
      <c r="BJ1085">
        <v>1</v>
      </c>
      <c r="BK1085">
        <v>461</v>
      </c>
      <c r="BL1085" t="s">
        <v>97</v>
      </c>
      <c r="BM1085" t="s">
        <v>97</v>
      </c>
      <c r="BN1085" t="s">
        <v>104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V1085" t="s">
        <v>133</v>
      </c>
      <c r="BW1085" t="s">
        <v>134</v>
      </c>
      <c r="BX1085">
        <v>700</v>
      </c>
      <c r="BY1085">
        <v>3</v>
      </c>
      <c r="BZ1085">
        <v>2006</v>
      </c>
      <c r="CA1085" t="s">
        <v>109</v>
      </c>
      <c r="CB1085" t="s">
        <v>110</v>
      </c>
      <c r="CC1085">
        <v>160000</v>
      </c>
    </row>
    <row r="1086" spans="1:81" x14ac:dyDescent="0.3">
      <c r="A1086">
        <v>1085</v>
      </c>
      <c r="B1086">
        <v>60</v>
      </c>
      <c r="C1086" t="s">
        <v>81</v>
      </c>
      <c r="E1086">
        <v>13031</v>
      </c>
      <c r="F1086" t="s">
        <v>82</v>
      </c>
      <c r="H1086" t="s">
        <v>159</v>
      </c>
      <c r="I1086" t="s">
        <v>84</v>
      </c>
      <c r="J1086" t="s">
        <v>85</v>
      </c>
      <c r="K1086" t="s">
        <v>121</v>
      </c>
      <c r="L1086" t="s">
        <v>87</v>
      </c>
      <c r="M1086" t="s">
        <v>192</v>
      </c>
      <c r="N1086" t="s">
        <v>89</v>
      </c>
      <c r="O1086" t="s">
        <v>89</v>
      </c>
      <c r="P1086" t="s">
        <v>90</v>
      </c>
      <c r="Q1086" t="s">
        <v>91</v>
      </c>
      <c r="R1086">
        <v>6</v>
      </c>
      <c r="S1086">
        <v>5</v>
      </c>
      <c r="T1086">
        <v>1995</v>
      </c>
      <c r="U1086">
        <v>1996</v>
      </c>
      <c r="V1086" t="s">
        <v>92</v>
      </c>
      <c r="W1086" t="s">
        <v>93</v>
      </c>
      <c r="X1086" t="s">
        <v>139</v>
      </c>
      <c r="Y1086" t="s">
        <v>139</v>
      </c>
      <c r="Z1086" t="s">
        <v>116</v>
      </c>
      <c r="AA1086">
        <v>0</v>
      </c>
      <c r="AB1086" t="s">
        <v>97</v>
      </c>
      <c r="AC1086" t="s">
        <v>97</v>
      </c>
      <c r="AD1086" t="s">
        <v>98</v>
      </c>
      <c r="AE1086" t="s">
        <v>96</v>
      </c>
      <c r="AF1086" t="s">
        <v>97</v>
      </c>
      <c r="AG1086" t="s">
        <v>99</v>
      </c>
      <c r="AH1086" t="s">
        <v>118</v>
      </c>
      <c r="AI1086">
        <v>592</v>
      </c>
      <c r="AJ1086" t="s">
        <v>101</v>
      </c>
      <c r="AK1086">
        <v>0</v>
      </c>
      <c r="AL1086">
        <v>99</v>
      </c>
      <c r="AM1086">
        <v>691</v>
      </c>
      <c r="AN1086" t="s">
        <v>102</v>
      </c>
      <c r="AO1086" t="s">
        <v>96</v>
      </c>
      <c r="AP1086" t="s">
        <v>104</v>
      </c>
      <c r="AQ1086" t="s">
        <v>105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97</v>
      </c>
      <c r="BC1086">
        <v>6</v>
      </c>
      <c r="BD1086" t="s">
        <v>106</v>
      </c>
      <c r="BE1086">
        <v>1</v>
      </c>
      <c r="BF1086" t="s">
        <v>97</v>
      </c>
      <c r="BG1086" t="s">
        <v>107</v>
      </c>
      <c r="BH1086">
        <v>1995</v>
      </c>
      <c r="BI1086" t="s">
        <v>156</v>
      </c>
      <c r="BJ1086">
        <v>2</v>
      </c>
      <c r="BK1086">
        <v>409</v>
      </c>
      <c r="BL1086" t="s">
        <v>97</v>
      </c>
      <c r="BM1086" t="s">
        <v>97</v>
      </c>
      <c r="BN1086" t="s">
        <v>104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X1086">
        <v>0</v>
      </c>
      <c r="BY1086">
        <v>7</v>
      </c>
      <c r="BZ1086">
        <v>2006</v>
      </c>
      <c r="CA1086" t="s">
        <v>109</v>
      </c>
      <c r="CB1086" t="s">
        <v>110</v>
      </c>
      <c r="CC1086">
        <v>187500</v>
      </c>
    </row>
    <row r="1087" spans="1:81" x14ac:dyDescent="0.3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H1087" t="s">
        <v>83</v>
      </c>
      <c r="I1087" t="s">
        <v>84</v>
      </c>
      <c r="J1087" t="s">
        <v>85</v>
      </c>
      <c r="K1087" t="s">
        <v>86</v>
      </c>
      <c r="L1087" t="s">
        <v>87</v>
      </c>
      <c r="M1087" t="s">
        <v>169</v>
      </c>
      <c r="N1087" t="s">
        <v>89</v>
      </c>
      <c r="O1087" t="s">
        <v>89</v>
      </c>
      <c r="P1087" t="s">
        <v>90</v>
      </c>
      <c r="Q1087" t="s">
        <v>190</v>
      </c>
      <c r="R1087">
        <v>6</v>
      </c>
      <c r="S1087">
        <v>6</v>
      </c>
      <c r="T1087">
        <v>1992</v>
      </c>
      <c r="U1087">
        <v>1992</v>
      </c>
      <c r="V1087" t="s">
        <v>92</v>
      </c>
      <c r="W1087" t="s">
        <v>93</v>
      </c>
      <c r="X1087" t="s">
        <v>139</v>
      </c>
      <c r="Y1087" t="s">
        <v>139</v>
      </c>
      <c r="Z1087" t="s">
        <v>116</v>
      </c>
      <c r="AA1087">
        <v>0</v>
      </c>
      <c r="AB1087" t="s">
        <v>97</v>
      </c>
      <c r="AC1087" t="s">
        <v>97</v>
      </c>
      <c r="AD1087" t="s">
        <v>98</v>
      </c>
      <c r="AE1087" t="s">
        <v>96</v>
      </c>
      <c r="AF1087" t="s">
        <v>97</v>
      </c>
      <c r="AG1087" t="s">
        <v>129</v>
      </c>
      <c r="AH1087" t="s">
        <v>100</v>
      </c>
      <c r="AI1087">
        <v>747</v>
      </c>
      <c r="AJ1087" t="s">
        <v>101</v>
      </c>
      <c r="AK1087">
        <v>0</v>
      </c>
      <c r="AL1087">
        <v>189</v>
      </c>
      <c r="AM1087">
        <v>936</v>
      </c>
      <c r="AN1087" t="s">
        <v>102</v>
      </c>
      <c r="AO1087" t="s">
        <v>103</v>
      </c>
      <c r="AP1087" t="s">
        <v>104</v>
      </c>
      <c r="AQ1087" t="s">
        <v>105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96</v>
      </c>
      <c r="BC1087">
        <v>5</v>
      </c>
      <c r="BD1087" t="s">
        <v>106</v>
      </c>
      <c r="BE1087">
        <v>0</v>
      </c>
      <c r="BG1087" t="s">
        <v>107</v>
      </c>
      <c r="BH1087">
        <v>1992</v>
      </c>
      <c r="BI1087" t="s">
        <v>101</v>
      </c>
      <c r="BJ1087">
        <v>2</v>
      </c>
      <c r="BK1087">
        <v>564</v>
      </c>
      <c r="BL1087" t="s">
        <v>97</v>
      </c>
      <c r="BM1087" t="s">
        <v>97</v>
      </c>
      <c r="BN1087" t="s">
        <v>104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X1087">
        <v>0</v>
      </c>
      <c r="BY1087">
        <v>4</v>
      </c>
      <c r="BZ1087">
        <v>2010</v>
      </c>
      <c r="CA1087" t="s">
        <v>109</v>
      </c>
      <c r="CB1087" t="s">
        <v>110</v>
      </c>
      <c r="CC1087">
        <v>147000</v>
      </c>
    </row>
    <row r="1088" spans="1:81" x14ac:dyDescent="0.3">
      <c r="A1088">
        <v>1087</v>
      </c>
      <c r="B1088">
        <v>160</v>
      </c>
      <c r="C1088" t="s">
        <v>141</v>
      </c>
      <c r="E1088">
        <v>1974</v>
      </c>
      <c r="F1088" t="s">
        <v>82</v>
      </c>
      <c r="H1088" t="s">
        <v>83</v>
      </c>
      <c r="I1088" t="s">
        <v>84</v>
      </c>
      <c r="J1088" t="s">
        <v>85</v>
      </c>
      <c r="K1088" t="s">
        <v>86</v>
      </c>
      <c r="L1088" t="s">
        <v>87</v>
      </c>
      <c r="M1088" t="s">
        <v>177</v>
      </c>
      <c r="N1088" t="s">
        <v>89</v>
      </c>
      <c r="O1088" t="s">
        <v>89</v>
      </c>
      <c r="P1088" t="s">
        <v>178</v>
      </c>
      <c r="Q1088" t="s">
        <v>91</v>
      </c>
      <c r="R1088">
        <v>4</v>
      </c>
      <c r="S1088">
        <v>5</v>
      </c>
      <c r="T1088">
        <v>1973</v>
      </c>
      <c r="U1088">
        <v>1973</v>
      </c>
      <c r="V1088" t="s">
        <v>92</v>
      </c>
      <c r="W1088" t="s">
        <v>93</v>
      </c>
      <c r="X1088" t="s">
        <v>179</v>
      </c>
      <c r="Y1088" t="s">
        <v>180</v>
      </c>
      <c r="Z1088" t="s">
        <v>116</v>
      </c>
      <c r="AA1088">
        <v>0</v>
      </c>
      <c r="AB1088" t="s">
        <v>97</v>
      </c>
      <c r="AC1088" t="s">
        <v>97</v>
      </c>
      <c r="AD1088" t="s">
        <v>117</v>
      </c>
      <c r="AE1088" t="s">
        <v>97</v>
      </c>
      <c r="AF1088" t="s">
        <v>97</v>
      </c>
      <c r="AG1088" t="s">
        <v>99</v>
      </c>
      <c r="AH1088" t="s">
        <v>140</v>
      </c>
      <c r="AI1088">
        <v>334</v>
      </c>
      <c r="AJ1088" t="s">
        <v>101</v>
      </c>
      <c r="AK1088">
        <v>0</v>
      </c>
      <c r="AL1088">
        <v>212</v>
      </c>
      <c r="AM1088">
        <v>546</v>
      </c>
      <c r="AN1088" t="s">
        <v>102</v>
      </c>
      <c r="AO1088" t="s">
        <v>97</v>
      </c>
      <c r="AP1088" t="s">
        <v>104</v>
      </c>
      <c r="AQ1088" t="s">
        <v>105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97</v>
      </c>
      <c r="BC1088">
        <v>6</v>
      </c>
      <c r="BD1088" t="s">
        <v>106</v>
      </c>
      <c r="BE1088">
        <v>0</v>
      </c>
      <c r="BG1088" t="s">
        <v>107</v>
      </c>
      <c r="BH1088">
        <v>1973</v>
      </c>
      <c r="BI1088" t="s">
        <v>108</v>
      </c>
      <c r="BJ1088">
        <v>1</v>
      </c>
      <c r="BK1088">
        <v>286</v>
      </c>
      <c r="BL1088" t="s">
        <v>97</v>
      </c>
      <c r="BM1088" t="s">
        <v>97</v>
      </c>
      <c r="BN1088" t="s">
        <v>104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X1088">
        <v>0</v>
      </c>
      <c r="BY1088">
        <v>5</v>
      </c>
      <c r="BZ1088">
        <v>2010</v>
      </c>
      <c r="CA1088" t="s">
        <v>109</v>
      </c>
      <c r="CB1088" t="s">
        <v>110</v>
      </c>
      <c r="CC1088">
        <v>83500</v>
      </c>
    </row>
    <row r="1089" spans="1:81" x14ac:dyDescent="0.3">
      <c r="A1089">
        <v>1088</v>
      </c>
      <c r="B1089">
        <v>60</v>
      </c>
      <c r="C1089" t="s">
        <v>191</v>
      </c>
      <c r="D1089">
        <v>85</v>
      </c>
      <c r="E1089">
        <v>10574</v>
      </c>
      <c r="F1089" t="s">
        <v>82</v>
      </c>
      <c r="H1089" t="s">
        <v>83</v>
      </c>
      <c r="I1089" t="s">
        <v>84</v>
      </c>
      <c r="J1089" t="s">
        <v>85</v>
      </c>
      <c r="K1089" t="s">
        <v>86</v>
      </c>
      <c r="L1089" t="s">
        <v>87</v>
      </c>
      <c r="M1089" t="s">
        <v>135</v>
      </c>
      <c r="N1089" t="s">
        <v>89</v>
      </c>
      <c r="O1089" t="s">
        <v>89</v>
      </c>
      <c r="P1089" t="s">
        <v>90</v>
      </c>
      <c r="Q1089" t="s">
        <v>91</v>
      </c>
      <c r="R1089">
        <v>8</v>
      </c>
      <c r="S1089">
        <v>5</v>
      </c>
      <c r="T1089">
        <v>2005</v>
      </c>
      <c r="U1089">
        <v>2006</v>
      </c>
      <c r="V1089" t="s">
        <v>92</v>
      </c>
      <c r="W1089" t="s">
        <v>93</v>
      </c>
      <c r="X1089" t="s">
        <v>94</v>
      </c>
      <c r="Y1089" t="s">
        <v>94</v>
      </c>
      <c r="Z1089" t="s">
        <v>116</v>
      </c>
      <c r="AA1089">
        <v>0</v>
      </c>
      <c r="AB1089" t="s">
        <v>96</v>
      </c>
      <c r="AC1089" t="s">
        <v>97</v>
      </c>
      <c r="AD1089" t="s">
        <v>98</v>
      </c>
      <c r="AE1089" t="s">
        <v>96</v>
      </c>
      <c r="AF1089" t="s">
        <v>97</v>
      </c>
      <c r="AG1089" t="s">
        <v>120</v>
      </c>
      <c r="AH1089" t="s">
        <v>101</v>
      </c>
      <c r="AI1089">
        <v>0</v>
      </c>
      <c r="AJ1089" t="s">
        <v>101</v>
      </c>
      <c r="AK1089">
        <v>0</v>
      </c>
      <c r="AL1089">
        <v>1082</v>
      </c>
      <c r="AM1089">
        <v>1082</v>
      </c>
      <c r="AN1089" t="s">
        <v>102</v>
      </c>
      <c r="AO1089" t="s">
        <v>103</v>
      </c>
      <c r="AP1089" t="s">
        <v>104</v>
      </c>
      <c r="AQ1089" t="s">
        <v>105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96</v>
      </c>
      <c r="BC1089">
        <v>9</v>
      </c>
      <c r="BD1089" t="s">
        <v>106</v>
      </c>
      <c r="BE1089">
        <v>1</v>
      </c>
      <c r="BF1089" t="s">
        <v>96</v>
      </c>
      <c r="BG1089" t="s">
        <v>107</v>
      </c>
      <c r="BH1089">
        <v>2005</v>
      </c>
      <c r="BI1089" t="s">
        <v>108</v>
      </c>
      <c r="BJ1089">
        <v>3</v>
      </c>
      <c r="BK1089">
        <v>1043</v>
      </c>
      <c r="BL1089" t="s">
        <v>97</v>
      </c>
      <c r="BM1089" t="s">
        <v>97</v>
      </c>
      <c r="BN1089" t="s">
        <v>104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X1089">
        <v>0</v>
      </c>
      <c r="BY1089">
        <v>5</v>
      </c>
      <c r="BZ1089">
        <v>2009</v>
      </c>
      <c r="CA1089" t="s">
        <v>109</v>
      </c>
      <c r="CB1089" t="s">
        <v>110</v>
      </c>
      <c r="CC1089">
        <v>252000</v>
      </c>
    </row>
    <row r="1090" spans="1:81" x14ac:dyDescent="0.3">
      <c r="A1090">
        <v>1089</v>
      </c>
      <c r="B1090">
        <v>160</v>
      </c>
      <c r="C1090" t="s">
        <v>141</v>
      </c>
      <c r="D1090">
        <v>24</v>
      </c>
      <c r="E1090">
        <v>2522</v>
      </c>
      <c r="F1090" t="s">
        <v>82</v>
      </c>
      <c r="H1090" t="s">
        <v>83</v>
      </c>
      <c r="I1090" t="s">
        <v>84</v>
      </c>
      <c r="J1090" t="s">
        <v>85</v>
      </c>
      <c r="K1090" t="s">
        <v>86</v>
      </c>
      <c r="L1090" t="s">
        <v>87</v>
      </c>
      <c r="M1090" t="s">
        <v>184</v>
      </c>
      <c r="N1090" t="s">
        <v>89</v>
      </c>
      <c r="O1090" t="s">
        <v>89</v>
      </c>
      <c r="P1090" t="s">
        <v>197</v>
      </c>
      <c r="Q1090" t="s">
        <v>91</v>
      </c>
      <c r="R1090">
        <v>7</v>
      </c>
      <c r="S1090">
        <v>5</v>
      </c>
      <c r="T1090">
        <v>2004</v>
      </c>
      <c r="U1090">
        <v>2004</v>
      </c>
      <c r="V1090" t="s">
        <v>92</v>
      </c>
      <c r="W1090" t="s">
        <v>93</v>
      </c>
      <c r="X1090" t="s">
        <v>94</v>
      </c>
      <c r="Y1090" t="s">
        <v>94</v>
      </c>
      <c r="Z1090" t="s">
        <v>136</v>
      </c>
      <c r="AA1090">
        <v>50</v>
      </c>
      <c r="AB1090" t="s">
        <v>96</v>
      </c>
      <c r="AC1090" t="s">
        <v>97</v>
      </c>
      <c r="AD1090" t="s">
        <v>98</v>
      </c>
      <c r="AE1090" t="s">
        <v>96</v>
      </c>
      <c r="AF1090" t="s">
        <v>97</v>
      </c>
      <c r="AG1090" t="s">
        <v>99</v>
      </c>
      <c r="AH1090" t="s">
        <v>101</v>
      </c>
      <c r="AI1090">
        <v>0</v>
      </c>
      <c r="AJ1090" t="s">
        <v>101</v>
      </c>
      <c r="AK1090">
        <v>0</v>
      </c>
      <c r="AL1090">
        <v>970</v>
      </c>
      <c r="AM1090">
        <v>970</v>
      </c>
      <c r="AN1090" t="s">
        <v>102</v>
      </c>
      <c r="AO1090" t="s">
        <v>103</v>
      </c>
      <c r="AP1090" t="s">
        <v>104</v>
      </c>
      <c r="AQ1090" t="s">
        <v>105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96</v>
      </c>
      <c r="BC1090">
        <v>7</v>
      </c>
      <c r="BD1090" t="s">
        <v>220</v>
      </c>
      <c r="BE1090">
        <v>0</v>
      </c>
      <c r="BG1090" t="s">
        <v>126</v>
      </c>
      <c r="BH1090">
        <v>2004</v>
      </c>
      <c r="BI1090" t="s">
        <v>101</v>
      </c>
      <c r="BJ1090">
        <v>2</v>
      </c>
      <c r="BK1090">
        <v>380</v>
      </c>
      <c r="BL1090" t="s">
        <v>97</v>
      </c>
      <c r="BM1090" t="s">
        <v>97</v>
      </c>
      <c r="BN1090" t="s">
        <v>104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X1090">
        <v>0</v>
      </c>
      <c r="BY1090">
        <v>4</v>
      </c>
      <c r="BZ1090">
        <v>2006</v>
      </c>
      <c r="CA1090" t="s">
        <v>109</v>
      </c>
      <c r="CB1090" t="s">
        <v>110</v>
      </c>
      <c r="CC1090">
        <v>137500</v>
      </c>
    </row>
    <row r="1091" spans="1:81" x14ac:dyDescent="0.3">
      <c r="A1091">
        <v>1090</v>
      </c>
      <c r="B1091">
        <v>120</v>
      </c>
      <c r="C1091" t="s">
        <v>191</v>
      </c>
      <c r="D1091">
        <v>37</v>
      </c>
      <c r="E1091">
        <v>3316</v>
      </c>
      <c r="F1091" t="s">
        <v>82</v>
      </c>
      <c r="G1091" t="s">
        <v>82</v>
      </c>
      <c r="H1091" t="s">
        <v>119</v>
      </c>
      <c r="I1091" t="s">
        <v>84</v>
      </c>
      <c r="J1091" t="s">
        <v>85</v>
      </c>
      <c r="K1091" t="s">
        <v>86</v>
      </c>
      <c r="L1091" t="s">
        <v>87</v>
      </c>
      <c r="M1091" t="s">
        <v>135</v>
      </c>
      <c r="N1091" t="s">
        <v>89</v>
      </c>
      <c r="O1091" t="s">
        <v>89</v>
      </c>
      <c r="P1091" t="s">
        <v>178</v>
      </c>
      <c r="Q1091" t="s">
        <v>114</v>
      </c>
      <c r="R1091">
        <v>8</v>
      </c>
      <c r="S1091">
        <v>5</v>
      </c>
      <c r="T1091">
        <v>2005</v>
      </c>
      <c r="U1091">
        <v>2005</v>
      </c>
      <c r="V1091" t="s">
        <v>92</v>
      </c>
      <c r="W1091" t="s">
        <v>93</v>
      </c>
      <c r="X1091" t="s">
        <v>115</v>
      </c>
      <c r="Y1091" t="s">
        <v>115</v>
      </c>
      <c r="Z1091" t="s">
        <v>116</v>
      </c>
      <c r="AA1091">
        <v>0</v>
      </c>
      <c r="AB1091" t="s">
        <v>96</v>
      </c>
      <c r="AC1091" t="s">
        <v>97</v>
      </c>
      <c r="AD1091" t="s">
        <v>98</v>
      </c>
      <c r="AE1091" t="s">
        <v>96</v>
      </c>
      <c r="AF1091" t="s">
        <v>97</v>
      </c>
      <c r="AG1091" t="s">
        <v>99</v>
      </c>
      <c r="AH1091" t="s">
        <v>100</v>
      </c>
      <c r="AI1091">
        <v>1039</v>
      </c>
      <c r="AJ1091" t="s">
        <v>101</v>
      </c>
      <c r="AK1091">
        <v>0</v>
      </c>
      <c r="AL1091">
        <v>208</v>
      </c>
      <c r="AM1091">
        <v>1247</v>
      </c>
      <c r="AN1091" t="s">
        <v>102</v>
      </c>
      <c r="AO1091" t="s">
        <v>103</v>
      </c>
      <c r="AP1091" t="s">
        <v>104</v>
      </c>
      <c r="AQ1091" t="s">
        <v>105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96</v>
      </c>
      <c r="BC1091">
        <v>4</v>
      </c>
      <c r="BD1091" t="s">
        <v>106</v>
      </c>
      <c r="BE1091">
        <v>1</v>
      </c>
      <c r="BF1091" t="s">
        <v>96</v>
      </c>
      <c r="BG1091" t="s">
        <v>107</v>
      </c>
      <c r="BH1091">
        <v>2005</v>
      </c>
      <c r="BI1091" t="s">
        <v>156</v>
      </c>
      <c r="BJ1091">
        <v>2</v>
      </c>
      <c r="BK1091">
        <v>550</v>
      </c>
      <c r="BL1091" t="s">
        <v>97</v>
      </c>
      <c r="BM1091" t="s">
        <v>97</v>
      </c>
      <c r="BN1091" t="s">
        <v>104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X1091">
        <v>0</v>
      </c>
      <c r="BY1091">
        <v>4</v>
      </c>
      <c r="BZ1091">
        <v>2006</v>
      </c>
      <c r="CA1091" t="s">
        <v>109</v>
      </c>
      <c r="CB1091" t="s">
        <v>110</v>
      </c>
      <c r="CC1091">
        <v>197000</v>
      </c>
    </row>
    <row r="1092" spans="1:81" x14ac:dyDescent="0.3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H1092" t="s">
        <v>83</v>
      </c>
      <c r="I1092" t="s">
        <v>84</v>
      </c>
      <c r="J1092" t="s">
        <v>85</v>
      </c>
      <c r="K1092" t="s">
        <v>121</v>
      </c>
      <c r="L1092" t="s">
        <v>87</v>
      </c>
      <c r="M1092" t="s">
        <v>270</v>
      </c>
      <c r="N1092" t="s">
        <v>89</v>
      </c>
      <c r="O1092" t="s">
        <v>89</v>
      </c>
      <c r="P1092" t="s">
        <v>166</v>
      </c>
      <c r="Q1092" t="s">
        <v>114</v>
      </c>
      <c r="R1092">
        <v>3</v>
      </c>
      <c r="S1092">
        <v>4</v>
      </c>
      <c r="T1092">
        <v>1950</v>
      </c>
      <c r="U1092">
        <v>1950</v>
      </c>
      <c r="V1092" t="s">
        <v>92</v>
      </c>
      <c r="W1092" t="s">
        <v>93</v>
      </c>
      <c r="X1092" t="s">
        <v>95</v>
      </c>
      <c r="Y1092" t="s">
        <v>95</v>
      </c>
      <c r="Z1092" t="s">
        <v>116</v>
      </c>
      <c r="AA1092">
        <v>0</v>
      </c>
      <c r="AB1092" t="s">
        <v>97</v>
      </c>
      <c r="AC1092" t="s">
        <v>97</v>
      </c>
      <c r="AD1092" t="s">
        <v>167</v>
      </c>
      <c r="AI1092">
        <v>0</v>
      </c>
      <c r="AK1092">
        <v>0</v>
      </c>
      <c r="AL1092">
        <v>0</v>
      </c>
      <c r="AM1092">
        <v>0</v>
      </c>
      <c r="AN1092" t="s">
        <v>239</v>
      </c>
      <c r="AO1092" t="s">
        <v>146</v>
      </c>
      <c r="AP1092" t="s">
        <v>176</v>
      </c>
      <c r="AQ1092" t="s">
        <v>163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97</v>
      </c>
      <c r="BC1092">
        <v>6</v>
      </c>
      <c r="BD1092" t="s">
        <v>106</v>
      </c>
      <c r="BE1092">
        <v>0</v>
      </c>
      <c r="BG1092" t="s">
        <v>126</v>
      </c>
      <c r="BH1092">
        <v>1987</v>
      </c>
      <c r="BI1092" t="s">
        <v>101</v>
      </c>
      <c r="BJ1092">
        <v>2</v>
      </c>
      <c r="BK1092">
        <v>400</v>
      </c>
      <c r="BL1092" t="s">
        <v>97</v>
      </c>
      <c r="BM1092" t="s">
        <v>97</v>
      </c>
      <c r="BN1092" t="s">
        <v>104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X1092">
        <v>0</v>
      </c>
      <c r="BY1092">
        <v>6</v>
      </c>
      <c r="BZ1092">
        <v>2009</v>
      </c>
      <c r="CA1092" t="s">
        <v>109</v>
      </c>
      <c r="CB1092" t="s">
        <v>110</v>
      </c>
      <c r="CC1092">
        <v>92900</v>
      </c>
    </row>
    <row r="1093" spans="1:81" x14ac:dyDescent="0.3">
      <c r="A1093">
        <v>1092</v>
      </c>
      <c r="B1093">
        <v>160</v>
      </c>
      <c r="C1093" t="s">
        <v>191</v>
      </c>
      <c r="D1093">
        <v>24</v>
      </c>
      <c r="E1093">
        <v>2160</v>
      </c>
      <c r="F1093" t="s">
        <v>82</v>
      </c>
      <c r="G1093" t="s">
        <v>82</v>
      </c>
      <c r="H1093" t="s">
        <v>83</v>
      </c>
      <c r="I1093" t="s">
        <v>84</v>
      </c>
      <c r="J1093" t="s">
        <v>85</v>
      </c>
      <c r="K1093" t="s">
        <v>86</v>
      </c>
      <c r="L1093" t="s">
        <v>87</v>
      </c>
      <c r="M1093" t="s">
        <v>135</v>
      </c>
      <c r="N1093" t="s">
        <v>89</v>
      </c>
      <c r="O1093" t="s">
        <v>89</v>
      </c>
      <c r="P1093" t="s">
        <v>197</v>
      </c>
      <c r="Q1093" t="s">
        <v>91</v>
      </c>
      <c r="R1093">
        <v>7</v>
      </c>
      <c r="S1093">
        <v>5</v>
      </c>
      <c r="T1093">
        <v>1999</v>
      </c>
      <c r="U1093">
        <v>2000</v>
      </c>
      <c r="V1093" t="s">
        <v>92</v>
      </c>
      <c r="W1093" t="s">
        <v>93</v>
      </c>
      <c r="X1093" t="s">
        <v>115</v>
      </c>
      <c r="Y1093" t="s">
        <v>115</v>
      </c>
      <c r="Z1093" t="s">
        <v>95</v>
      </c>
      <c r="AA1093">
        <v>212</v>
      </c>
      <c r="AB1093" t="s">
        <v>96</v>
      </c>
      <c r="AC1093" t="s">
        <v>97</v>
      </c>
      <c r="AD1093" t="s">
        <v>98</v>
      </c>
      <c r="AE1093" t="s">
        <v>96</v>
      </c>
      <c r="AF1093" t="s">
        <v>97</v>
      </c>
      <c r="AG1093" t="s">
        <v>99</v>
      </c>
      <c r="AH1093" t="s">
        <v>140</v>
      </c>
      <c r="AI1093">
        <v>510</v>
      </c>
      <c r="AJ1093" t="s">
        <v>101</v>
      </c>
      <c r="AK1093">
        <v>0</v>
      </c>
      <c r="AL1093">
        <v>90</v>
      </c>
      <c r="AM1093">
        <v>600</v>
      </c>
      <c r="AN1093" t="s">
        <v>102</v>
      </c>
      <c r="AO1093" t="s">
        <v>103</v>
      </c>
      <c r="AP1093" t="s">
        <v>104</v>
      </c>
      <c r="AQ1093" t="s">
        <v>105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96</v>
      </c>
      <c r="BC1093">
        <v>4</v>
      </c>
      <c r="BD1093" t="s">
        <v>106</v>
      </c>
      <c r="BE1093">
        <v>0</v>
      </c>
      <c r="BG1093" t="s">
        <v>126</v>
      </c>
      <c r="BH1093">
        <v>1999</v>
      </c>
      <c r="BI1093" t="s">
        <v>101</v>
      </c>
      <c r="BJ1093">
        <v>2</v>
      </c>
      <c r="BK1093">
        <v>462</v>
      </c>
      <c r="BL1093" t="s">
        <v>97</v>
      </c>
      <c r="BM1093" t="s">
        <v>97</v>
      </c>
      <c r="BN1093" t="s">
        <v>104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X1093">
        <v>0</v>
      </c>
      <c r="BY1093">
        <v>3</v>
      </c>
      <c r="BZ1093">
        <v>2008</v>
      </c>
      <c r="CA1093" t="s">
        <v>109</v>
      </c>
      <c r="CB1093" t="s">
        <v>110</v>
      </c>
      <c r="CC1093">
        <v>160000</v>
      </c>
    </row>
    <row r="1094" spans="1:81" x14ac:dyDescent="0.3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H1094" t="s">
        <v>83</v>
      </c>
      <c r="I1094" t="s">
        <v>174</v>
      </c>
      <c r="J1094" t="s">
        <v>85</v>
      </c>
      <c r="K1094" t="s">
        <v>86</v>
      </c>
      <c r="L1094" t="s">
        <v>87</v>
      </c>
      <c r="M1094" t="s">
        <v>231</v>
      </c>
      <c r="N1094" t="s">
        <v>89</v>
      </c>
      <c r="O1094" t="s">
        <v>89</v>
      </c>
      <c r="P1094" t="s">
        <v>90</v>
      </c>
      <c r="Q1094" t="s">
        <v>131</v>
      </c>
      <c r="R1094">
        <v>6</v>
      </c>
      <c r="S1094">
        <v>5</v>
      </c>
      <c r="T1094">
        <v>1925</v>
      </c>
      <c r="U1094">
        <v>1950</v>
      </c>
      <c r="V1094" t="s">
        <v>92</v>
      </c>
      <c r="W1094" t="s">
        <v>93</v>
      </c>
      <c r="X1094" t="s">
        <v>115</v>
      </c>
      <c r="Y1094" t="s">
        <v>115</v>
      </c>
      <c r="Z1094" t="s">
        <v>116</v>
      </c>
      <c r="AA1094">
        <v>0</v>
      </c>
      <c r="AB1094" t="s">
        <v>97</v>
      </c>
      <c r="AC1094" t="s">
        <v>97</v>
      </c>
      <c r="AD1094" t="s">
        <v>98</v>
      </c>
      <c r="AE1094" t="s">
        <v>97</v>
      </c>
      <c r="AF1094" t="s">
        <v>97</v>
      </c>
      <c r="AG1094" t="s">
        <v>99</v>
      </c>
      <c r="AH1094" t="s">
        <v>152</v>
      </c>
      <c r="AI1094">
        <v>423</v>
      </c>
      <c r="AJ1094" t="s">
        <v>101</v>
      </c>
      <c r="AK1094">
        <v>0</v>
      </c>
      <c r="AL1094">
        <v>758</v>
      </c>
      <c r="AM1094">
        <v>1181</v>
      </c>
      <c r="AN1094" t="s">
        <v>102</v>
      </c>
      <c r="AO1094" t="s">
        <v>146</v>
      </c>
      <c r="AP1094" t="s">
        <v>104</v>
      </c>
      <c r="AQ1094" t="s">
        <v>105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97</v>
      </c>
      <c r="BC1094">
        <v>7</v>
      </c>
      <c r="BD1094" t="s">
        <v>106</v>
      </c>
      <c r="BE1094">
        <v>1</v>
      </c>
      <c r="BF1094" t="s">
        <v>96</v>
      </c>
      <c r="BG1094" t="s">
        <v>126</v>
      </c>
      <c r="BH1094">
        <v>1925</v>
      </c>
      <c r="BI1094" t="s">
        <v>101</v>
      </c>
      <c r="BJ1094">
        <v>2</v>
      </c>
      <c r="BK1094">
        <v>576</v>
      </c>
      <c r="BL1094" t="s">
        <v>97</v>
      </c>
      <c r="BM1094" t="s">
        <v>97</v>
      </c>
      <c r="BN1094" t="s">
        <v>104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X1094">
        <v>0</v>
      </c>
      <c r="BY1094">
        <v>6</v>
      </c>
      <c r="BZ1094">
        <v>2008</v>
      </c>
      <c r="CA1094" t="s">
        <v>109</v>
      </c>
      <c r="CB1094" t="s">
        <v>110</v>
      </c>
      <c r="CC1094">
        <v>136500</v>
      </c>
    </row>
    <row r="1095" spans="1:81" x14ac:dyDescent="0.3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H1095" t="s">
        <v>83</v>
      </c>
      <c r="I1095" t="s">
        <v>84</v>
      </c>
      <c r="J1095" t="s">
        <v>85</v>
      </c>
      <c r="K1095" t="s">
        <v>121</v>
      </c>
      <c r="L1095" t="s">
        <v>87</v>
      </c>
      <c r="M1095" t="s">
        <v>270</v>
      </c>
      <c r="N1095" t="s">
        <v>113</v>
      </c>
      <c r="O1095" t="s">
        <v>89</v>
      </c>
      <c r="P1095" t="s">
        <v>90</v>
      </c>
      <c r="Q1095" t="s">
        <v>114</v>
      </c>
      <c r="R1095">
        <v>5</v>
      </c>
      <c r="S1095">
        <v>8</v>
      </c>
      <c r="T1095">
        <v>1965</v>
      </c>
      <c r="U1095">
        <v>1998</v>
      </c>
      <c r="V1095" t="s">
        <v>151</v>
      </c>
      <c r="W1095" t="s">
        <v>93</v>
      </c>
      <c r="X1095" t="s">
        <v>115</v>
      </c>
      <c r="Y1095" t="s">
        <v>115</v>
      </c>
      <c r="Z1095" t="s">
        <v>95</v>
      </c>
      <c r="AA1095">
        <v>166</v>
      </c>
      <c r="AB1095" t="s">
        <v>97</v>
      </c>
      <c r="AC1095" t="s">
        <v>97</v>
      </c>
      <c r="AD1095" t="s">
        <v>117</v>
      </c>
      <c r="AE1095" t="s">
        <v>97</v>
      </c>
      <c r="AF1095" t="s">
        <v>97</v>
      </c>
      <c r="AG1095" t="s">
        <v>120</v>
      </c>
      <c r="AH1095" t="s">
        <v>100</v>
      </c>
      <c r="AI1095">
        <v>661</v>
      </c>
      <c r="AJ1095" t="s">
        <v>101</v>
      </c>
      <c r="AK1095">
        <v>0</v>
      </c>
      <c r="AL1095">
        <v>203</v>
      </c>
      <c r="AM1095">
        <v>864</v>
      </c>
      <c r="AN1095" t="s">
        <v>102</v>
      </c>
      <c r="AO1095" t="s">
        <v>96</v>
      </c>
      <c r="AP1095" t="s">
        <v>104</v>
      </c>
      <c r="AQ1095" t="s">
        <v>105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96</v>
      </c>
      <c r="BC1095">
        <v>6</v>
      </c>
      <c r="BD1095" t="s">
        <v>106</v>
      </c>
      <c r="BE1095">
        <v>0</v>
      </c>
      <c r="BG1095" t="s">
        <v>126</v>
      </c>
      <c r="BH1095">
        <v>1977</v>
      </c>
      <c r="BI1095" t="s">
        <v>101</v>
      </c>
      <c r="BJ1095">
        <v>2</v>
      </c>
      <c r="BK1095">
        <v>884</v>
      </c>
      <c r="BL1095" t="s">
        <v>97</v>
      </c>
      <c r="BM1095" t="s">
        <v>97</v>
      </c>
      <c r="BN1095" t="s">
        <v>104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V1095" t="s">
        <v>133</v>
      </c>
      <c r="BX1095">
        <v>0</v>
      </c>
      <c r="BY1095">
        <v>10</v>
      </c>
      <c r="BZ1095">
        <v>2006</v>
      </c>
      <c r="CA1095" t="s">
        <v>109</v>
      </c>
      <c r="CB1095" t="s">
        <v>110</v>
      </c>
      <c r="CC1095">
        <v>146000</v>
      </c>
    </row>
    <row r="1096" spans="1:81" x14ac:dyDescent="0.3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H1096" t="s">
        <v>83</v>
      </c>
      <c r="I1096" t="s">
        <v>84</v>
      </c>
      <c r="J1096" t="s">
        <v>85</v>
      </c>
      <c r="K1096" t="s">
        <v>86</v>
      </c>
      <c r="L1096" t="s">
        <v>87</v>
      </c>
      <c r="M1096" t="s">
        <v>270</v>
      </c>
      <c r="N1096" t="s">
        <v>89</v>
      </c>
      <c r="O1096" t="s">
        <v>89</v>
      </c>
      <c r="P1096" t="s">
        <v>90</v>
      </c>
      <c r="Q1096" t="s">
        <v>114</v>
      </c>
      <c r="R1096">
        <v>5</v>
      </c>
      <c r="S1096">
        <v>7</v>
      </c>
      <c r="T1096">
        <v>1956</v>
      </c>
      <c r="U1096">
        <v>2000</v>
      </c>
      <c r="V1096" t="s">
        <v>92</v>
      </c>
      <c r="W1096" t="s">
        <v>93</v>
      </c>
      <c r="X1096" t="s">
        <v>115</v>
      </c>
      <c r="Y1096" t="s">
        <v>115</v>
      </c>
      <c r="Z1096" t="s">
        <v>116</v>
      </c>
      <c r="AA1096">
        <v>0</v>
      </c>
      <c r="AB1096" t="s">
        <v>97</v>
      </c>
      <c r="AC1096" t="s">
        <v>97</v>
      </c>
      <c r="AD1096" t="s">
        <v>117</v>
      </c>
      <c r="AE1096" t="s">
        <v>97</v>
      </c>
      <c r="AF1096" t="s">
        <v>97</v>
      </c>
      <c r="AG1096" t="s">
        <v>99</v>
      </c>
      <c r="AH1096" t="s">
        <v>140</v>
      </c>
      <c r="AI1096">
        <v>248</v>
      </c>
      <c r="AJ1096" t="s">
        <v>152</v>
      </c>
      <c r="AK1096">
        <v>240</v>
      </c>
      <c r="AL1096">
        <v>448</v>
      </c>
      <c r="AM1096">
        <v>936</v>
      </c>
      <c r="AN1096" t="s">
        <v>102</v>
      </c>
      <c r="AO1096" t="s">
        <v>103</v>
      </c>
      <c r="AP1096" t="s">
        <v>104</v>
      </c>
      <c r="AQ1096" t="s">
        <v>105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97</v>
      </c>
      <c r="BC1096">
        <v>4</v>
      </c>
      <c r="BD1096" t="s">
        <v>106</v>
      </c>
      <c r="BE1096">
        <v>0</v>
      </c>
      <c r="BG1096" t="s">
        <v>107</v>
      </c>
      <c r="BH1096">
        <v>1956</v>
      </c>
      <c r="BI1096" t="s">
        <v>156</v>
      </c>
      <c r="BJ1096">
        <v>1</v>
      </c>
      <c r="BK1096">
        <v>308</v>
      </c>
      <c r="BL1096" t="s">
        <v>97</v>
      </c>
      <c r="BM1096" t="s">
        <v>97</v>
      </c>
      <c r="BN1096" t="s">
        <v>104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X1096">
        <v>0</v>
      </c>
      <c r="BY1096">
        <v>5</v>
      </c>
      <c r="BZ1096">
        <v>2010</v>
      </c>
      <c r="CA1096" t="s">
        <v>109</v>
      </c>
      <c r="CB1096" t="s">
        <v>110</v>
      </c>
      <c r="CC1096">
        <v>129000</v>
      </c>
    </row>
    <row r="1097" spans="1:81" x14ac:dyDescent="0.3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H1097" t="s">
        <v>119</v>
      </c>
      <c r="I1097" t="s">
        <v>84</v>
      </c>
      <c r="J1097" t="s">
        <v>85</v>
      </c>
      <c r="K1097" t="s">
        <v>86</v>
      </c>
      <c r="L1097" t="s">
        <v>87</v>
      </c>
      <c r="M1097" t="s">
        <v>88</v>
      </c>
      <c r="N1097" t="s">
        <v>89</v>
      </c>
      <c r="O1097" t="s">
        <v>89</v>
      </c>
      <c r="P1097" t="s">
        <v>90</v>
      </c>
      <c r="Q1097" t="s">
        <v>114</v>
      </c>
      <c r="R1097">
        <v>6</v>
      </c>
      <c r="S1097">
        <v>5</v>
      </c>
      <c r="T1097">
        <v>2006</v>
      </c>
      <c r="U1097">
        <v>2006</v>
      </c>
      <c r="V1097" t="s">
        <v>92</v>
      </c>
      <c r="W1097" t="s">
        <v>93</v>
      </c>
      <c r="X1097" t="s">
        <v>94</v>
      </c>
      <c r="Y1097" t="s">
        <v>94</v>
      </c>
      <c r="Z1097" t="s">
        <v>116</v>
      </c>
      <c r="AA1097">
        <v>0</v>
      </c>
      <c r="AB1097" t="s">
        <v>96</v>
      </c>
      <c r="AC1097" t="s">
        <v>97</v>
      </c>
      <c r="AD1097" t="s">
        <v>98</v>
      </c>
      <c r="AE1097" t="s">
        <v>96</v>
      </c>
      <c r="AF1097" t="s">
        <v>97</v>
      </c>
      <c r="AG1097" t="s">
        <v>99</v>
      </c>
      <c r="AH1097" t="s">
        <v>100</v>
      </c>
      <c r="AI1097">
        <v>24</v>
      </c>
      <c r="AJ1097" t="s">
        <v>101</v>
      </c>
      <c r="AK1097">
        <v>0</v>
      </c>
      <c r="AL1097">
        <v>1290</v>
      </c>
      <c r="AM1097">
        <v>1314</v>
      </c>
      <c r="AN1097" t="s">
        <v>102</v>
      </c>
      <c r="AO1097" t="s">
        <v>96</v>
      </c>
      <c r="AP1097" t="s">
        <v>104</v>
      </c>
      <c r="AQ1097" t="s">
        <v>105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96</v>
      </c>
      <c r="BC1097">
        <v>6</v>
      </c>
      <c r="BD1097" t="s">
        <v>106</v>
      </c>
      <c r="BE1097">
        <v>1</v>
      </c>
      <c r="BF1097" t="s">
        <v>96</v>
      </c>
      <c r="BG1097" t="s">
        <v>107</v>
      </c>
      <c r="BH1097">
        <v>2006</v>
      </c>
      <c r="BI1097" t="s">
        <v>108</v>
      </c>
      <c r="BJ1097">
        <v>2</v>
      </c>
      <c r="BK1097">
        <v>440</v>
      </c>
      <c r="BL1097" t="s">
        <v>97</v>
      </c>
      <c r="BM1097" t="s">
        <v>97</v>
      </c>
      <c r="BN1097" t="s">
        <v>104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X1097">
        <v>0</v>
      </c>
      <c r="BY1097">
        <v>3</v>
      </c>
      <c r="BZ1097">
        <v>2007</v>
      </c>
      <c r="CA1097" t="s">
        <v>109</v>
      </c>
      <c r="CB1097" t="s">
        <v>110</v>
      </c>
      <c r="CC1097">
        <v>176432</v>
      </c>
    </row>
    <row r="1098" spans="1:81" x14ac:dyDescent="0.3">
      <c r="A1098">
        <v>1097</v>
      </c>
      <c r="B1098">
        <v>70</v>
      </c>
      <c r="C1098" t="s">
        <v>141</v>
      </c>
      <c r="D1098">
        <v>60</v>
      </c>
      <c r="E1098">
        <v>6882</v>
      </c>
      <c r="F1098" t="s">
        <v>82</v>
      </c>
      <c r="H1098" t="s">
        <v>83</v>
      </c>
      <c r="I1098" t="s">
        <v>84</v>
      </c>
      <c r="J1098" t="s">
        <v>85</v>
      </c>
      <c r="K1098" t="s">
        <v>86</v>
      </c>
      <c r="L1098" t="s">
        <v>87</v>
      </c>
      <c r="M1098" t="s">
        <v>175</v>
      </c>
      <c r="N1098" t="s">
        <v>89</v>
      </c>
      <c r="O1098" t="s">
        <v>89</v>
      </c>
      <c r="P1098" t="s">
        <v>90</v>
      </c>
      <c r="Q1098" t="s">
        <v>91</v>
      </c>
      <c r="R1098">
        <v>6</v>
      </c>
      <c r="S1098">
        <v>7</v>
      </c>
      <c r="T1098">
        <v>1914</v>
      </c>
      <c r="U1098">
        <v>2006</v>
      </c>
      <c r="V1098" t="s">
        <v>92</v>
      </c>
      <c r="W1098" t="s">
        <v>93</v>
      </c>
      <c r="X1098" t="s">
        <v>123</v>
      </c>
      <c r="Y1098" t="s">
        <v>123</v>
      </c>
      <c r="Z1098" t="s">
        <v>116</v>
      </c>
      <c r="AA1098">
        <v>0</v>
      </c>
      <c r="AB1098" t="s">
        <v>97</v>
      </c>
      <c r="AC1098" t="s">
        <v>97</v>
      </c>
      <c r="AD1098" t="s">
        <v>98</v>
      </c>
      <c r="AE1098" t="s">
        <v>97</v>
      </c>
      <c r="AF1098" t="s">
        <v>97</v>
      </c>
      <c r="AG1098" t="s">
        <v>99</v>
      </c>
      <c r="AH1098" t="s">
        <v>101</v>
      </c>
      <c r="AI1098">
        <v>0</v>
      </c>
      <c r="AJ1098" t="s">
        <v>101</v>
      </c>
      <c r="AK1098">
        <v>0</v>
      </c>
      <c r="AL1098">
        <v>684</v>
      </c>
      <c r="AM1098">
        <v>684</v>
      </c>
      <c r="AN1098" t="s">
        <v>102</v>
      </c>
      <c r="AO1098" t="s">
        <v>97</v>
      </c>
      <c r="AP1098" t="s">
        <v>104</v>
      </c>
      <c r="AQ1098" t="s">
        <v>105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96</v>
      </c>
      <c r="BC1098">
        <v>7</v>
      </c>
      <c r="BD1098" t="s">
        <v>106</v>
      </c>
      <c r="BE1098">
        <v>0</v>
      </c>
      <c r="BJ1098">
        <v>0</v>
      </c>
      <c r="BK1098">
        <v>0</v>
      </c>
      <c r="BN1098" t="s">
        <v>104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X1098">
        <v>0</v>
      </c>
      <c r="BY1098">
        <v>3</v>
      </c>
      <c r="BZ1098">
        <v>2007</v>
      </c>
      <c r="CA1098" t="s">
        <v>109</v>
      </c>
      <c r="CB1098" t="s">
        <v>110</v>
      </c>
      <c r="CC1098">
        <v>127000</v>
      </c>
    </row>
    <row r="1099" spans="1:81" x14ac:dyDescent="0.3">
      <c r="A1099">
        <v>1098</v>
      </c>
      <c r="B1099">
        <v>120</v>
      </c>
      <c r="C1099" t="s">
        <v>81</v>
      </c>
      <c r="E1099">
        <v>3696</v>
      </c>
      <c r="F1099" t="s">
        <v>82</v>
      </c>
      <c r="H1099" t="s">
        <v>83</v>
      </c>
      <c r="I1099" t="s">
        <v>84</v>
      </c>
      <c r="J1099" t="s">
        <v>85</v>
      </c>
      <c r="K1099" t="s">
        <v>86</v>
      </c>
      <c r="L1099" t="s">
        <v>87</v>
      </c>
      <c r="M1099" t="s">
        <v>199</v>
      </c>
      <c r="N1099" t="s">
        <v>89</v>
      </c>
      <c r="O1099" t="s">
        <v>89</v>
      </c>
      <c r="P1099" t="s">
        <v>178</v>
      </c>
      <c r="Q1099" t="s">
        <v>114</v>
      </c>
      <c r="R1099">
        <v>8</v>
      </c>
      <c r="S1099">
        <v>5</v>
      </c>
      <c r="T1099">
        <v>1986</v>
      </c>
      <c r="U1099">
        <v>1986</v>
      </c>
      <c r="V1099" t="s">
        <v>92</v>
      </c>
      <c r="W1099" t="s">
        <v>93</v>
      </c>
      <c r="X1099" t="s">
        <v>139</v>
      </c>
      <c r="Y1099" t="s">
        <v>139</v>
      </c>
      <c r="Z1099" t="s">
        <v>116</v>
      </c>
      <c r="AA1099">
        <v>0</v>
      </c>
      <c r="AB1099" t="s">
        <v>96</v>
      </c>
      <c r="AC1099" t="s">
        <v>97</v>
      </c>
      <c r="AD1099" t="s">
        <v>117</v>
      </c>
      <c r="AE1099" t="s">
        <v>96</v>
      </c>
      <c r="AF1099" t="s">
        <v>97</v>
      </c>
      <c r="AG1099" t="s">
        <v>99</v>
      </c>
      <c r="AH1099" t="s">
        <v>101</v>
      </c>
      <c r="AI1099">
        <v>0</v>
      </c>
      <c r="AJ1099" t="s">
        <v>101</v>
      </c>
      <c r="AK1099">
        <v>0</v>
      </c>
      <c r="AL1099">
        <v>1074</v>
      </c>
      <c r="AM1099">
        <v>1074</v>
      </c>
      <c r="AN1099" t="s">
        <v>102</v>
      </c>
      <c r="AO1099" t="s">
        <v>103</v>
      </c>
      <c r="AP1099" t="s">
        <v>104</v>
      </c>
      <c r="AQ1099" t="s">
        <v>105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96</v>
      </c>
      <c r="BC1099">
        <v>5</v>
      </c>
      <c r="BD1099" t="s">
        <v>106</v>
      </c>
      <c r="BE1099">
        <v>0</v>
      </c>
      <c r="BG1099" t="s">
        <v>107</v>
      </c>
      <c r="BH1099">
        <v>1987</v>
      </c>
      <c r="BI1099" t="s">
        <v>108</v>
      </c>
      <c r="BJ1099">
        <v>2</v>
      </c>
      <c r="BK1099">
        <v>461</v>
      </c>
      <c r="BL1099" t="s">
        <v>97</v>
      </c>
      <c r="BM1099" t="s">
        <v>97</v>
      </c>
      <c r="BN1099" t="s">
        <v>104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X1099">
        <v>0</v>
      </c>
      <c r="BY1099">
        <v>10</v>
      </c>
      <c r="BZ1099">
        <v>2007</v>
      </c>
      <c r="CA1099" t="s">
        <v>109</v>
      </c>
      <c r="CB1099" t="s">
        <v>110</v>
      </c>
      <c r="CC1099">
        <v>170000</v>
      </c>
    </row>
    <row r="1100" spans="1:81" x14ac:dyDescent="0.3">
      <c r="A1100">
        <v>1099</v>
      </c>
      <c r="B1100">
        <v>50</v>
      </c>
      <c r="C1100" t="s">
        <v>141</v>
      </c>
      <c r="D1100">
        <v>50</v>
      </c>
      <c r="E1100">
        <v>6000</v>
      </c>
      <c r="F1100" t="s">
        <v>82</v>
      </c>
      <c r="H1100" t="s">
        <v>83</v>
      </c>
      <c r="I1100" t="s">
        <v>84</v>
      </c>
      <c r="J1100" t="s">
        <v>85</v>
      </c>
      <c r="K1100" t="s">
        <v>86</v>
      </c>
      <c r="L1100" t="s">
        <v>87</v>
      </c>
      <c r="M1100" t="s">
        <v>147</v>
      </c>
      <c r="N1100" t="s">
        <v>89</v>
      </c>
      <c r="O1100" t="s">
        <v>89</v>
      </c>
      <c r="P1100" t="s">
        <v>90</v>
      </c>
      <c r="Q1100" t="s">
        <v>131</v>
      </c>
      <c r="R1100">
        <v>4</v>
      </c>
      <c r="S1100">
        <v>6</v>
      </c>
      <c r="T1100">
        <v>1936</v>
      </c>
      <c r="U1100">
        <v>1950</v>
      </c>
      <c r="V1100" t="s">
        <v>92</v>
      </c>
      <c r="W1100" t="s">
        <v>93</v>
      </c>
      <c r="X1100" t="s">
        <v>115</v>
      </c>
      <c r="Y1100" t="s">
        <v>115</v>
      </c>
      <c r="Z1100" t="s">
        <v>116</v>
      </c>
      <c r="AA1100">
        <v>0</v>
      </c>
      <c r="AB1100" t="s">
        <v>97</v>
      </c>
      <c r="AC1100" t="s">
        <v>97</v>
      </c>
      <c r="AD1100" t="s">
        <v>125</v>
      </c>
      <c r="AE1100" t="s">
        <v>97</v>
      </c>
      <c r="AF1100" t="s">
        <v>97</v>
      </c>
      <c r="AG1100" t="s">
        <v>99</v>
      </c>
      <c r="AH1100" t="s">
        <v>140</v>
      </c>
      <c r="AI1100">
        <v>672</v>
      </c>
      <c r="AJ1100" t="s">
        <v>101</v>
      </c>
      <c r="AK1100">
        <v>0</v>
      </c>
      <c r="AL1100">
        <v>0</v>
      </c>
      <c r="AM1100">
        <v>672</v>
      </c>
      <c r="AN1100" t="s">
        <v>102</v>
      </c>
      <c r="AO1100" t="s">
        <v>97</v>
      </c>
      <c r="AP1100" t="s">
        <v>104</v>
      </c>
      <c r="AQ1100" t="s">
        <v>105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97</v>
      </c>
      <c r="BC1100">
        <v>6</v>
      </c>
      <c r="BD1100" t="s">
        <v>106</v>
      </c>
      <c r="BE1100">
        <v>0</v>
      </c>
      <c r="BG1100" t="s">
        <v>126</v>
      </c>
      <c r="BH1100">
        <v>1936</v>
      </c>
      <c r="BI1100" t="s">
        <v>101</v>
      </c>
      <c r="BJ1100">
        <v>1</v>
      </c>
      <c r="BK1100">
        <v>240</v>
      </c>
      <c r="BL1100" t="s">
        <v>97</v>
      </c>
      <c r="BM1100" t="s">
        <v>97</v>
      </c>
      <c r="BN1100" t="s">
        <v>104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X1100">
        <v>0</v>
      </c>
      <c r="BY1100">
        <v>7</v>
      </c>
      <c r="BZ1100">
        <v>2009</v>
      </c>
      <c r="CA1100" t="s">
        <v>109</v>
      </c>
      <c r="CB1100" t="s">
        <v>110</v>
      </c>
      <c r="CC1100">
        <v>128000</v>
      </c>
    </row>
    <row r="1101" spans="1:81" x14ac:dyDescent="0.3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H1101" t="s">
        <v>119</v>
      </c>
      <c r="I1101" t="s">
        <v>84</v>
      </c>
      <c r="J1101" t="s">
        <v>85</v>
      </c>
      <c r="K1101" t="s">
        <v>86</v>
      </c>
      <c r="L1101" t="s">
        <v>87</v>
      </c>
      <c r="M1101" t="s">
        <v>137</v>
      </c>
      <c r="N1101" t="s">
        <v>201</v>
      </c>
      <c r="O1101" t="s">
        <v>89</v>
      </c>
      <c r="P1101" t="s">
        <v>90</v>
      </c>
      <c r="Q1101" t="s">
        <v>114</v>
      </c>
      <c r="R1101">
        <v>7</v>
      </c>
      <c r="S1101">
        <v>5</v>
      </c>
      <c r="T1101">
        <v>1978</v>
      </c>
      <c r="U1101">
        <v>1978</v>
      </c>
      <c r="V1101" t="s">
        <v>92</v>
      </c>
      <c r="W1101" t="s">
        <v>93</v>
      </c>
      <c r="X1101" t="s">
        <v>160</v>
      </c>
      <c r="Y1101" t="s">
        <v>160</v>
      </c>
      <c r="Z1101" t="s">
        <v>95</v>
      </c>
      <c r="AA1101">
        <v>206</v>
      </c>
      <c r="AB1101" t="s">
        <v>97</v>
      </c>
      <c r="AC1101" t="s">
        <v>97</v>
      </c>
      <c r="AD1101" t="s">
        <v>117</v>
      </c>
      <c r="AE1101" t="s">
        <v>96</v>
      </c>
      <c r="AF1101" t="s">
        <v>97</v>
      </c>
      <c r="AG1101" t="s">
        <v>99</v>
      </c>
      <c r="AH1101" t="s">
        <v>118</v>
      </c>
      <c r="AI1101">
        <v>704</v>
      </c>
      <c r="AJ1101" t="s">
        <v>101</v>
      </c>
      <c r="AK1101">
        <v>0</v>
      </c>
      <c r="AL1101">
        <v>567</v>
      </c>
      <c r="AM1101">
        <v>1271</v>
      </c>
      <c r="AN1101" t="s">
        <v>102</v>
      </c>
      <c r="AO1101" t="s">
        <v>97</v>
      </c>
      <c r="AP1101" t="s">
        <v>104</v>
      </c>
      <c r="AQ1101" t="s">
        <v>105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97</v>
      </c>
      <c r="BC1101">
        <v>7</v>
      </c>
      <c r="BD1101" t="s">
        <v>106</v>
      </c>
      <c r="BE1101">
        <v>1</v>
      </c>
      <c r="BF1101" t="s">
        <v>97</v>
      </c>
      <c r="BG1101" t="s">
        <v>107</v>
      </c>
      <c r="BH1101">
        <v>1978</v>
      </c>
      <c r="BI1101" t="s">
        <v>108</v>
      </c>
      <c r="BJ1101">
        <v>2</v>
      </c>
      <c r="BK1101">
        <v>478</v>
      </c>
      <c r="BL1101" t="s">
        <v>97</v>
      </c>
      <c r="BM1101" t="s">
        <v>97</v>
      </c>
      <c r="BN1101" t="s">
        <v>104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X1101">
        <v>0</v>
      </c>
      <c r="BY1101">
        <v>4</v>
      </c>
      <c r="BZ1101">
        <v>2009</v>
      </c>
      <c r="CA1101" t="s">
        <v>172</v>
      </c>
      <c r="CB1101" t="s">
        <v>127</v>
      </c>
      <c r="CC1101">
        <v>157000</v>
      </c>
    </row>
    <row r="1102" spans="1:81" x14ac:dyDescent="0.3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H1102" t="s">
        <v>83</v>
      </c>
      <c r="I1102" t="s">
        <v>174</v>
      </c>
      <c r="J1102" t="s">
        <v>85</v>
      </c>
      <c r="K1102" t="s">
        <v>86</v>
      </c>
      <c r="L1102" t="s">
        <v>87</v>
      </c>
      <c r="M1102" t="s">
        <v>231</v>
      </c>
      <c r="N1102" t="s">
        <v>89</v>
      </c>
      <c r="O1102" t="s">
        <v>89</v>
      </c>
      <c r="P1102" t="s">
        <v>90</v>
      </c>
      <c r="Q1102" t="s">
        <v>114</v>
      </c>
      <c r="R1102">
        <v>2</v>
      </c>
      <c r="S1102">
        <v>5</v>
      </c>
      <c r="T1102">
        <v>1920</v>
      </c>
      <c r="U1102">
        <v>1950</v>
      </c>
      <c r="V1102" t="s">
        <v>92</v>
      </c>
      <c r="W1102" t="s">
        <v>93</v>
      </c>
      <c r="X1102" t="s">
        <v>123</v>
      </c>
      <c r="Y1102" t="s">
        <v>123</v>
      </c>
      <c r="Z1102" t="s">
        <v>116</v>
      </c>
      <c r="AA1102">
        <v>0</v>
      </c>
      <c r="AB1102" t="s">
        <v>97</v>
      </c>
      <c r="AC1102" t="s">
        <v>97</v>
      </c>
      <c r="AD1102" t="s">
        <v>117</v>
      </c>
      <c r="AE1102" t="s">
        <v>97</v>
      </c>
      <c r="AF1102" t="s">
        <v>146</v>
      </c>
      <c r="AG1102" t="s">
        <v>99</v>
      </c>
      <c r="AH1102" t="s">
        <v>152</v>
      </c>
      <c r="AI1102">
        <v>290</v>
      </c>
      <c r="AJ1102" t="s">
        <v>101</v>
      </c>
      <c r="AK1102">
        <v>0</v>
      </c>
      <c r="AL1102">
        <v>0</v>
      </c>
      <c r="AM1102">
        <v>290</v>
      </c>
      <c r="AN1102" t="s">
        <v>102</v>
      </c>
      <c r="AO1102" t="s">
        <v>97</v>
      </c>
      <c r="AP1102" t="s">
        <v>176</v>
      </c>
      <c r="AQ1102" t="s">
        <v>144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146</v>
      </c>
      <c r="BC1102">
        <v>3</v>
      </c>
      <c r="BD1102" t="s">
        <v>106</v>
      </c>
      <c r="BE1102">
        <v>0</v>
      </c>
      <c r="BG1102" t="s">
        <v>126</v>
      </c>
      <c r="BH1102">
        <v>1930</v>
      </c>
      <c r="BI1102" t="s">
        <v>101</v>
      </c>
      <c r="BJ1102">
        <v>1</v>
      </c>
      <c r="BK1102">
        <v>246</v>
      </c>
      <c r="BL1102" t="s">
        <v>97</v>
      </c>
      <c r="BM1102" t="s">
        <v>97</v>
      </c>
      <c r="BN1102" t="s">
        <v>176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X1102">
        <v>0</v>
      </c>
      <c r="BY1102">
        <v>1</v>
      </c>
      <c r="BZ1102">
        <v>2009</v>
      </c>
      <c r="CA1102" t="s">
        <v>109</v>
      </c>
      <c r="CB1102" t="s">
        <v>110</v>
      </c>
      <c r="CC1102">
        <v>60000</v>
      </c>
    </row>
    <row r="1103" spans="1:81" x14ac:dyDescent="0.3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H1103" t="s">
        <v>119</v>
      </c>
      <c r="I1103" t="s">
        <v>84</v>
      </c>
      <c r="J1103" t="s">
        <v>85</v>
      </c>
      <c r="K1103" t="s">
        <v>86</v>
      </c>
      <c r="L1103" t="s">
        <v>87</v>
      </c>
      <c r="M1103" t="s">
        <v>270</v>
      </c>
      <c r="N1103" t="s">
        <v>89</v>
      </c>
      <c r="O1103" t="s">
        <v>89</v>
      </c>
      <c r="P1103" t="s">
        <v>90</v>
      </c>
      <c r="Q1103" t="s">
        <v>114</v>
      </c>
      <c r="R1103">
        <v>5</v>
      </c>
      <c r="S1103">
        <v>5</v>
      </c>
      <c r="T1103">
        <v>1971</v>
      </c>
      <c r="U1103">
        <v>1971</v>
      </c>
      <c r="V1103" t="s">
        <v>92</v>
      </c>
      <c r="W1103" t="s">
        <v>93</v>
      </c>
      <c r="X1103" t="s">
        <v>139</v>
      </c>
      <c r="Y1103" t="s">
        <v>115</v>
      </c>
      <c r="Z1103" t="s">
        <v>116</v>
      </c>
      <c r="AA1103">
        <v>0</v>
      </c>
      <c r="AB1103" t="s">
        <v>97</v>
      </c>
      <c r="AC1103" t="s">
        <v>97</v>
      </c>
      <c r="AD1103" t="s">
        <v>117</v>
      </c>
      <c r="AE1103" t="s">
        <v>97</v>
      </c>
      <c r="AF1103" t="s">
        <v>97</v>
      </c>
      <c r="AG1103" t="s">
        <v>99</v>
      </c>
      <c r="AH1103" t="s">
        <v>140</v>
      </c>
      <c r="AI1103">
        <v>412</v>
      </c>
      <c r="AJ1103" t="s">
        <v>171</v>
      </c>
      <c r="AK1103">
        <v>287</v>
      </c>
      <c r="AL1103">
        <v>251</v>
      </c>
      <c r="AM1103">
        <v>950</v>
      </c>
      <c r="AN1103" t="s">
        <v>102</v>
      </c>
      <c r="AO1103" t="s">
        <v>97</v>
      </c>
      <c r="AP1103" t="s">
        <v>104</v>
      </c>
      <c r="AQ1103" t="s">
        <v>105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97</v>
      </c>
      <c r="BC1103">
        <v>5</v>
      </c>
      <c r="BD1103" t="s">
        <v>106</v>
      </c>
      <c r="BE1103">
        <v>0</v>
      </c>
      <c r="BG1103" t="s">
        <v>126</v>
      </c>
      <c r="BH1103">
        <v>1981</v>
      </c>
      <c r="BI1103" t="s">
        <v>101</v>
      </c>
      <c r="BJ1103">
        <v>1</v>
      </c>
      <c r="BK1103">
        <v>280</v>
      </c>
      <c r="BL1103" t="s">
        <v>97</v>
      </c>
      <c r="BM1103" t="s">
        <v>97</v>
      </c>
      <c r="BN1103" t="s">
        <v>104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X1103">
        <v>0</v>
      </c>
      <c r="BY1103">
        <v>7</v>
      </c>
      <c r="BZ1103">
        <v>2007</v>
      </c>
      <c r="CA1103" t="s">
        <v>109</v>
      </c>
      <c r="CB1103" t="s">
        <v>110</v>
      </c>
      <c r="CC1103">
        <v>119500</v>
      </c>
    </row>
    <row r="1104" spans="1:81" x14ac:dyDescent="0.3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H1104" t="s">
        <v>83</v>
      </c>
      <c r="I1104" t="s">
        <v>84</v>
      </c>
      <c r="J1104" t="s">
        <v>85</v>
      </c>
      <c r="K1104" t="s">
        <v>86</v>
      </c>
      <c r="L1104" t="s">
        <v>87</v>
      </c>
      <c r="M1104" t="s">
        <v>270</v>
      </c>
      <c r="N1104" t="s">
        <v>89</v>
      </c>
      <c r="O1104" t="s">
        <v>89</v>
      </c>
      <c r="P1104" t="s">
        <v>90</v>
      </c>
      <c r="Q1104" t="s">
        <v>114</v>
      </c>
      <c r="R1104">
        <v>5</v>
      </c>
      <c r="S1104">
        <v>7</v>
      </c>
      <c r="T1104">
        <v>1960</v>
      </c>
      <c r="U1104">
        <v>2002</v>
      </c>
      <c r="V1104" t="s">
        <v>92</v>
      </c>
      <c r="W1104" t="s">
        <v>93</v>
      </c>
      <c r="X1104" t="s">
        <v>123</v>
      </c>
      <c r="Y1104" t="s">
        <v>123</v>
      </c>
      <c r="Z1104" t="s">
        <v>95</v>
      </c>
      <c r="AA1104">
        <v>45</v>
      </c>
      <c r="AB1104" t="s">
        <v>97</v>
      </c>
      <c r="AC1104" t="s">
        <v>97</v>
      </c>
      <c r="AD1104" t="s">
        <v>117</v>
      </c>
      <c r="AE1104" t="s">
        <v>97</v>
      </c>
      <c r="AF1104" t="s">
        <v>97</v>
      </c>
      <c r="AG1104" t="s">
        <v>99</v>
      </c>
      <c r="AH1104" t="s">
        <v>152</v>
      </c>
      <c r="AI1104">
        <v>588</v>
      </c>
      <c r="AJ1104" t="s">
        <v>101</v>
      </c>
      <c r="AK1104">
        <v>0</v>
      </c>
      <c r="AL1104">
        <v>422</v>
      </c>
      <c r="AM1104">
        <v>1010</v>
      </c>
      <c r="AN1104" t="s">
        <v>102</v>
      </c>
      <c r="AO1104" t="s">
        <v>103</v>
      </c>
      <c r="AP1104" t="s">
        <v>104</v>
      </c>
      <c r="AQ1104" t="s">
        <v>105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97</v>
      </c>
      <c r="BC1104">
        <v>6</v>
      </c>
      <c r="BD1104" t="s">
        <v>106</v>
      </c>
      <c r="BE1104">
        <v>0</v>
      </c>
      <c r="BG1104" t="s">
        <v>107</v>
      </c>
      <c r="BH1104">
        <v>1960</v>
      </c>
      <c r="BI1104" t="s">
        <v>108</v>
      </c>
      <c r="BJ1104">
        <v>1</v>
      </c>
      <c r="BK1104">
        <v>254</v>
      </c>
      <c r="BL1104" t="s">
        <v>97</v>
      </c>
      <c r="BM1104" t="s">
        <v>97</v>
      </c>
      <c r="BN1104" t="s">
        <v>104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V1104" t="s">
        <v>217</v>
      </c>
      <c r="BX1104">
        <v>0</v>
      </c>
      <c r="BY1104">
        <v>4</v>
      </c>
      <c r="BZ1104">
        <v>2007</v>
      </c>
      <c r="CA1104" t="s">
        <v>109</v>
      </c>
      <c r="CB1104" t="s">
        <v>218</v>
      </c>
      <c r="CC1104">
        <v>135000</v>
      </c>
    </row>
    <row r="1105" spans="1:81" x14ac:dyDescent="0.3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H1105" t="s">
        <v>83</v>
      </c>
      <c r="I1105" t="s">
        <v>84</v>
      </c>
      <c r="J1105" t="s">
        <v>85</v>
      </c>
      <c r="K1105" t="s">
        <v>121</v>
      </c>
      <c r="L1105" t="s">
        <v>87</v>
      </c>
      <c r="M1105" t="s">
        <v>270</v>
      </c>
      <c r="N1105" t="s">
        <v>89</v>
      </c>
      <c r="O1105" t="s">
        <v>89</v>
      </c>
      <c r="P1105" t="s">
        <v>90</v>
      </c>
      <c r="Q1105" t="s">
        <v>114</v>
      </c>
      <c r="R1105">
        <v>6</v>
      </c>
      <c r="S1105">
        <v>6</v>
      </c>
      <c r="T1105">
        <v>1959</v>
      </c>
      <c r="U1105">
        <v>1959</v>
      </c>
      <c r="V1105" t="s">
        <v>151</v>
      </c>
      <c r="W1105" t="s">
        <v>93</v>
      </c>
      <c r="X1105" t="s">
        <v>95</v>
      </c>
      <c r="Y1105" t="s">
        <v>95</v>
      </c>
      <c r="Z1105" t="s">
        <v>116</v>
      </c>
      <c r="AA1105">
        <v>0</v>
      </c>
      <c r="AB1105" t="s">
        <v>97</v>
      </c>
      <c r="AC1105" t="s">
        <v>97</v>
      </c>
      <c r="AD1105" t="s">
        <v>117</v>
      </c>
      <c r="AE1105" t="s">
        <v>97</v>
      </c>
      <c r="AF1105" t="s">
        <v>97</v>
      </c>
      <c r="AG1105" t="s">
        <v>120</v>
      </c>
      <c r="AH1105" t="s">
        <v>118</v>
      </c>
      <c r="AI1105">
        <v>655</v>
      </c>
      <c r="AJ1105" t="s">
        <v>101</v>
      </c>
      <c r="AK1105">
        <v>0</v>
      </c>
      <c r="AL1105">
        <v>0</v>
      </c>
      <c r="AM1105">
        <v>655</v>
      </c>
      <c r="AN1105" t="s">
        <v>102</v>
      </c>
      <c r="AO1105" t="s">
        <v>103</v>
      </c>
      <c r="AP1105" t="s">
        <v>104</v>
      </c>
      <c r="AQ1105" t="s">
        <v>105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97</v>
      </c>
      <c r="BC1105">
        <v>6</v>
      </c>
      <c r="BD1105" t="s">
        <v>106</v>
      </c>
      <c r="BE1105">
        <v>1</v>
      </c>
      <c r="BF1105" t="s">
        <v>146</v>
      </c>
      <c r="BG1105" t="s">
        <v>155</v>
      </c>
      <c r="BH1105">
        <v>1954</v>
      </c>
      <c r="BI1105" t="s">
        <v>156</v>
      </c>
      <c r="BJ1105">
        <v>2</v>
      </c>
      <c r="BK1105">
        <v>539</v>
      </c>
      <c r="BL1105" t="s">
        <v>97</v>
      </c>
      <c r="BM1105" t="s">
        <v>97</v>
      </c>
      <c r="BN1105" t="s">
        <v>104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X1105">
        <v>0</v>
      </c>
      <c r="BY1105">
        <v>7</v>
      </c>
      <c r="BZ1105">
        <v>2006</v>
      </c>
      <c r="CA1105" t="s">
        <v>109</v>
      </c>
      <c r="CB1105" t="s">
        <v>110</v>
      </c>
      <c r="CC1105">
        <v>159500</v>
      </c>
    </row>
    <row r="1106" spans="1:81" x14ac:dyDescent="0.3">
      <c r="A1106">
        <v>1105</v>
      </c>
      <c r="B1106">
        <v>160</v>
      </c>
      <c r="C1106" t="s">
        <v>141</v>
      </c>
      <c r="D1106">
        <v>24</v>
      </c>
      <c r="E1106">
        <v>2016</v>
      </c>
      <c r="F1106" t="s">
        <v>82</v>
      </c>
      <c r="H1106" t="s">
        <v>83</v>
      </c>
      <c r="I1106" t="s">
        <v>84</v>
      </c>
      <c r="J1106" t="s">
        <v>85</v>
      </c>
      <c r="K1106" t="s">
        <v>86</v>
      </c>
      <c r="L1106" t="s">
        <v>87</v>
      </c>
      <c r="M1106" t="s">
        <v>227</v>
      </c>
      <c r="N1106" t="s">
        <v>89</v>
      </c>
      <c r="O1106" t="s">
        <v>89</v>
      </c>
      <c r="P1106" t="s">
        <v>178</v>
      </c>
      <c r="Q1106" t="s">
        <v>91</v>
      </c>
      <c r="R1106">
        <v>5</v>
      </c>
      <c r="S1106">
        <v>5</v>
      </c>
      <c r="T1106">
        <v>1970</v>
      </c>
      <c r="U1106">
        <v>1970</v>
      </c>
      <c r="V1106" t="s">
        <v>92</v>
      </c>
      <c r="W1106" t="s">
        <v>93</v>
      </c>
      <c r="X1106" t="s">
        <v>139</v>
      </c>
      <c r="Y1106" t="s">
        <v>139</v>
      </c>
      <c r="Z1106" t="s">
        <v>95</v>
      </c>
      <c r="AA1106">
        <v>304</v>
      </c>
      <c r="AB1106" t="s">
        <v>97</v>
      </c>
      <c r="AC1106" t="s">
        <v>97</v>
      </c>
      <c r="AD1106" t="s">
        <v>117</v>
      </c>
      <c r="AE1106" t="s">
        <v>97</v>
      </c>
      <c r="AF1106" t="s">
        <v>97</v>
      </c>
      <c r="AG1106" t="s">
        <v>99</v>
      </c>
      <c r="AH1106" t="s">
        <v>101</v>
      </c>
      <c r="AI1106">
        <v>0</v>
      </c>
      <c r="AJ1106" t="s">
        <v>101</v>
      </c>
      <c r="AK1106">
        <v>0</v>
      </c>
      <c r="AL1106">
        <v>630</v>
      </c>
      <c r="AM1106">
        <v>630</v>
      </c>
      <c r="AN1106" t="s">
        <v>102</v>
      </c>
      <c r="AO1106" t="s">
        <v>97</v>
      </c>
      <c r="AP1106" t="s">
        <v>104</v>
      </c>
      <c r="AQ1106" t="s">
        <v>105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97</v>
      </c>
      <c r="BC1106">
        <v>6</v>
      </c>
      <c r="BD1106" t="s">
        <v>106</v>
      </c>
      <c r="BE1106">
        <v>0</v>
      </c>
      <c r="BG1106" t="s">
        <v>126</v>
      </c>
      <c r="BH1106">
        <v>1970</v>
      </c>
      <c r="BI1106" t="s">
        <v>101</v>
      </c>
      <c r="BJ1106">
        <v>2</v>
      </c>
      <c r="BK1106">
        <v>440</v>
      </c>
      <c r="BL1106" t="s">
        <v>97</v>
      </c>
      <c r="BM1106" t="s">
        <v>97</v>
      </c>
      <c r="BN1106" t="s">
        <v>104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X1106">
        <v>0</v>
      </c>
      <c r="BY1106">
        <v>4</v>
      </c>
      <c r="BZ1106">
        <v>2007</v>
      </c>
      <c r="CA1106" t="s">
        <v>109</v>
      </c>
      <c r="CB1106" t="s">
        <v>110</v>
      </c>
      <c r="CC1106">
        <v>106000</v>
      </c>
    </row>
    <row r="1107" spans="1:81" x14ac:dyDescent="0.3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H1107" t="s">
        <v>119</v>
      </c>
      <c r="I1107" t="s">
        <v>84</v>
      </c>
      <c r="J1107" t="s">
        <v>85</v>
      </c>
      <c r="K1107" t="s">
        <v>121</v>
      </c>
      <c r="L1107" t="s">
        <v>87</v>
      </c>
      <c r="M1107" t="s">
        <v>128</v>
      </c>
      <c r="N1107" t="s">
        <v>89</v>
      </c>
      <c r="O1107" t="s">
        <v>89</v>
      </c>
      <c r="P1107" t="s">
        <v>90</v>
      </c>
      <c r="Q1107" t="s">
        <v>91</v>
      </c>
      <c r="R1107">
        <v>8</v>
      </c>
      <c r="S1107">
        <v>5</v>
      </c>
      <c r="T1107">
        <v>1994</v>
      </c>
      <c r="U1107">
        <v>1995</v>
      </c>
      <c r="V1107" t="s">
        <v>92</v>
      </c>
      <c r="W1107" t="s">
        <v>93</v>
      </c>
      <c r="X1107" t="s">
        <v>139</v>
      </c>
      <c r="Y1107" t="s">
        <v>139</v>
      </c>
      <c r="Z1107" t="s">
        <v>95</v>
      </c>
      <c r="AA1107">
        <v>362</v>
      </c>
      <c r="AB1107" t="s">
        <v>96</v>
      </c>
      <c r="AC1107" t="s">
        <v>97</v>
      </c>
      <c r="AD1107" t="s">
        <v>98</v>
      </c>
      <c r="AE1107" t="s">
        <v>103</v>
      </c>
      <c r="AF1107" t="s">
        <v>97</v>
      </c>
      <c r="AG1107" t="s">
        <v>129</v>
      </c>
      <c r="AH1107" t="s">
        <v>100</v>
      </c>
      <c r="AI1107">
        <v>1032</v>
      </c>
      <c r="AJ1107" t="s">
        <v>101</v>
      </c>
      <c r="AK1107">
        <v>0</v>
      </c>
      <c r="AL1107">
        <v>431</v>
      </c>
      <c r="AM1107">
        <v>1463</v>
      </c>
      <c r="AN1107" t="s">
        <v>102</v>
      </c>
      <c r="AO1107" t="s">
        <v>103</v>
      </c>
      <c r="AP1107" t="s">
        <v>104</v>
      </c>
      <c r="AQ1107" t="s">
        <v>105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96</v>
      </c>
      <c r="BC1107">
        <v>9</v>
      </c>
      <c r="BD1107" t="s">
        <v>106</v>
      </c>
      <c r="BE1107">
        <v>2</v>
      </c>
      <c r="BF1107" t="s">
        <v>97</v>
      </c>
      <c r="BG1107" t="s">
        <v>107</v>
      </c>
      <c r="BH1107">
        <v>1994</v>
      </c>
      <c r="BI1107" t="s">
        <v>108</v>
      </c>
      <c r="BJ1107">
        <v>2</v>
      </c>
      <c r="BK1107">
        <v>712</v>
      </c>
      <c r="BL1107" t="s">
        <v>97</v>
      </c>
      <c r="BM1107" t="s">
        <v>97</v>
      </c>
      <c r="BN1107" t="s">
        <v>104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X1107">
        <v>0</v>
      </c>
      <c r="BY1107">
        <v>4</v>
      </c>
      <c r="BZ1107">
        <v>2010</v>
      </c>
      <c r="CA1107" t="s">
        <v>109</v>
      </c>
      <c r="CB1107" t="s">
        <v>110</v>
      </c>
      <c r="CC1107">
        <v>325000</v>
      </c>
    </row>
    <row r="1108" spans="1:81" x14ac:dyDescent="0.3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H1108" t="s">
        <v>119</v>
      </c>
      <c r="I1108" t="s">
        <v>84</v>
      </c>
      <c r="J1108" t="s">
        <v>85</v>
      </c>
      <c r="K1108" t="s">
        <v>121</v>
      </c>
      <c r="L1108" t="s">
        <v>87</v>
      </c>
      <c r="M1108" t="s">
        <v>169</v>
      </c>
      <c r="N1108" t="s">
        <v>113</v>
      </c>
      <c r="O1108" t="s">
        <v>89</v>
      </c>
      <c r="P1108" t="s">
        <v>90</v>
      </c>
      <c r="Q1108" t="s">
        <v>114</v>
      </c>
      <c r="R1108">
        <v>7</v>
      </c>
      <c r="S1108">
        <v>5</v>
      </c>
      <c r="T1108">
        <v>1990</v>
      </c>
      <c r="U1108">
        <v>1991</v>
      </c>
      <c r="V1108" t="s">
        <v>151</v>
      </c>
      <c r="W1108" t="s">
        <v>93</v>
      </c>
      <c r="X1108" t="s">
        <v>139</v>
      </c>
      <c r="Y1108" t="s">
        <v>139</v>
      </c>
      <c r="Z1108" t="s">
        <v>116</v>
      </c>
      <c r="AA1108">
        <v>0</v>
      </c>
      <c r="AB1108" t="s">
        <v>96</v>
      </c>
      <c r="AC1108" t="s">
        <v>97</v>
      </c>
      <c r="AD1108" t="s">
        <v>98</v>
      </c>
      <c r="AE1108" t="s">
        <v>96</v>
      </c>
      <c r="AF1108" t="s">
        <v>97</v>
      </c>
      <c r="AG1108" t="s">
        <v>120</v>
      </c>
      <c r="AH1108" t="s">
        <v>100</v>
      </c>
      <c r="AI1108">
        <v>738</v>
      </c>
      <c r="AJ1108" t="s">
        <v>101</v>
      </c>
      <c r="AK1108">
        <v>0</v>
      </c>
      <c r="AL1108">
        <v>172</v>
      </c>
      <c r="AM1108">
        <v>910</v>
      </c>
      <c r="AN1108" t="s">
        <v>102</v>
      </c>
      <c r="AO1108" t="s">
        <v>96</v>
      </c>
      <c r="AP1108" t="s">
        <v>104</v>
      </c>
      <c r="AQ1108" t="s">
        <v>105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96</v>
      </c>
      <c r="BC1108">
        <v>6</v>
      </c>
      <c r="BD1108" t="s">
        <v>106</v>
      </c>
      <c r="BE1108">
        <v>1</v>
      </c>
      <c r="BF1108" t="s">
        <v>97</v>
      </c>
      <c r="BG1108" t="s">
        <v>107</v>
      </c>
      <c r="BH1108">
        <v>1990</v>
      </c>
      <c r="BI1108" t="s">
        <v>156</v>
      </c>
      <c r="BJ1108">
        <v>2</v>
      </c>
      <c r="BK1108">
        <v>719</v>
      </c>
      <c r="BL1108" t="s">
        <v>97</v>
      </c>
      <c r="BM1108" t="s">
        <v>97</v>
      </c>
      <c r="BN1108" t="s">
        <v>104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X1108">
        <v>0</v>
      </c>
      <c r="BY1108">
        <v>5</v>
      </c>
      <c r="BZ1108">
        <v>2007</v>
      </c>
      <c r="CA1108" t="s">
        <v>109</v>
      </c>
      <c r="CB1108" t="s">
        <v>110</v>
      </c>
      <c r="CC1108">
        <v>179900</v>
      </c>
    </row>
    <row r="1109" spans="1:81" x14ac:dyDescent="0.3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H1109" t="s">
        <v>230</v>
      </c>
      <c r="I1109" t="s">
        <v>198</v>
      </c>
      <c r="J1109" t="s">
        <v>85</v>
      </c>
      <c r="K1109" t="s">
        <v>165</v>
      </c>
      <c r="L1109" t="s">
        <v>87</v>
      </c>
      <c r="M1109" t="s">
        <v>192</v>
      </c>
      <c r="N1109" t="s">
        <v>89</v>
      </c>
      <c r="O1109" t="s">
        <v>89</v>
      </c>
      <c r="P1109" t="s">
        <v>90</v>
      </c>
      <c r="Q1109" t="s">
        <v>91</v>
      </c>
      <c r="R1109">
        <v>7</v>
      </c>
      <c r="S1109">
        <v>5</v>
      </c>
      <c r="T1109">
        <v>2006</v>
      </c>
      <c r="U1109">
        <v>2006</v>
      </c>
      <c r="V1109" t="s">
        <v>92</v>
      </c>
      <c r="W1109" t="s">
        <v>93</v>
      </c>
      <c r="X1109" t="s">
        <v>94</v>
      </c>
      <c r="Y1109" t="s">
        <v>94</v>
      </c>
      <c r="Z1109" t="s">
        <v>116</v>
      </c>
      <c r="AA1109">
        <v>0</v>
      </c>
      <c r="AB1109" t="s">
        <v>96</v>
      </c>
      <c r="AC1109" t="s">
        <v>97</v>
      </c>
      <c r="AD1109" t="s">
        <v>98</v>
      </c>
      <c r="AE1109" t="s">
        <v>103</v>
      </c>
      <c r="AF1109" t="s">
        <v>96</v>
      </c>
      <c r="AG1109" t="s">
        <v>99</v>
      </c>
      <c r="AH1109" t="s">
        <v>101</v>
      </c>
      <c r="AI1109">
        <v>0</v>
      </c>
      <c r="AJ1109" t="s">
        <v>101</v>
      </c>
      <c r="AK1109">
        <v>0</v>
      </c>
      <c r="AL1109">
        <v>868</v>
      </c>
      <c r="AM1109">
        <v>868</v>
      </c>
      <c r="AN1109" t="s">
        <v>102</v>
      </c>
      <c r="AO1109" t="s">
        <v>103</v>
      </c>
      <c r="AP1109" t="s">
        <v>104</v>
      </c>
      <c r="AQ1109" t="s">
        <v>105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96</v>
      </c>
      <c r="BC1109">
        <v>9</v>
      </c>
      <c r="BD1109" t="s">
        <v>106</v>
      </c>
      <c r="BE1109">
        <v>1</v>
      </c>
      <c r="BF1109" t="s">
        <v>96</v>
      </c>
      <c r="BG1109" t="s">
        <v>155</v>
      </c>
      <c r="BH1109">
        <v>2006</v>
      </c>
      <c r="BI1109" t="s">
        <v>108</v>
      </c>
      <c r="BJ1109">
        <v>2</v>
      </c>
      <c r="BK1109">
        <v>422</v>
      </c>
      <c r="BL1109" t="s">
        <v>97</v>
      </c>
      <c r="BM1109" t="s">
        <v>97</v>
      </c>
      <c r="BN1109" t="s">
        <v>104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X1109">
        <v>0</v>
      </c>
      <c r="BY1109">
        <v>9</v>
      </c>
      <c r="BZ1109">
        <v>2006</v>
      </c>
      <c r="CA1109" t="s">
        <v>157</v>
      </c>
      <c r="CB1109" t="s">
        <v>158</v>
      </c>
      <c r="CC1109">
        <v>274725</v>
      </c>
    </row>
    <row r="1110" spans="1:81" x14ac:dyDescent="0.3">
      <c r="A1110">
        <v>1109</v>
      </c>
      <c r="B1110">
        <v>60</v>
      </c>
      <c r="C1110" t="s">
        <v>81</v>
      </c>
      <c r="E1110">
        <v>8063</v>
      </c>
      <c r="F1110" t="s">
        <v>82</v>
      </c>
      <c r="H1110" t="s">
        <v>83</v>
      </c>
      <c r="I1110" t="s">
        <v>84</v>
      </c>
      <c r="J1110" t="s">
        <v>85</v>
      </c>
      <c r="K1110" t="s">
        <v>86</v>
      </c>
      <c r="L1110" t="s">
        <v>87</v>
      </c>
      <c r="M1110" t="s">
        <v>192</v>
      </c>
      <c r="N1110" t="s">
        <v>89</v>
      </c>
      <c r="O1110" t="s">
        <v>89</v>
      </c>
      <c r="P1110" t="s">
        <v>90</v>
      </c>
      <c r="Q1110" t="s">
        <v>91</v>
      </c>
      <c r="R1110">
        <v>6</v>
      </c>
      <c r="S1110">
        <v>5</v>
      </c>
      <c r="T1110">
        <v>2000</v>
      </c>
      <c r="U1110">
        <v>2000</v>
      </c>
      <c r="V1110" t="s">
        <v>92</v>
      </c>
      <c r="W1110" t="s">
        <v>93</v>
      </c>
      <c r="X1110" t="s">
        <v>94</v>
      </c>
      <c r="Y1110" t="s">
        <v>94</v>
      </c>
      <c r="Z1110" t="s">
        <v>116</v>
      </c>
      <c r="AA1110">
        <v>0</v>
      </c>
      <c r="AB1110" t="s">
        <v>97</v>
      </c>
      <c r="AC1110" t="s">
        <v>97</v>
      </c>
      <c r="AD1110" t="s">
        <v>98</v>
      </c>
      <c r="AE1110" t="s">
        <v>96</v>
      </c>
      <c r="AF1110" t="s">
        <v>97</v>
      </c>
      <c r="AG1110" t="s">
        <v>99</v>
      </c>
      <c r="AH1110" t="s">
        <v>101</v>
      </c>
      <c r="AI1110">
        <v>0</v>
      </c>
      <c r="AJ1110" t="s">
        <v>101</v>
      </c>
      <c r="AK1110">
        <v>0</v>
      </c>
      <c r="AL1110">
        <v>924</v>
      </c>
      <c r="AM1110">
        <v>924</v>
      </c>
      <c r="AN1110" t="s">
        <v>102</v>
      </c>
      <c r="AO1110" t="s">
        <v>103</v>
      </c>
      <c r="AP1110" t="s">
        <v>104</v>
      </c>
      <c r="AQ1110" t="s">
        <v>105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97</v>
      </c>
      <c r="BC1110">
        <v>7</v>
      </c>
      <c r="BD1110" t="s">
        <v>106</v>
      </c>
      <c r="BE1110">
        <v>1</v>
      </c>
      <c r="BF1110" t="s">
        <v>97</v>
      </c>
      <c r="BG1110" t="s">
        <v>107</v>
      </c>
      <c r="BH1110">
        <v>2000</v>
      </c>
      <c r="BI1110" t="s">
        <v>108</v>
      </c>
      <c r="BJ1110">
        <v>2</v>
      </c>
      <c r="BK1110">
        <v>463</v>
      </c>
      <c r="BL1110" t="s">
        <v>97</v>
      </c>
      <c r="BM1110" t="s">
        <v>97</v>
      </c>
      <c r="BN1110" t="s">
        <v>104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X1110">
        <v>0</v>
      </c>
      <c r="BY1110">
        <v>11</v>
      </c>
      <c r="BZ1110">
        <v>2007</v>
      </c>
      <c r="CA1110" t="s">
        <v>109</v>
      </c>
      <c r="CB1110" t="s">
        <v>127</v>
      </c>
      <c r="CC1110">
        <v>181000</v>
      </c>
    </row>
    <row r="1111" spans="1:81" x14ac:dyDescent="0.3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H1111" t="s">
        <v>119</v>
      </c>
      <c r="I1111" t="s">
        <v>84</v>
      </c>
      <c r="J1111" t="s">
        <v>85</v>
      </c>
      <c r="K1111" t="s">
        <v>86</v>
      </c>
      <c r="L1111" t="s">
        <v>87</v>
      </c>
      <c r="M1111" t="s">
        <v>153</v>
      </c>
      <c r="N1111" t="s">
        <v>89</v>
      </c>
      <c r="O1111" t="s">
        <v>89</v>
      </c>
      <c r="P1111" t="s">
        <v>90</v>
      </c>
      <c r="Q1111" t="s">
        <v>114</v>
      </c>
      <c r="R1111">
        <v>8</v>
      </c>
      <c r="S1111">
        <v>5</v>
      </c>
      <c r="T1111">
        <v>2004</v>
      </c>
      <c r="U1111">
        <v>2005</v>
      </c>
      <c r="V1111" t="s">
        <v>92</v>
      </c>
      <c r="W1111" t="s">
        <v>93</v>
      </c>
      <c r="X1111" t="s">
        <v>115</v>
      </c>
      <c r="Y1111" t="s">
        <v>115</v>
      </c>
      <c r="Z1111" t="s">
        <v>136</v>
      </c>
      <c r="AA1111">
        <v>42</v>
      </c>
      <c r="AB1111" t="s">
        <v>96</v>
      </c>
      <c r="AC1111" t="s">
        <v>97</v>
      </c>
      <c r="AD1111" t="s">
        <v>98</v>
      </c>
      <c r="AE1111" t="s">
        <v>103</v>
      </c>
      <c r="AF1111" t="s">
        <v>97</v>
      </c>
      <c r="AG1111" t="s">
        <v>120</v>
      </c>
      <c r="AH1111" t="s">
        <v>100</v>
      </c>
      <c r="AI1111">
        <v>1039</v>
      </c>
      <c r="AJ1111" t="s">
        <v>101</v>
      </c>
      <c r="AK1111">
        <v>0</v>
      </c>
      <c r="AL1111">
        <v>797</v>
      </c>
      <c r="AM1111">
        <v>1836</v>
      </c>
      <c r="AN1111" t="s">
        <v>102</v>
      </c>
      <c r="AO1111" t="s">
        <v>103</v>
      </c>
      <c r="AP1111" t="s">
        <v>104</v>
      </c>
      <c r="AQ1111" t="s">
        <v>105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96</v>
      </c>
      <c r="BC1111">
        <v>7</v>
      </c>
      <c r="BD1111" t="s">
        <v>106</v>
      </c>
      <c r="BE1111">
        <v>1</v>
      </c>
      <c r="BF1111" t="s">
        <v>96</v>
      </c>
      <c r="BG1111" t="s">
        <v>107</v>
      </c>
      <c r="BH1111">
        <v>2004</v>
      </c>
      <c r="BI1111" t="s">
        <v>156</v>
      </c>
      <c r="BJ1111">
        <v>3</v>
      </c>
      <c r="BK1111">
        <v>862</v>
      </c>
      <c r="BL1111" t="s">
        <v>97</v>
      </c>
      <c r="BM1111" t="s">
        <v>97</v>
      </c>
      <c r="BN1111" t="s">
        <v>104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X1111">
        <v>0</v>
      </c>
      <c r="BY1111">
        <v>3</v>
      </c>
      <c r="BZ1111">
        <v>2009</v>
      </c>
      <c r="CA1111" t="s">
        <v>109</v>
      </c>
      <c r="CB1111" t="s">
        <v>110</v>
      </c>
      <c r="CC1111">
        <v>280000</v>
      </c>
    </row>
    <row r="1112" spans="1:81" x14ac:dyDescent="0.3">
      <c r="A1112">
        <v>1111</v>
      </c>
      <c r="B1112">
        <v>60</v>
      </c>
      <c r="C1112" t="s">
        <v>81</v>
      </c>
      <c r="E1112">
        <v>8000</v>
      </c>
      <c r="F1112" t="s">
        <v>82</v>
      </c>
      <c r="H1112" t="s">
        <v>83</v>
      </c>
      <c r="I1112" t="s">
        <v>84</v>
      </c>
      <c r="J1112" t="s">
        <v>85</v>
      </c>
      <c r="K1112" t="s">
        <v>86</v>
      </c>
      <c r="L1112" t="s">
        <v>87</v>
      </c>
      <c r="M1112" t="s">
        <v>192</v>
      </c>
      <c r="N1112" t="s">
        <v>89</v>
      </c>
      <c r="O1112" t="s">
        <v>89</v>
      </c>
      <c r="P1112" t="s">
        <v>90</v>
      </c>
      <c r="Q1112" t="s">
        <v>91</v>
      </c>
      <c r="R1112">
        <v>6</v>
      </c>
      <c r="S1112">
        <v>5</v>
      </c>
      <c r="T1112">
        <v>1995</v>
      </c>
      <c r="U1112">
        <v>1996</v>
      </c>
      <c r="V1112" t="s">
        <v>92</v>
      </c>
      <c r="W1112" t="s">
        <v>93</v>
      </c>
      <c r="X1112" t="s">
        <v>139</v>
      </c>
      <c r="Y1112" t="s">
        <v>139</v>
      </c>
      <c r="Z1112" t="s">
        <v>116</v>
      </c>
      <c r="AA1112">
        <v>0</v>
      </c>
      <c r="AB1112" t="s">
        <v>97</v>
      </c>
      <c r="AC1112" t="s">
        <v>97</v>
      </c>
      <c r="AD1112" t="s">
        <v>98</v>
      </c>
      <c r="AE1112" t="s">
        <v>96</v>
      </c>
      <c r="AF1112" t="s">
        <v>97</v>
      </c>
      <c r="AG1112" t="s">
        <v>99</v>
      </c>
      <c r="AH1112" t="s">
        <v>100</v>
      </c>
      <c r="AI1112">
        <v>219</v>
      </c>
      <c r="AJ1112" t="s">
        <v>101</v>
      </c>
      <c r="AK1112">
        <v>0</v>
      </c>
      <c r="AL1112">
        <v>554</v>
      </c>
      <c r="AM1112">
        <v>773</v>
      </c>
      <c r="AN1112" t="s">
        <v>102</v>
      </c>
      <c r="AO1112" t="s">
        <v>96</v>
      </c>
      <c r="AP1112" t="s">
        <v>104</v>
      </c>
      <c r="AQ1112" t="s">
        <v>105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97</v>
      </c>
      <c r="BC1112">
        <v>8</v>
      </c>
      <c r="BD1112" t="s">
        <v>106</v>
      </c>
      <c r="BE1112">
        <v>1</v>
      </c>
      <c r="BF1112" t="s">
        <v>97</v>
      </c>
      <c r="BG1112" t="s">
        <v>107</v>
      </c>
      <c r="BH1112">
        <v>1995</v>
      </c>
      <c r="BI1112" t="s">
        <v>156</v>
      </c>
      <c r="BJ1112">
        <v>2</v>
      </c>
      <c r="BK1112">
        <v>431</v>
      </c>
      <c r="BL1112" t="s">
        <v>97</v>
      </c>
      <c r="BM1112" t="s">
        <v>97</v>
      </c>
      <c r="BN1112" t="s">
        <v>104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X1112">
        <v>0</v>
      </c>
      <c r="BY1112">
        <v>6</v>
      </c>
      <c r="BZ1112">
        <v>2008</v>
      </c>
      <c r="CA1112" t="s">
        <v>109</v>
      </c>
      <c r="CB1112" t="s">
        <v>110</v>
      </c>
      <c r="CC1112">
        <v>188000</v>
      </c>
    </row>
    <row r="1113" spans="1:81" x14ac:dyDescent="0.3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H1113" t="s">
        <v>83</v>
      </c>
      <c r="I1113" t="s">
        <v>84</v>
      </c>
      <c r="J1113" t="s">
        <v>85</v>
      </c>
      <c r="K1113" t="s">
        <v>86</v>
      </c>
      <c r="L1113" t="s">
        <v>87</v>
      </c>
      <c r="M1113" t="s">
        <v>137</v>
      </c>
      <c r="N1113" t="s">
        <v>89</v>
      </c>
      <c r="O1113" t="s">
        <v>89</v>
      </c>
      <c r="P1113" t="s">
        <v>90</v>
      </c>
      <c r="Q1113" t="s">
        <v>91</v>
      </c>
      <c r="R1113">
        <v>7</v>
      </c>
      <c r="S1113">
        <v>6</v>
      </c>
      <c r="T1113">
        <v>1976</v>
      </c>
      <c r="U1113">
        <v>1976</v>
      </c>
      <c r="V1113" t="s">
        <v>151</v>
      </c>
      <c r="W1113" t="s">
        <v>93</v>
      </c>
      <c r="X1113" t="s">
        <v>160</v>
      </c>
      <c r="Y1113" t="s">
        <v>160</v>
      </c>
      <c r="Z1113" t="s">
        <v>95</v>
      </c>
      <c r="AA1113">
        <v>660</v>
      </c>
      <c r="AB1113" t="s">
        <v>97</v>
      </c>
      <c r="AC1113" t="s">
        <v>97</v>
      </c>
      <c r="AD1113" t="s">
        <v>117</v>
      </c>
      <c r="AE1113" t="s">
        <v>97</v>
      </c>
      <c r="AF1113" t="s">
        <v>97</v>
      </c>
      <c r="AG1113" t="s">
        <v>99</v>
      </c>
      <c r="AH1113" t="s">
        <v>118</v>
      </c>
      <c r="AI1113">
        <v>403</v>
      </c>
      <c r="AJ1113" t="s">
        <v>101</v>
      </c>
      <c r="AK1113">
        <v>0</v>
      </c>
      <c r="AL1113">
        <v>400</v>
      </c>
      <c r="AM1113">
        <v>803</v>
      </c>
      <c r="AN1113" t="s">
        <v>102</v>
      </c>
      <c r="AO1113" t="s">
        <v>97</v>
      </c>
      <c r="AP1113" t="s">
        <v>104</v>
      </c>
      <c r="AQ1113" t="s">
        <v>105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97</v>
      </c>
      <c r="BC1113">
        <v>8</v>
      </c>
      <c r="BD1113" t="s">
        <v>106</v>
      </c>
      <c r="BE1113">
        <v>1</v>
      </c>
      <c r="BF1113" t="s">
        <v>96</v>
      </c>
      <c r="BG1113" t="s">
        <v>107</v>
      </c>
      <c r="BH1113">
        <v>1976</v>
      </c>
      <c r="BI1113" t="s">
        <v>108</v>
      </c>
      <c r="BJ1113">
        <v>2</v>
      </c>
      <c r="BK1113">
        <v>483</v>
      </c>
      <c r="BL1113" t="s">
        <v>97</v>
      </c>
      <c r="BM1113" t="s">
        <v>97</v>
      </c>
      <c r="BN1113" t="s">
        <v>104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X1113">
        <v>0</v>
      </c>
      <c r="BY1113">
        <v>9</v>
      </c>
      <c r="BZ1113">
        <v>2008</v>
      </c>
      <c r="CA1113" t="s">
        <v>109</v>
      </c>
      <c r="CB1113" t="s">
        <v>110</v>
      </c>
      <c r="CC1113">
        <v>205000</v>
      </c>
    </row>
    <row r="1114" spans="1:81" x14ac:dyDescent="0.3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H1114" t="s">
        <v>119</v>
      </c>
      <c r="I1114" t="s">
        <v>84</v>
      </c>
      <c r="J1114" t="s">
        <v>85</v>
      </c>
      <c r="K1114" t="s">
        <v>121</v>
      </c>
      <c r="L1114" t="s">
        <v>87</v>
      </c>
      <c r="M1114" t="s">
        <v>270</v>
      </c>
      <c r="N1114" t="s">
        <v>89</v>
      </c>
      <c r="O1114" t="s">
        <v>89</v>
      </c>
      <c r="P1114" t="s">
        <v>90</v>
      </c>
      <c r="Q1114" t="s">
        <v>114</v>
      </c>
      <c r="R1114">
        <v>5</v>
      </c>
      <c r="S1114">
        <v>7</v>
      </c>
      <c r="T1114">
        <v>1957</v>
      </c>
      <c r="U1114">
        <v>1957</v>
      </c>
      <c r="V1114" t="s">
        <v>92</v>
      </c>
      <c r="W1114" t="s">
        <v>93</v>
      </c>
      <c r="X1114" t="s">
        <v>154</v>
      </c>
      <c r="Y1114" t="s">
        <v>124</v>
      </c>
      <c r="Z1114" t="s">
        <v>116</v>
      </c>
      <c r="AA1114">
        <v>0</v>
      </c>
      <c r="AB1114" t="s">
        <v>97</v>
      </c>
      <c r="AC1114" t="s">
        <v>97</v>
      </c>
      <c r="AD1114" t="s">
        <v>117</v>
      </c>
      <c r="AE1114" t="s">
        <v>97</v>
      </c>
      <c r="AF1114" t="s">
        <v>97</v>
      </c>
      <c r="AG1114" t="s">
        <v>99</v>
      </c>
      <c r="AH1114" t="s">
        <v>100</v>
      </c>
      <c r="AI1114">
        <v>708</v>
      </c>
      <c r="AJ1114" t="s">
        <v>101</v>
      </c>
      <c r="AK1114">
        <v>0</v>
      </c>
      <c r="AL1114">
        <v>108</v>
      </c>
      <c r="AM1114">
        <v>816</v>
      </c>
      <c r="AN1114" t="s">
        <v>102</v>
      </c>
      <c r="AO1114" t="s">
        <v>97</v>
      </c>
      <c r="AP1114" t="s">
        <v>104</v>
      </c>
      <c r="AQ1114" t="s">
        <v>163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97</v>
      </c>
      <c r="BC1114">
        <v>5</v>
      </c>
      <c r="BD1114" t="s">
        <v>106</v>
      </c>
      <c r="BE1114">
        <v>0</v>
      </c>
      <c r="BG1114" t="s">
        <v>126</v>
      </c>
      <c r="BH1114">
        <v>1957</v>
      </c>
      <c r="BI1114" t="s">
        <v>101</v>
      </c>
      <c r="BJ1114">
        <v>1</v>
      </c>
      <c r="BK1114">
        <v>308</v>
      </c>
      <c r="BL1114" t="s">
        <v>97</v>
      </c>
      <c r="BM1114" t="s">
        <v>97</v>
      </c>
      <c r="BN1114" t="s">
        <v>104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X1114">
        <v>0</v>
      </c>
      <c r="BY1114">
        <v>7</v>
      </c>
      <c r="BZ1114">
        <v>2006</v>
      </c>
      <c r="CA1114" t="s">
        <v>109</v>
      </c>
      <c r="CB1114" t="s">
        <v>110</v>
      </c>
      <c r="CC1114">
        <v>129900</v>
      </c>
    </row>
    <row r="1115" spans="1:81" x14ac:dyDescent="0.3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H1115" t="s">
        <v>83</v>
      </c>
      <c r="I1115" t="s">
        <v>84</v>
      </c>
      <c r="J1115" t="s">
        <v>85</v>
      </c>
      <c r="K1115" t="s">
        <v>86</v>
      </c>
      <c r="L1115" t="s">
        <v>87</v>
      </c>
      <c r="M1115" t="s">
        <v>270</v>
      </c>
      <c r="N1115" t="s">
        <v>89</v>
      </c>
      <c r="O1115" t="s">
        <v>89</v>
      </c>
      <c r="P1115" t="s">
        <v>90</v>
      </c>
      <c r="Q1115" t="s">
        <v>114</v>
      </c>
      <c r="R1115">
        <v>5</v>
      </c>
      <c r="S1115">
        <v>7</v>
      </c>
      <c r="T1115">
        <v>1953</v>
      </c>
      <c r="U1115">
        <v>2006</v>
      </c>
      <c r="V1115" t="s">
        <v>92</v>
      </c>
      <c r="W1115" t="s">
        <v>93</v>
      </c>
      <c r="X1115" t="s">
        <v>123</v>
      </c>
      <c r="Y1115" t="s">
        <v>123</v>
      </c>
      <c r="Z1115" t="s">
        <v>116</v>
      </c>
      <c r="AA1115">
        <v>0</v>
      </c>
      <c r="AB1115" t="s">
        <v>97</v>
      </c>
      <c r="AC1115" t="s">
        <v>97</v>
      </c>
      <c r="AD1115" t="s">
        <v>117</v>
      </c>
      <c r="AE1115" t="s">
        <v>97</v>
      </c>
      <c r="AF1115" t="s">
        <v>97</v>
      </c>
      <c r="AG1115" t="s">
        <v>99</v>
      </c>
      <c r="AH1115" t="s">
        <v>140</v>
      </c>
      <c r="AI1115">
        <v>643</v>
      </c>
      <c r="AJ1115" t="s">
        <v>101</v>
      </c>
      <c r="AK1115">
        <v>0</v>
      </c>
      <c r="AL1115">
        <v>365</v>
      </c>
      <c r="AM1115">
        <v>1008</v>
      </c>
      <c r="AN1115" t="s">
        <v>102</v>
      </c>
      <c r="AO1115" t="s">
        <v>96</v>
      </c>
      <c r="AP1115" t="s">
        <v>104</v>
      </c>
      <c r="AQ1115" t="s">
        <v>105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96</v>
      </c>
      <c r="BC1115">
        <v>6</v>
      </c>
      <c r="BD1115" t="s">
        <v>106</v>
      </c>
      <c r="BE1115">
        <v>0</v>
      </c>
      <c r="BG1115" t="s">
        <v>107</v>
      </c>
      <c r="BH1115">
        <v>1953</v>
      </c>
      <c r="BI1115" t="s">
        <v>101</v>
      </c>
      <c r="BJ1115">
        <v>1</v>
      </c>
      <c r="BK1115">
        <v>240</v>
      </c>
      <c r="BL1115" t="s">
        <v>97</v>
      </c>
      <c r="BM1115" t="s">
        <v>97</v>
      </c>
      <c r="BN1115" t="s">
        <v>104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X1115">
        <v>0</v>
      </c>
      <c r="BY1115">
        <v>5</v>
      </c>
      <c r="BZ1115">
        <v>2007</v>
      </c>
      <c r="CA1115" t="s">
        <v>109</v>
      </c>
      <c r="CB1115" t="s">
        <v>110</v>
      </c>
      <c r="CC1115">
        <v>134500</v>
      </c>
    </row>
    <row r="1116" spans="1:81" x14ac:dyDescent="0.3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H1116" t="s">
        <v>83</v>
      </c>
      <c r="I1116" t="s">
        <v>84</v>
      </c>
      <c r="J1116" t="s">
        <v>85</v>
      </c>
      <c r="K1116" t="s">
        <v>86</v>
      </c>
      <c r="L1116" t="s">
        <v>87</v>
      </c>
      <c r="M1116" t="s">
        <v>142</v>
      </c>
      <c r="N1116" t="s">
        <v>89</v>
      </c>
      <c r="O1116" t="s">
        <v>89</v>
      </c>
      <c r="P1116" t="s">
        <v>90</v>
      </c>
      <c r="Q1116" t="s">
        <v>114</v>
      </c>
      <c r="R1116">
        <v>5</v>
      </c>
      <c r="S1116">
        <v>7</v>
      </c>
      <c r="T1116">
        <v>1954</v>
      </c>
      <c r="U1116">
        <v>2000</v>
      </c>
      <c r="V1116" t="s">
        <v>92</v>
      </c>
      <c r="W1116" t="s">
        <v>93</v>
      </c>
      <c r="X1116" t="s">
        <v>115</v>
      </c>
      <c r="Y1116" t="s">
        <v>115</v>
      </c>
      <c r="Z1116" t="s">
        <v>116</v>
      </c>
      <c r="AA1116">
        <v>0</v>
      </c>
      <c r="AB1116" t="s">
        <v>97</v>
      </c>
      <c r="AC1116" t="s">
        <v>96</v>
      </c>
      <c r="AD1116" t="s">
        <v>117</v>
      </c>
      <c r="AE1116" t="s">
        <v>97</v>
      </c>
      <c r="AF1116" t="s">
        <v>97</v>
      </c>
      <c r="AG1116" t="s">
        <v>99</v>
      </c>
      <c r="AH1116" t="s">
        <v>152</v>
      </c>
      <c r="AI1116">
        <v>415</v>
      </c>
      <c r="AJ1116" t="s">
        <v>101</v>
      </c>
      <c r="AK1116">
        <v>0</v>
      </c>
      <c r="AL1116">
        <v>418</v>
      </c>
      <c r="AM1116">
        <v>833</v>
      </c>
      <c r="AN1116" t="s">
        <v>102</v>
      </c>
      <c r="AO1116" t="s">
        <v>103</v>
      </c>
      <c r="AP1116" t="s">
        <v>104</v>
      </c>
      <c r="AQ1116" t="s">
        <v>105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96</v>
      </c>
      <c r="BC1116">
        <v>4</v>
      </c>
      <c r="BD1116" t="s">
        <v>106</v>
      </c>
      <c r="BE1116">
        <v>0</v>
      </c>
      <c r="BG1116" t="s">
        <v>126</v>
      </c>
      <c r="BH1116">
        <v>1955</v>
      </c>
      <c r="BI1116" t="s">
        <v>101</v>
      </c>
      <c r="BJ1116">
        <v>1</v>
      </c>
      <c r="BK1116">
        <v>326</v>
      </c>
      <c r="BL1116" t="s">
        <v>97</v>
      </c>
      <c r="BM1116" t="s">
        <v>97</v>
      </c>
      <c r="BN1116" t="s">
        <v>104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V1116" t="s">
        <v>133</v>
      </c>
      <c r="BX1116">
        <v>0</v>
      </c>
      <c r="BY1116">
        <v>8</v>
      </c>
      <c r="BZ1116">
        <v>2006</v>
      </c>
      <c r="CA1116" t="s">
        <v>109</v>
      </c>
      <c r="CB1116" t="s">
        <v>110</v>
      </c>
      <c r="CC1116">
        <v>117000</v>
      </c>
    </row>
    <row r="1117" spans="1:81" x14ac:dyDescent="0.3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H1117" t="s">
        <v>83</v>
      </c>
      <c r="I1117" t="s">
        <v>84</v>
      </c>
      <c r="J1117" t="s">
        <v>85</v>
      </c>
      <c r="K1117" t="s">
        <v>86</v>
      </c>
      <c r="L1117" t="s">
        <v>87</v>
      </c>
      <c r="M1117" t="s">
        <v>153</v>
      </c>
      <c r="N1117" t="s">
        <v>89</v>
      </c>
      <c r="O1117" t="s">
        <v>89</v>
      </c>
      <c r="P1117" t="s">
        <v>90</v>
      </c>
      <c r="Q1117" t="s">
        <v>114</v>
      </c>
      <c r="R1117">
        <v>8</v>
      </c>
      <c r="S1117">
        <v>5</v>
      </c>
      <c r="T1117">
        <v>2007</v>
      </c>
      <c r="U1117">
        <v>2007</v>
      </c>
      <c r="V1117" t="s">
        <v>151</v>
      </c>
      <c r="W1117" t="s">
        <v>93</v>
      </c>
      <c r="X1117" t="s">
        <v>94</v>
      </c>
      <c r="Y1117" t="s">
        <v>94</v>
      </c>
      <c r="Z1117" t="s">
        <v>136</v>
      </c>
      <c r="AA1117">
        <v>328</v>
      </c>
      <c r="AB1117" t="s">
        <v>96</v>
      </c>
      <c r="AC1117" t="s">
        <v>97</v>
      </c>
      <c r="AD1117" t="s">
        <v>98</v>
      </c>
      <c r="AE1117" t="s">
        <v>103</v>
      </c>
      <c r="AF1117" t="s">
        <v>97</v>
      </c>
      <c r="AG1117" t="s">
        <v>99</v>
      </c>
      <c r="AH1117" t="s">
        <v>100</v>
      </c>
      <c r="AI1117">
        <v>1004</v>
      </c>
      <c r="AJ1117" t="s">
        <v>101</v>
      </c>
      <c r="AK1117">
        <v>0</v>
      </c>
      <c r="AL1117">
        <v>730</v>
      </c>
      <c r="AM1117">
        <v>1734</v>
      </c>
      <c r="AN1117" t="s">
        <v>102</v>
      </c>
      <c r="AO1117" t="s">
        <v>103</v>
      </c>
      <c r="AP1117" t="s">
        <v>104</v>
      </c>
      <c r="AQ1117" t="s">
        <v>105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103</v>
      </c>
      <c r="BC1117">
        <v>7</v>
      </c>
      <c r="BD1117" t="s">
        <v>106</v>
      </c>
      <c r="BE1117">
        <v>1</v>
      </c>
      <c r="BF1117" t="s">
        <v>96</v>
      </c>
      <c r="BG1117" t="s">
        <v>107</v>
      </c>
      <c r="BH1117">
        <v>2007</v>
      </c>
      <c r="BI1117" t="s">
        <v>108</v>
      </c>
      <c r="BJ1117">
        <v>3</v>
      </c>
      <c r="BK1117">
        <v>928</v>
      </c>
      <c r="BL1117" t="s">
        <v>97</v>
      </c>
      <c r="BM1117" t="s">
        <v>97</v>
      </c>
      <c r="BN1117" t="s">
        <v>104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X1117">
        <v>0</v>
      </c>
      <c r="BY1117">
        <v>11</v>
      </c>
      <c r="BZ1117">
        <v>2007</v>
      </c>
      <c r="CA1117" t="s">
        <v>157</v>
      </c>
      <c r="CB1117" t="s">
        <v>158</v>
      </c>
      <c r="CC1117">
        <v>318000</v>
      </c>
    </row>
    <row r="1118" spans="1:81" x14ac:dyDescent="0.3">
      <c r="A1118">
        <v>1117</v>
      </c>
      <c r="B1118">
        <v>80</v>
      </c>
      <c r="C1118" t="s">
        <v>81</v>
      </c>
      <c r="E1118">
        <v>7750</v>
      </c>
      <c r="F1118" t="s">
        <v>82</v>
      </c>
      <c r="H1118" t="s">
        <v>83</v>
      </c>
      <c r="I1118" t="s">
        <v>84</v>
      </c>
      <c r="J1118" t="s">
        <v>85</v>
      </c>
      <c r="K1118" t="s">
        <v>86</v>
      </c>
      <c r="L1118" t="s">
        <v>87</v>
      </c>
      <c r="M1118" t="s">
        <v>192</v>
      </c>
      <c r="N1118" t="s">
        <v>89</v>
      </c>
      <c r="O1118" t="s">
        <v>89</v>
      </c>
      <c r="P1118" t="s">
        <v>90</v>
      </c>
      <c r="Q1118" t="s">
        <v>196</v>
      </c>
      <c r="R1118">
        <v>8</v>
      </c>
      <c r="S1118">
        <v>5</v>
      </c>
      <c r="T1118">
        <v>2002</v>
      </c>
      <c r="U1118">
        <v>2002</v>
      </c>
      <c r="V1118" t="s">
        <v>151</v>
      </c>
      <c r="W1118" t="s">
        <v>93</v>
      </c>
      <c r="X1118" t="s">
        <v>94</v>
      </c>
      <c r="Y1118" t="s">
        <v>94</v>
      </c>
      <c r="Z1118" t="s">
        <v>116</v>
      </c>
      <c r="AA1118">
        <v>0</v>
      </c>
      <c r="AB1118" t="s">
        <v>96</v>
      </c>
      <c r="AC1118" t="s">
        <v>97</v>
      </c>
      <c r="AD1118" t="s">
        <v>98</v>
      </c>
      <c r="AE1118" t="s">
        <v>96</v>
      </c>
      <c r="AF1118" t="s">
        <v>97</v>
      </c>
      <c r="AG1118" t="s">
        <v>99</v>
      </c>
      <c r="AH1118" t="s">
        <v>100</v>
      </c>
      <c r="AI1118">
        <v>353</v>
      </c>
      <c r="AJ1118" t="s">
        <v>101</v>
      </c>
      <c r="AK1118">
        <v>0</v>
      </c>
      <c r="AL1118">
        <v>55</v>
      </c>
      <c r="AM1118">
        <v>408</v>
      </c>
      <c r="AN1118" t="s">
        <v>102</v>
      </c>
      <c r="AO1118" t="s">
        <v>103</v>
      </c>
      <c r="AP1118" t="s">
        <v>104</v>
      </c>
      <c r="AQ1118" t="s">
        <v>105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96</v>
      </c>
      <c r="BC1118">
        <v>7</v>
      </c>
      <c r="BD1118" t="s">
        <v>106</v>
      </c>
      <c r="BE1118">
        <v>1</v>
      </c>
      <c r="BF1118" t="s">
        <v>97</v>
      </c>
      <c r="BG1118" t="s">
        <v>155</v>
      </c>
      <c r="BH1118">
        <v>2002</v>
      </c>
      <c r="BI1118" t="s">
        <v>156</v>
      </c>
      <c r="BJ1118">
        <v>2</v>
      </c>
      <c r="BK1118">
        <v>527</v>
      </c>
      <c r="BL1118" t="s">
        <v>97</v>
      </c>
      <c r="BM1118" t="s">
        <v>97</v>
      </c>
      <c r="BN1118" t="s">
        <v>104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X1118">
        <v>0</v>
      </c>
      <c r="BY1118">
        <v>3</v>
      </c>
      <c r="BZ1118">
        <v>2009</v>
      </c>
      <c r="CA1118" t="s">
        <v>109</v>
      </c>
      <c r="CB1118" t="s">
        <v>110</v>
      </c>
      <c r="CC1118">
        <v>184100</v>
      </c>
    </row>
    <row r="1119" spans="1:81" x14ac:dyDescent="0.3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H1119" t="s">
        <v>119</v>
      </c>
      <c r="I1119" t="s">
        <v>84</v>
      </c>
      <c r="J1119" t="s">
        <v>85</v>
      </c>
      <c r="K1119" t="s">
        <v>111</v>
      </c>
      <c r="L1119" t="s">
        <v>87</v>
      </c>
      <c r="M1119" t="s">
        <v>150</v>
      </c>
      <c r="N1119" t="s">
        <v>113</v>
      </c>
      <c r="O1119" t="s">
        <v>89</v>
      </c>
      <c r="P1119" t="s">
        <v>90</v>
      </c>
      <c r="Q1119" t="s">
        <v>114</v>
      </c>
      <c r="R1119">
        <v>5</v>
      </c>
      <c r="S1119">
        <v>7</v>
      </c>
      <c r="T1119">
        <v>1967</v>
      </c>
      <c r="U1119">
        <v>2003</v>
      </c>
      <c r="V1119" t="s">
        <v>92</v>
      </c>
      <c r="W1119" t="s">
        <v>93</v>
      </c>
      <c r="X1119" t="s">
        <v>94</v>
      </c>
      <c r="Y1119" t="s">
        <v>94</v>
      </c>
      <c r="Z1119" t="s">
        <v>116</v>
      </c>
      <c r="AA1119">
        <v>0</v>
      </c>
      <c r="AB1119" t="s">
        <v>97</v>
      </c>
      <c r="AC1119" t="s">
        <v>97</v>
      </c>
      <c r="AD1119" t="s">
        <v>117</v>
      </c>
      <c r="AE1119" t="s">
        <v>97</v>
      </c>
      <c r="AF1119" t="s">
        <v>97</v>
      </c>
      <c r="AG1119" t="s">
        <v>99</v>
      </c>
      <c r="AH1119" t="s">
        <v>140</v>
      </c>
      <c r="AI1119">
        <v>702</v>
      </c>
      <c r="AJ1119" t="s">
        <v>101</v>
      </c>
      <c r="AK1119">
        <v>0</v>
      </c>
      <c r="AL1119">
        <v>192</v>
      </c>
      <c r="AM1119">
        <v>894</v>
      </c>
      <c r="AN1119" t="s">
        <v>102</v>
      </c>
      <c r="AO1119" t="s">
        <v>103</v>
      </c>
      <c r="AP1119" t="s">
        <v>104</v>
      </c>
      <c r="AQ1119" t="s">
        <v>105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96</v>
      </c>
      <c r="BC1119">
        <v>5</v>
      </c>
      <c r="BD1119" t="s">
        <v>106</v>
      </c>
      <c r="BE1119">
        <v>0</v>
      </c>
      <c r="BG1119" t="s">
        <v>107</v>
      </c>
      <c r="BH1119">
        <v>1967</v>
      </c>
      <c r="BI1119" t="s">
        <v>108</v>
      </c>
      <c r="BJ1119">
        <v>2</v>
      </c>
      <c r="BK1119">
        <v>450</v>
      </c>
      <c r="BL1119" t="s">
        <v>97</v>
      </c>
      <c r="BM1119" t="s">
        <v>97</v>
      </c>
      <c r="BN1119" t="s">
        <v>104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X1119">
        <v>0</v>
      </c>
      <c r="BY1119">
        <v>5</v>
      </c>
      <c r="BZ1119">
        <v>2008</v>
      </c>
      <c r="CA1119" t="s">
        <v>109</v>
      </c>
      <c r="CB1119" t="s">
        <v>110</v>
      </c>
      <c r="CC1119">
        <v>130000</v>
      </c>
    </row>
    <row r="1120" spans="1:81" x14ac:dyDescent="0.3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H1120" t="s">
        <v>83</v>
      </c>
      <c r="I1120" t="s">
        <v>84</v>
      </c>
      <c r="J1120" t="s">
        <v>85</v>
      </c>
      <c r="K1120" t="s">
        <v>86</v>
      </c>
      <c r="L1120" t="s">
        <v>87</v>
      </c>
      <c r="M1120" t="s">
        <v>150</v>
      </c>
      <c r="N1120" t="s">
        <v>89</v>
      </c>
      <c r="O1120" t="s">
        <v>89</v>
      </c>
      <c r="P1120" t="s">
        <v>90</v>
      </c>
      <c r="Q1120" t="s">
        <v>196</v>
      </c>
      <c r="R1120">
        <v>5</v>
      </c>
      <c r="S1120">
        <v>6</v>
      </c>
      <c r="T1120">
        <v>1958</v>
      </c>
      <c r="U1120">
        <v>1987</v>
      </c>
      <c r="V1120" t="s">
        <v>92</v>
      </c>
      <c r="W1120" t="s">
        <v>93</v>
      </c>
      <c r="X1120" t="s">
        <v>115</v>
      </c>
      <c r="Y1120" t="s">
        <v>115</v>
      </c>
      <c r="Z1120" t="s">
        <v>116</v>
      </c>
      <c r="AA1120">
        <v>0</v>
      </c>
      <c r="AB1120" t="s">
        <v>97</v>
      </c>
      <c r="AC1120" t="s">
        <v>96</v>
      </c>
      <c r="AD1120" t="s">
        <v>117</v>
      </c>
      <c r="AE1120" t="s">
        <v>97</v>
      </c>
      <c r="AF1120" t="s">
        <v>97</v>
      </c>
      <c r="AG1120" t="s">
        <v>99</v>
      </c>
      <c r="AH1120" t="s">
        <v>101</v>
      </c>
      <c r="AI1120">
        <v>0</v>
      </c>
      <c r="AJ1120" t="s">
        <v>101</v>
      </c>
      <c r="AK1120">
        <v>0</v>
      </c>
      <c r="AL1120">
        <v>533</v>
      </c>
      <c r="AM1120">
        <v>533</v>
      </c>
      <c r="AN1120" t="s">
        <v>102</v>
      </c>
      <c r="AO1120" t="s">
        <v>97</v>
      </c>
      <c r="AP1120" t="s">
        <v>104</v>
      </c>
      <c r="AQ1120" t="s">
        <v>105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97</v>
      </c>
      <c r="BC1120">
        <v>6</v>
      </c>
      <c r="BD1120" t="s">
        <v>223</v>
      </c>
      <c r="BE1120">
        <v>0</v>
      </c>
      <c r="BG1120" t="s">
        <v>155</v>
      </c>
      <c r="BH1120">
        <v>1958</v>
      </c>
      <c r="BI1120" t="s">
        <v>108</v>
      </c>
      <c r="BJ1120">
        <v>1</v>
      </c>
      <c r="BK1120">
        <v>300</v>
      </c>
      <c r="BL1120" t="s">
        <v>97</v>
      </c>
      <c r="BM1120" t="s">
        <v>97</v>
      </c>
      <c r="BN1120" t="s">
        <v>104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X1120">
        <v>0</v>
      </c>
      <c r="BY1120">
        <v>12</v>
      </c>
      <c r="BZ1120">
        <v>2008</v>
      </c>
      <c r="CA1120" t="s">
        <v>109</v>
      </c>
      <c r="CB1120" t="s">
        <v>110</v>
      </c>
      <c r="CC1120">
        <v>140000</v>
      </c>
    </row>
    <row r="1121" spans="1:81" x14ac:dyDescent="0.3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H1121" t="s">
        <v>83</v>
      </c>
      <c r="I1121" t="s">
        <v>84</v>
      </c>
      <c r="J1121" t="s">
        <v>85</v>
      </c>
      <c r="K1121" t="s">
        <v>86</v>
      </c>
      <c r="L1121" t="s">
        <v>87</v>
      </c>
      <c r="M1121" t="s">
        <v>270</v>
      </c>
      <c r="N1121" t="s">
        <v>89</v>
      </c>
      <c r="O1121" t="s">
        <v>89</v>
      </c>
      <c r="P1121" t="s">
        <v>90</v>
      </c>
      <c r="Q1121" t="s">
        <v>114</v>
      </c>
      <c r="R1121">
        <v>5</v>
      </c>
      <c r="S1121">
        <v>5</v>
      </c>
      <c r="T1121">
        <v>1959</v>
      </c>
      <c r="U1121">
        <v>1959</v>
      </c>
      <c r="V1121" t="s">
        <v>92</v>
      </c>
      <c r="W1121" t="s">
        <v>93</v>
      </c>
      <c r="X1121" t="s">
        <v>95</v>
      </c>
      <c r="Y1121" t="s">
        <v>123</v>
      </c>
      <c r="Z1121" t="s">
        <v>116</v>
      </c>
      <c r="AA1121">
        <v>0</v>
      </c>
      <c r="AB1121" t="s">
        <v>97</v>
      </c>
      <c r="AC1121" t="s">
        <v>97</v>
      </c>
      <c r="AD1121" t="s">
        <v>117</v>
      </c>
      <c r="AE1121" t="s">
        <v>97</v>
      </c>
      <c r="AF1121" t="s">
        <v>97</v>
      </c>
      <c r="AG1121" t="s">
        <v>99</v>
      </c>
      <c r="AH1121" t="s">
        <v>171</v>
      </c>
      <c r="AI1121">
        <v>369</v>
      </c>
      <c r="AJ1121" t="s">
        <v>101</v>
      </c>
      <c r="AK1121">
        <v>0</v>
      </c>
      <c r="AL1121">
        <v>671</v>
      </c>
      <c r="AM1121">
        <v>1040</v>
      </c>
      <c r="AN1121" t="s">
        <v>102</v>
      </c>
      <c r="AO1121" t="s">
        <v>97</v>
      </c>
      <c r="AP1121" t="s">
        <v>104</v>
      </c>
      <c r="AQ1121" t="s">
        <v>163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97</v>
      </c>
      <c r="BC1121">
        <v>6</v>
      </c>
      <c r="BD1121" t="s">
        <v>106</v>
      </c>
      <c r="BE1121">
        <v>0</v>
      </c>
      <c r="BG1121" t="s">
        <v>107</v>
      </c>
      <c r="BH1121">
        <v>1959</v>
      </c>
      <c r="BI1121" t="s">
        <v>108</v>
      </c>
      <c r="BJ1121">
        <v>1</v>
      </c>
      <c r="BK1121">
        <v>286</v>
      </c>
      <c r="BL1121" t="s">
        <v>97</v>
      </c>
      <c r="BM1121" t="s">
        <v>97</v>
      </c>
      <c r="BN1121" t="s">
        <v>104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V1121" t="s">
        <v>162</v>
      </c>
      <c r="BX1121">
        <v>0</v>
      </c>
      <c r="BY1121">
        <v>7</v>
      </c>
      <c r="BZ1121">
        <v>2006</v>
      </c>
      <c r="CA1121" t="s">
        <v>109</v>
      </c>
      <c r="CB1121" t="s">
        <v>110</v>
      </c>
      <c r="CC1121">
        <v>133700</v>
      </c>
    </row>
    <row r="1122" spans="1:81" x14ac:dyDescent="0.3">
      <c r="A1122">
        <v>1121</v>
      </c>
      <c r="B1122">
        <v>30</v>
      </c>
      <c r="C1122" t="s">
        <v>141</v>
      </c>
      <c r="D1122">
        <v>59</v>
      </c>
      <c r="E1122">
        <v>8263</v>
      </c>
      <c r="F1122" t="s">
        <v>82</v>
      </c>
      <c r="H1122" t="s">
        <v>83</v>
      </c>
      <c r="I1122" t="s">
        <v>174</v>
      </c>
      <c r="J1122" t="s">
        <v>85</v>
      </c>
      <c r="K1122" t="s">
        <v>86</v>
      </c>
      <c r="L1122" t="s">
        <v>193</v>
      </c>
      <c r="M1122" t="s">
        <v>175</v>
      </c>
      <c r="N1122" t="s">
        <v>89</v>
      </c>
      <c r="O1122" t="s">
        <v>89</v>
      </c>
      <c r="P1122" t="s">
        <v>90</v>
      </c>
      <c r="Q1122" t="s">
        <v>114</v>
      </c>
      <c r="R1122">
        <v>6</v>
      </c>
      <c r="S1122">
        <v>5</v>
      </c>
      <c r="T1122">
        <v>1920</v>
      </c>
      <c r="U1122">
        <v>1950</v>
      </c>
      <c r="V1122" t="s">
        <v>92</v>
      </c>
      <c r="W1122" t="s">
        <v>93</v>
      </c>
      <c r="X1122" t="s">
        <v>95</v>
      </c>
      <c r="Y1122" t="s">
        <v>95</v>
      </c>
      <c r="Z1122" t="s">
        <v>116</v>
      </c>
      <c r="AA1122">
        <v>0</v>
      </c>
      <c r="AB1122" t="s">
        <v>97</v>
      </c>
      <c r="AC1122" t="s">
        <v>97</v>
      </c>
      <c r="AD1122" t="s">
        <v>125</v>
      </c>
      <c r="AE1122" t="s">
        <v>97</v>
      </c>
      <c r="AF1122" t="s">
        <v>97</v>
      </c>
      <c r="AG1122" t="s">
        <v>99</v>
      </c>
      <c r="AH1122" t="s">
        <v>101</v>
      </c>
      <c r="AI1122">
        <v>0</v>
      </c>
      <c r="AJ1122" t="s">
        <v>101</v>
      </c>
      <c r="AK1122">
        <v>0</v>
      </c>
      <c r="AL1122">
        <v>1012</v>
      </c>
      <c r="AM1122">
        <v>1012</v>
      </c>
      <c r="AN1122" t="s">
        <v>102</v>
      </c>
      <c r="AO1122" t="s">
        <v>97</v>
      </c>
      <c r="AP1122" t="s">
        <v>104</v>
      </c>
      <c r="AQ1122" t="s">
        <v>163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97</v>
      </c>
      <c r="BC1122">
        <v>6</v>
      </c>
      <c r="BD1122" t="s">
        <v>106</v>
      </c>
      <c r="BE1122">
        <v>1</v>
      </c>
      <c r="BF1122" t="s">
        <v>96</v>
      </c>
      <c r="BG1122" t="s">
        <v>126</v>
      </c>
      <c r="BH1122">
        <v>1920</v>
      </c>
      <c r="BI1122" t="s">
        <v>101</v>
      </c>
      <c r="BJ1122">
        <v>1</v>
      </c>
      <c r="BK1122">
        <v>308</v>
      </c>
      <c r="BL1122" t="s">
        <v>97</v>
      </c>
      <c r="BM1122" t="s">
        <v>97</v>
      </c>
      <c r="BN1122" t="s">
        <v>104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V1122" t="s">
        <v>133</v>
      </c>
      <c r="BX1122">
        <v>0</v>
      </c>
      <c r="BY1122">
        <v>5</v>
      </c>
      <c r="BZ1122">
        <v>2007</v>
      </c>
      <c r="CA1122" t="s">
        <v>109</v>
      </c>
      <c r="CB1122" t="s">
        <v>110</v>
      </c>
      <c r="CC1122">
        <v>118400</v>
      </c>
    </row>
    <row r="1123" spans="1:81" x14ac:dyDescent="0.3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H1123" t="s">
        <v>83</v>
      </c>
      <c r="I1123" t="s">
        <v>84</v>
      </c>
      <c r="J1123" t="s">
        <v>85</v>
      </c>
      <c r="K1123" t="s">
        <v>86</v>
      </c>
      <c r="L1123" t="s">
        <v>87</v>
      </c>
      <c r="M1123" t="s">
        <v>88</v>
      </c>
      <c r="N1123" t="s">
        <v>89</v>
      </c>
      <c r="O1123" t="s">
        <v>89</v>
      </c>
      <c r="P1123" t="s">
        <v>90</v>
      </c>
      <c r="Q1123" t="s">
        <v>114</v>
      </c>
      <c r="R1123">
        <v>7</v>
      </c>
      <c r="S1123">
        <v>5</v>
      </c>
      <c r="T1123">
        <v>2005</v>
      </c>
      <c r="U1123">
        <v>2006</v>
      </c>
      <c r="V1123" t="s">
        <v>92</v>
      </c>
      <c r="W1123" t="s">
        <v>93</v>
      </c>
      <c r="X1123" t="s">
        <v>94</v>
      </c>
      <c r="Y1123" t="s">
        <v>94</v>
      </c>
      <c r="Z1123" t="s">
        <v>95</v>
      </c>
      <c r="AA1123">
        <v>196</v>
      </c>
      <c r="AB1123" t="s">
        <v>96</v>
      </c>
      <c r="AC1123" t="s">
        <v>97</v>
      </c>
      <c r="AD1123" t="s">
        <v>98</v>
      </c>
      <c r="AE1123" t="s">
        <v>96</v>
      </c>
      <c r="AF1123" t="s">
        <v>97</v>
      </c>
      <c r="AG1123" t="s">
        <v>129</v>
      </c>
      <c r="AH1123" t="s">
        <v>100</v>
      </c>
      <c r="AI1123">
        <v>24</v>
      </c>
      <c r="AJ1123" t="s">
        <v>101</v>
      </c>
      <c r="AK1123">
        <v>0</v>
      </c>
      <c r="AL1123">
        <v>1528</v>
      </c>
      <c r="AM1123">
        <v>1552</v>
      </c>
      <c r="AN1123" t="s">
        <v>102</v>
      </c>
      <c r="AO1123" t="s">
        <v>103</v>
      </c>
      <c r="AP1123" t="s">
        <v>104</v>
      </c>
      <c r="AQ1123" t="s">
        <v>105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96</v>
      </c>
      <c r="BC1123">
        <v>7</v>
      </c>
      <c r="BD1123" t="s">
        <v>106</v>
      </c>
      <c r="BE1123">
        <v>0</v>
      </c>
      <c r="BG1123" t="s">
        <v>107</v>
      </c>
      <c r="BH1123">
        <v>2005</v>
      </c>
      <c r="BI1123" t="s">
        <v>108</v>
      </c>
      <c r="BJ1123">
        <v>3</v>
      </c>
      <c r="BK1123">
        <v>782</v>
      </c>
      <c r="BL1123" t="s">
        <v>97</v>
      </c>
      <c r="BM1123" t="s">
        <v>97</v>
      </c>
      <c r="BN1123" t="s">
        <v>104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X1123">
        <v>0</v>
      </c>
      <c r="BY1123">
        <v>7</v>
      </c>
      <c r="BZ1123">
        <v>2006</v>
      </c>
      <c r="CA1123" t="s">
        <v>157</v>
      </c>
      <c r="CB1123" t="s">
        <v>158</v>
      </c>
      <c r="CC1123">
        <v>212900</v>
      </c>
    </row>
    <row r="1124" spans="1:81" x14ac:dyDescent="0.3">
      <c r="A1124">
        <v>1123</v>
      </c>
      <c r="B1124">
        <v>20</v>
      </c>
      <c r="C1124" t="s">
        <v>81</v>
      </c>
      <c r="E1124">
        <v>8926</v>
      </c>
      <c r="F1124" t="s">
        <v>82</v>
      </c>
      <c r="H1124" t="s">
        <v>119</v>
      </c>
      <c r="I1124" t="s">
        <v>84</v>
      </c>
      <c r="J1124" t="s">
        <v>85</v>
      </c>
      <c r="K1124" t="s">
        <v>121</v>
      </c>
      <c r="L1124" t="s">
        <v>87</v>
      </c>
      <c r="M1124" t="s">
        <v>184</v>
      </c>
      <c r="N1124" t="s">
        <v>89</v>
      </c>
      <c r="O1124" t="s">
        <v>89</v>
      </c>
      <c r="P1124" t="s">
        <v>90</v>
      </c>
      <c r="Q1124" t="s">
        <v>114</v>
      </c>
      <c r="R1124">
        <v>4</v>
      </c>
      <c r="S1124">
        <v>3</v>
      </c>
      <c r="T1124">
        <v>1956</v>
      </c>
      <c r="U1124">
        <v>1956</v>
      </c>
      <c r="V1124" t="s">
        <v>92</v>
      </c>
      <c r="W1124" t="s">
        <v>93</v>
      </c>
      <c r="X1124" t="s">
        <v>185</v>
      </c>
      <c r="Y1124" t="s">
        <v>185</v>
      </c>
      <c r="Z1124" t="s">
        <v>116</v>
      </c>
      <c r="AA1124">
        <v>0</v>
      </c>
      <c r="AB1124" t="s">
        <v>97</v>
      </c>
      <c r="AC1124" t="s">
        <v>97</v>
      </c>
      <c r="AD1124" t="s">
        <v>117</v>
      </c>
      <c r="AE1124" t="s">
        <v>97</v>
      </c>
      <c r="AF1124" t="s">
        <v>97</v>
      </c>
      <c r="AG1124" t="s">
        <v>99</v>
      </c>
      <c r="AH1124" t="s">
        <v>101</v>
      </c>
      <c r="AI1124">
        <v>0</v>
      </c>
      <c r="AJ1124" t="s">
        <v>101</v>
      </c>
      <c r="AK1124">
        <v>0</v>
      </c>
      <c r="AL1124">
        <v>672</v>
      </c>
      <c r="AM1124">
        <v>672</v>
      </c>
      <c r="AN1124" t="s">
        <v>102</v>
      </c>
      <c r="AO1124" t="s">
        <v>103</v>
      </c>
      <c r="AP1124" t="s">
        <v>104</v>
      </c>
      <c r="AQ1124" t="s">
        <v>163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97</v>
      </c>
      <c r="BC1124">
        <v>5</v>
      </c>
      <c r="BD1124" t="s">
        <v>106</v>
      </c>
      <c r="BE1124">
        <v>0</v>
      </c>
      <c r="BG1124" t="s">
        <v>208</v>
      </c>
      <c r="BH1124">
        <v>1956</v>
      </c>
      <c r="BI1124" t="s">
        <v>101</v>
      </c>
      <c r="BJ1124">
        <v>1</v>
      </c>
      <c r="BK1124">
        <v>288</v>
      </c>
      <c r="BL1124" t="s">
        <v>97</v>
      </c>
      <c r="BM1124" t="s">
        <v>97</v>
      </c>
      <c r="BN1124" t="s">
        <v>104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V1124" t="s">
        <v>133</v>
      </c>
      <c r="BX1124">
        <v>0</v>
      </c>
      <c r="BY1124">
        <v>10</v>
      </c>
      <c r="BZ1124">
        <v>2009</v>
      </c>
      <c r="CA1124" t="s">
        <v>172</v>
      </c>
      <c r="CB1124" t="s">
        <v>127</v>
      </c>
      <c r="CC1124">
        <v>112000</v>
      </c>
    </row>
    <row r="1125" spans="1:81" x14ac:dyDescent="0.3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H1125" t="s">
        <v>83</v>
      </c>
      <c r="I1125" t="s">
        <v>84</v>
      </c>
      <c r="J1125" t="s">
        <v>85</v>
      </c>
      <c r="K1125" t="s">
        <v>86</v>
      </c>
      <c r="L1125" t="s">
        <v>87</v>
      </c>
      <c r="M1125" t="s">
        <v>184</v>
      </c>
      <c r="N1125" t="s">
        <v>89</v>
      </c>
      <c r="O1125" t="s">
        <v>89</v>
      </c>
      <c r="P1125" t="s">
        <v>90</v>
      </c>
      <c r="Q1125" t="s">
        <v>114</v>
      </c>
      <c r="R1125">
        <v>5</v>
      </c>
      <c r="S1125">
        <v>9</v>
      </c>
      <c r="T1125">
        <v>1947</v>
      </c>
      <c r="U1125">
        <v>2008</v>
      </c>
      <c r="V1125" t="s">
        <v>151</v>
      </c>
      <c r="W1125" t="s">
        <v>93</v>
      </c>
      <c r="X1125" t="s">
        <v>94</v>
      </c>
      <c r="Y1125" t="s">
        <v>94</v>
      </c>
      <c r="Z1125" t="s">
        <v>116</v>
      </c>
      <c r="AA1125">
        <v>0</v>
      </c>
      <c r="AB1125" t="s">
        <v>97</v>
      </c>
      <c r="AC1125" t="s">
        <v>103</v>
      </c>
      <c r="AD1125" t="s">
        <v>117</v>
      </c>
      <c r="AE1125" t="s">
        <v>97</v>
      </c>
      <c r="AF1125" t="s">
        <v>97</v>
      </c>
      <c r="AG1125" t="s">
        <v>99</v>
      </c>
      <c r="AH1125" t="s">
        <v>101</v>
      </c>
      <c r="AI1125">
        <v>0</v>
      </c>
      <c r="AJ1125" t="s">
        <v>101</v>
      </c>
      <c r="AK1125">
        <v>0</v>
      </c>
      <c r="AL1125">
        <v>698</v>
      </c>
      <c r="AM1125">
        <v>698</v>
      </c>
      <c r="AN1125" t="s">
        <v>102</v>
      </c>
      <c r="AO1125" t="s">
        <v>103</v>
      </c>
      <c r="AP1125" t="s">
        <v>104</v>
      </c>
      <c r="AQ1125" t="s">
        <v>105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97</v>
      </c>
      <c r="BC1125">
        <v>4</v>
      </c>
      <c r="BD1125" t="s">
        <v>106</v>
      </c>
      <c r="BE1125">
        <v>0</v>
      </c>
      <c r="BJ1125">
        <v>0</v>
      </c>
      <c r="BK1125">
        <v>0</v>
      </c>
      <c r="BN1125" t="s">
        <v>104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X1125">
        <v>0</v>
      </c>
      <c r="BY1125">
        <v>6</v>
      </c>
      <c r="BZ1125">
        <v>2009</v>
      </c>
      <c r="CA1125" t="s">
        <v>109</v>
      </c>
      <c r="CB1125" t="s">
        <v>110</v>
      </c>
      <c r="CC1125">
        <v>118000</v>
      </c>
    </row>
    <row r="1126" spans="1:81" x14ac:dyDescent="0.3">
      <c r="A1126">
        <v>1125</v>
      </c>
      <c r="B1126">
        <v>80</v>
      </c>
      <c r="C1126" t="s">
        <v>81</v>
      </c>
      <c r="E1126">
        <v>9125</v>
      </c>
      <c r="F1126" t="s">
        <v>82</v>
      </c>
      <c r="H1126" t="s">
        <v>119</v>
      </c>
      <c r="I1126" t="s">
        <v>84</v>
      </c>
      <c r="J1126" t="s">
        <v>85</v>
      </c>
      <c r="K1126" t="s">
        <v>86</v>
      </c>
      <c r="L1126" t="s">
        <v>87</v>
      </c>
      <c r="M1126" t="s">
        <v>192</v>
      </c>
      <c r="N1126" t="s">
        <v>89</v>
      </c>
      <c r="O1126" t="s">
        <v>89</v>
      </c>
      <c r="P1126" t="s">
        <v>90</v>
      </c>
      <c r="Q1126" t="s">
        <v>196</v>
      </c>
      <c r="R1126">
        <v>7</v>
      </c>
      <c r="S1126">
        <v>5</v>
      </c>
      <c r="T1126">
        <v>1992</v>
      </c>
      <c r="U1126">
        <v>1992</v>
      </c>
      <c r="V1126" t="s">
        <v>92</v>
      </c>
      <c r="W1126" t="s">
        <v>93</v>
      </c>
      <c r="X1126" t="s">
        <v>139</v>
      </c>
      <c r="Y1126" t="s">
        <v>139</v>
      </c>
      <c r="Z1126" t="s">
        <v>95</v>
      </c>
      <c r="AA1126">
        <v>170</v>
      </c>
      <c r="AB1126" t="s">
        <v>97</v>
      </c>
      <c r="AC1126" t="s">
        <v>97</v>
      </c>
      <c r="AD1126" t="s">
        <v>98</v>
      </c>
      <c r="AE1126" t="s">
        <v>96</v>
      </c>
      <c r="AF1126" t="s">
        <v>97</v>
      </c>
      <c r="AG1126" t="s">
        <v>99</v>
      </c>
      <c r="AH1126" t="s">
        <v>101</v>
      </c>
      <c r="AI1126">
        <v>0</v>
      </c>
      <c r="AJ1126" t="s">
        <v>101</v>
      </c>
      <c r="AK1126">
        <v>0</v>
      </c>
      <c r="AL1126">
        <v>384</v>
      </c>
      <c r="AM1126">
        <v>384</v>
      </c>
      <c r="AN1126" t="s">
        <v>102</v>
      </c>
      <c r="AO1126" t="s">
        <v>96</v>
      </c>
      <c r="AP1126" t="s">
        <v>104</v>
      </c>
      <c r="AQ1126" t="s">
        <v>105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96</v>
      </c>
      <c r="BC1126">
        <v>7</v>
      </c>
      <c r="BD1126" t="s">
        <v>106</v>
      </c>
      <c r="BE1126">
        <v>1</v>
      </c>
      <c r="BF1126" t="s">
        <v>97</v>
      </c>
      <c r="BG1126" t="s">
        <v>107</v>
      </c>
      <c r="BH1126">
        <v>1992</v>
      </c>
      <c r="BI1126" t="s">
        <v>156</v>
      </c>
      <c r="BJ1126">
        <v>2</v>
      </c>
      <c r="BK1126">
        <v>392</v>
      </c>
      <c r="BL1126" t="s">
        <v>97</v>
      </c>
      <c r="BM1126" t="s">
        <v>97</v>
      </c>
      <c r="BN1126" t="s">
        <v>104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X1126">
        <v>0</v>
      </c>
      <c r="BY1126">
        <v>7</v>
      </c>
      <c r="BZ1126">
        <v>2007</v>
      </c>
      <c r="CA1126" t="s">
        <v>109</v>
      </c>
      <c r="CB1126" t="s">
        <v>110</v>
      </c>
      <c r="CC1126">
        <v>163900</v>
      </c>
    </row>
    <row r="1127" spans="1:81" x14ac:dyDescent="0.3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H1127" t="s">
        <v>83</v>
      </c>
      <c r="I1127" t="s">
        <v>84</v>
      </c>
      <c r="J1127" t="s">
        <v>85</v>
      </c>
      <c r="K1127" t="s">
        <v>86</v>
      </c>
      <c r="L1127" t="s">
        <v>87</v>
      </c>
      <c r="M1127" t="s">
        <v>270</v>
      </c>
      <c r="N1127" t="s">
        <v>89</v>
      </c>
      <c r="O1127" t="s">
        <v>89</v>
      </c>
      <c r="P1127" t="s">
        <v>90</v>
      </c>
      <c r="Q1127" t="s">
        <v>114</v>
      </c>
      <c r="R1127">
        <v>4</v>
      </c>
      <c r="S1127">
        <v>5</v>
      </c>
      <c r="T1127">
        <v>1955</v>
      </c>
      <c r="U1127">
        <v>1955</v>
      </c>
      <c r="V1127" t="s">
        <v>92</v>
      </c>
      <c r="W1127" t="s">
        <v>93</v>
      </c>
      <c r="X1127" t="s">
        <v>160</v>
      </c>
      <c r="Y1127" t="s">
        <v>160</v>
      </c>
      <c r="Z1127" t="s">
        <v>116</v>
      </c>
      <c r="AA1127">
        <v>0</v>
      </c>
      <c r="AB1127" t="s">
        <v>97</v>
      </c>
      <c r="AC1127" t="s">
        <v>97</v>
      </c>
      <c r="AD1127" t="s">
        <v>117</v>
      </c>
      <c r="AE1127" t="s">
        <v>97</v>
      </c>
      <c r="AF1127" t="s">
        <v>97</v>
      </c>
      <c r="AG1127" t="s">
        <v>99</v>
      </c>
      <c r="AH1127" t="s">
        <v>101</v>
      </c>
      <c r="AI1127">
        <v>0</v>
      </c>
      <c r="AJ1127" t="s">
        <v>101</v>
      </c>
      <c r="AK1127">
        <v>0</v>
      </c>
      <c r="AL1127">
        <v>1005</v>
      </c>
      <c r="AM1127">
        <v>1005</v>
      </c>
      <c r="AN1127" t="s">
        <v>102</v>
      </c>
      <c r="AO1127" t="s">
        <v>97</v>
      </c>
      <c r="AP1127" t="s">
        <v>104</v>
      </c>
      <c r="AQ1127" t="s">
        <v>105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146</v>
      </c>
      <c r="BC1127">
        <v>5</v>
      </c>
      <c r="BD1127" t="s">
        <v>106</v>
      </c>
      <c r="BE1127">
        <v>1</v>
      </c>
      <c r="BF1127" t="s">
        <v>97</v>
      </c>
      <c r="BG1127" t="s">
        <v>126</v>
      </c>
      <c r="BH1127">
        <v>1977</v>
      </c>
      <c r="BI1127" t="s">
        <v>101</v>
      </c>
      <c r="BJ1127">
        <v>2</v>
      </c>
      <c r="BK1127">
        <v>672</v>
      </c>
      <c r="BL1127" t="s">
        <v>146</v>
      </c>
      <c r="BM1127" t="s">
        <v>146</v>
      </c>
      <c r="BN1127" t="s">
        <v>104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X1127">
        <v>0</v>
      </c>
      <c r="BY1127">
        <v>11</v>
      </c>
      <c r="BZ1127">
        <v>2009</v>
      </c>
      <c r="CA1127" t="s">
        <v>109</v>
      </c>
      <c r="CB1127" t="s">
        <v>110</v>
      </c>
      <c r="CC1127">
        <v>115000</v>
      </c>
    </row>
    <row r="1128" spans="1:81" x14ac:dyDescent="0.3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H1128" t="s">
        <v>83</v>
      </c>
      <c r="I1128" t="s">
        <v>84</v>
      </c>
      <c r="J1128" t="s">
        <v>85</v>
      </c>
      <c r="K1128" t="s">
        <v>86</v>
      </c>
      <c r="L1128" t="s">
        <v>87</v>
      </c>
      <c r="M1128" t="s">
        <v>226</v>
      </c>
      <c r="N1128" t="s">
        <v>89</v>
      </c>
      <c r="O1128" t="s">
        <v>89</v>
      </c>
      <c r="P1128" t="s">
        <v>178</v>
      </c>
      <c r="Q1128" t="s">
        <v>114</v>
      </c>
      <c r="R1128">
        <v>7</v>
      </c>
      <c r="S1128">
        <v>5</v>
      </c>
      <c r="T1128">
        <v>2007</v>
      </c>
      <c r="U1128">
        <v>2007</v>
      </c>
      <c r="V1128" t="s">
        <v>151</v>
      </c>
      <c r="W1128" t="s">
        <v>93</v>
      </c>
      <c r="X1128" t="s">
        <v>94</v>
      </c>
      <c r="Y1128" t="s">
        <v>94</v>
      </c>
      <c r="Z1128" t="s">
        <v>95</v>
      </c>
      <c r="AA1128">
        <v>130</v>
      </c>
      <c r="AB1128" t="s">
        <v>96</v>
      </c>
      <c r="AC1128" t="s">
        <v>97</v>
      </c>
      <c r="AD1128" t="s">
        <v>98</v>
      </c>
      <c r="AE1128" t="s">
        <v>96</v>
      </c>
      <c r="AF1128" t="s">
        <v>97</v>
      </c>
      <c r="AG1128" t="s">
        <v>99</v>
      </c>
      <c r="AH1128" t="s">
        <v>101</v>
      </c>
      <c r="AI1128">
        <v>0</v>
      </c>
      <c r="AJ1128" t="s">
        <v>101</v>
      </c>
      <c r="AK1128">
        <v>0</v>
      </c>
      <c r="AL1128">
        <v>1373</v>
      </c>
      <c r="AM1128">
        <v>1373</v>
      </c>
      <c r="AN1128" t="s">
        <v>102</v>
      </c>
      <c r="AO1128" t="s">
        <v>103</v>
      </c>
      <c r="AP1128" t="s">
        <v>104</v>
      </c>
      <c r="AQ1128" t="s">
        <v>105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96</v>
      </c>
      <c r="BC1128">
        <v>7</v>
      </c>
      <c r="BD1128" t="s">
        <v>106</v>
      </c>
      <c r="BE1128">
        <v>1</v>
      </c>
      <c r="BF1128" t="s">
        <v>97</v>
      </c>
      <c r="BG1128" t="s">
        <v>107</v>
      </c>
      <c r="BH1128">
        <v>2007</v>
      </c>
      <c r="BI1128" t="s">
        <v>156</v>
      </c>
      <c r="BJ1128">
        <v>3</v>
      </c>
      <c r="BK1128">
        <v>660</v>
      </c>
      <c r="BL1128" t="s">
        <v>97</v>
      </c>
      <c r="BM1128" t="s">
        <v>97</v>
      </c>
      <c r="BN1128" t="s">
        <v>104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X1128">
        <v>0</v>
      </c>
      <c r="BY1128">
        <v>6</v>
      </c>
      <c r="BZ1128">
        <v>2009</v>
      </c>
      <c r="CA1128" t="s">
        <v>109</v>
      </c>
      <c r="CB1128" t="s">
        <v>110</v>
      </c>
      <c r="CC1128">
        <v>174000</v>
      </c>
    </row>
    <row r="1129" spans="1:81" x14ac:dyDescent="0.3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H1129" t="s">
        <v>230</v>
      </c>
      <c r="I1129" t="s">
        <v>84</v>
      </c>
      <c r="J1129" t="s">
        <v>85</v>
      </c>
      <c r="K1129" t="s">
        <v>121</v>
      </c>
      <c r="L1129" t="s">
        <v>87</v>
      </c>
      <c r="M1129" t="s">
        <v>192</v>
      </c>
      <c r="N1129" t="s">
        <v>89</v>
      </c>
      <c r="O1129" t="s">
        <v>89</v>
      </c>
      <c r="P1129" t="s">
        <v>90</v>
      </c>
      <c r="Q1129" t="s">
        <v>114</v>
      </c>
      <c r="R1129">
        <v>7</v>
      </c>
      <c r="S1129">
        <v>5</v>
      </c>
      <c r="T1129">
        <v>2004</v>
      </c>
      <c r="U1129">
        <v>2004</v>
      </c>
      <c r="V1129" t="s">
        <v>151</v>
      </c>
      <c r="W1129" t="s">
        <v>93</v>
      </c>
      <c r="X1129" t="s">
        <v>94</v>
      </c>
      <c r="Y1129" t="s">
        <v>94</v>
      </c>
      <c r="Z1129" t="s">
        <v>116</v>
      </c>
      <c r="AA1129">
        <v>0</v>
      </c>
      <c r="AB1129" t="s">
        <v>96</v>
      </c>
      <c r="AC1129" t="s">
        <v>97</v>
      </c>
      <c r="AD1129" t="s">
        <v>98</v>
      </c>
      <c r="AE1129" t="s">
        <v>96</v>
      </c>
      <c r="AF1129" t="s">
        <v>97</v>
      </c>
      <c r="AG1129" t="s">
        <v>129</v>
      </c>
      <c r="AH1129" t="s">
        <v>100</v>
      </c>
      <c r="AI1129">
        <v>1300</v>
      </c>
      <c r="AJ1129" t="s">
        <v>101</v>
      </c>
      <c r="AK1129">
        <v>0</v>
      </c>
      <c r="AL1129">
        <v>230</v>
      </c>
      <c r="AM1129">
        <v>1530</v>
      </c>
      <c r="AN1129" t="s">
        <v>102</v>
      </c>
      <c r="AO1129" t="s">
        <v>103</v>
      </c>
      <c r="AP1129" t="s">
        <v>104</v>
      </c>
      <c r="AQ1129" t="s">
        <v>105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96</v>
      </c>
      <c r="BC1129">
        <v>7</v>
      </c>
      <c r="BD1129" t="s">
        <v>106</v>
      </c>
      <c r="BE1129">
        <v>1</v>
      </c>
      <c r="BF1129" t="s">
        <v>96</v>
      </c>
      <c r="BG1129" t="s">
        <v>107</v>
      </c>
      <c r="BH1129">
        <v>2004</v>
      </c>
      <c r="BI1129" t="s">
        <v>156</v>
      </c>
      <c r="BJ1129">
        <v>3</v>
      </c>
      <c r="BK1129">
        <v>630</v>
      </c>
      <c r="BL1129" t="s">
        <v>97</v>
      </c>
      <c r="BM1129" t="s">
        <v>97</v>
      </c>
      <c r="BN1129" t="s">
        <v>104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X1129">
        <v>0</v>
      </c>
      <c r="BY1129">
        <v>11</v>
      </c>
      <c r="BZ1129">
        <v>2007</v>
      </c>
      <c r="CA1129" t="s">
        <v>109</v>
      </c>
      <c r="CB1129" t="s">
        <v>218</v>
      </c>
      <c r="CC1129">
        <v>259000</v>
      </c>
    </row>
    <row r="1130" spans="1:81" x14ac:dyDescent="0.3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H1130" t="s">
        <v>119</v>
      </c>
      <c r="I1130" t="s">
        <v>84</v>
      </c>
      <c r="J1130" t="s">
        <v>85</v>
      </c>
      <c r="K1130" t="s">
        <v>86</v>
      </c>
      <c r="L1130" t="s">
        <v>87</v>
      </c>
      <c r="M1130" t="s">
        <v>192</v>
      </c>
      <c r="N1130" t="s">
        <v>89</v>
      </c>
      <c r="O1130" t="s">
        <v>89</v>
      </c>
      <c r="P1130" t="s">
        <v>90</v>
      </c>
      <c r="Q1130" t="s">
        <v>91</v>
      </c>
      <c r="R1130">
        <v>7</v>
      </c>
      <c r="S1130">
        <v>5</v>
      </c>
      <c r="T1130">
        <v>2004</v>
      </c>
      <c r="U1130">
        <v>2005</v>
      </c>
      <c r="V1130" t="s">
        <v>92</v>
      </c>
      <c r="W1130" t="s">
        <v>93</v>
      </c>
      <c r="X1130" t="s">
        <v>94</v>
      </c>
      <c r="Y1130" t="s">
        <v>94</v>
      </c>
      <c r="Z1130" t="s">
        <v>116</v>
      </c>
      <c r="AA1130">
        <v>0</v>
      </c>
      <c r="AB1130" t="s">
        <v>96</v>
      </c>
      <c r="AC1130" t="s">
        <v>97</v>
      </c>
      <c r="AD1130" t="s">
        <v>98</v>
      </c>
      <c r="AE1130" t="s">
        <v>96</v>
      </c>
      <c r="AF1130" t="s">
        <v>97</v>
      </c>
      <c r="AG1130" t="s">
        <v>129</v>
      </c>
      <c r="AH1130" t="s">
        <v>101</v>
      </c>
      <c r="AI1130">
        <v>0</v>
      </c>
      <c r="AJ1130" t="s">
        <v>101</v>
      </c>
      <c r="AK1130">
        <v>0</v>
      </c>
      <c r="AL1130">
        <v>847</v>
      </c>
      <c r="AM1130">
        <v>847</v>
      </c>
      <c r="AN1130" t="s">
        <v>102</v>
      </c>
      <c r="AO1130" t="s">
        <v>103</v>
      </c>
      <c r="AP1130" t="s">
        <v>104</v>
      </c>
      <c r="AQ1130" t="s">
        <v>105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96</v>
      </c>
      <c r="BC1130">
        <v>8</v>
      </c>
      <c r="BD1130" t="s">
        <v>106</v>
      </c>
      <c r="BE1130">
        <v>1</v>
      </c>
      <c r="BF1130" t="s">
        <v>96</v>
      </c>
      <c r="BG1130" t="s">
        <v>155</v>
      </c>
      <c r="BH1130">
        <v>2004</v>
      </c>
      <c r="BI1130" t="s">
        <v>156</v>
      </c>
      <c r="BJ1130">
        <v>2</v>
      </c>
      <c r="BK1130">
        <v>434</v>
      </c>
      <c r="BL1130" t="s">
        <v>97</v>
      </c>
      <c r="BM1130" t="s">
        <v>97</v>
      </c>
      <c r="BN1130" t="s">
        <v>104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X1130">
        <v>0</v>
      </c>
      <c r="BY1130">
        <v>7</v>
      </c>
      <c r="BZ1130">
        <v>2007</v>
      </c>
      <c r="CA1130" t="s">
        <v>109</v>
      </c>
      <c r="CB1130" t="s">
        <v>110</v>
      </c>
      <c r="CC1130">
        <v>215000</v>
      </c>
    </row>
    <row r="1131" spans="1:81" x14ac:dyDescent="0.3">
      <c r="A1131">
        <v>1130</v>
      </c>
      <c r="B1131">
        <v>90</v>
      </c>
      <c r="C1131" t="s">
        <v>141</v>
      </c>
      <c r="D1131">
        <v>60</v>
      </c>
      <c r="E1131">
        <v>7200</v>
      </c>
      <c r="F1131" t="s">
        <v>82</v>
      </c>
      <c r="G1131" t="s">
        <v>173</v>
      </c>
      <c r="H1131" t="s">
        <v>83</v>
      </c>
      <c r="I1131" t="s">
        <v>84</v>
      </c>
      <c r="J1131" t="s">
        <v>85</v>
      </c>
      <c r="K1131" t="s">
        <v>86</v>
      </c>
      <c r="L1131" t="s">
        <v>87</v>
      </c>
      <c r="M1131" t="s">
        <v>142</v>
      </c>
      <c r="N1131" t="s">
        <v>89</v>
      </c>
      <c r="O1131" t="s">
        <v>89</v>
      </c>
      <c r="P1131" t="s">
        <v>166</v>
      </c>
      <c r="Q1131" t="s">
        <v>190</v>
      </c>
      <c r="R1131">
        <v>5</v>
      </c>
      <c r="S1131">
        <v>5</v>
      </c>
      <c r="T1131">
        <v>1980</v>
      </c>
      <c r="U1131">
        <v>1980</v>
      </c>
      <c r="V1131" t="s">
        <v>92</v>
      </c>
      <c r="W1131" t="s">
        <v>93</v>
      </c>
      <c r="X1131" t="s">
        <v>115</v>
      </c>
      <c r="Y1131" t="s">
        <v>115</v>
      </c>
      <c r="Z1131" t="s">
        <v>95</v>
      </c>
      <c r="AA1131">
        <v>180</v>
      </c>
      <c r="AB1131" t="s">
        <v>97</v>
      </c>
      <c r="AC1131" t="s">
        <v>97</v>
      </c>
      <c r="AD1131" t="s">
        <v>117</v>
      </c>
      <c r="AE1131" t="s">
        <v>96</v>
      </c>
      <c r="AF1131" t="s">
        <v>97</v>
      </c>
      <c r="AG1131" t="s">
        <v>96</v>
      </c>
      <c r="AH1131" t="s">
        <v>100</v>
      </c>
      <c r="AI1131">
        <v>936</v>
      </c>
      <c r="AJ1131" t="s">
        <v>101</v>
      </c>
      <c r="AK1131">
        <v>0</v>
      </c>
      <c r="AL1131">
        <v>0</v>
      </c>
      <c r="AM1131">
        <v>936</v>
      </c>
      <c r="AN1131" t="s">
        <v>102</v>
      </c>
      <c r="AO1131" t="s">
        <v>97</v>
      </c>
      <c r="AP1131" t="s">
        <v>104</v>
      </c>
      <c r="AQ1131" t="s">
        <v>105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97</v>
      </c>
      <c r="BC1131">
        <v>4</v>
      </c>
      <c r="BD1131" t="s">
        <v>106</v>
      </c>
      <c r="BE1131">
        <v>0</v>
      </c>
      <c r="BG1131" t="s">
        <v>126</v>
      </c>
      <c r="BH1131">
        <v>1980</v>
      </c>
      <c r="BI1131" t="s">
        <v>101</v>
      </c>
      <c r="BJ1131">
        <v>2</v>
      </c>
      <c r="BK1131">
        <v>672</v>
      </c>
      <c r="BL1131" t="s">
        <v>97</v>
      </c>
      <c r="BM1131" t="s">
        <v>97</v>
      </c>
      <c r="BN1131" t="s">
        <v>104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X1131">
        <v>0</v>
      </c>
      <c r="BY1131">
        <v>8</v>
      </c>
      <c r="BZ1131">
        <v>2007</v>
      </c>
      <c r="CA1131" t="s">
        <v>109</v>
      </c>
      <c r="CB1131" t="s">
        <v>110</v>
      </c>
      <c r="CC1131">
        <v>140000</v>
      </c>
    </row>
    <row r="1132" spans="1:81" x14ac:dyDescent="0.3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H1132" t="s">
        <v>83</v>
      </c>
      <c r="I1132" t="s">
        <v>84</v>
      </c>
      <c r="J1132" t="s">
        <v>85</v>
      </c>
      <c r="K1132" t="s">
        <v>86</v>
      </c>
      <c r="L1132" t="s">
        <v>87</v>
      </c>
      <c r="M1132" t="s">
        <v>231</v>
      </c>
      <c r="N1132" t="s">
        <v>89</v>
      </c>
      <c r="O1132" t="s">
        <v>89</v>
      </c>
      <c r="P1132" t="s">
        <v>90</v>
      </c>
      <c r="Q1132" t="s">
        <v>131</v>
      </c>
      <c r="R1132">
        <v>4</v>
      </c>
      <c r="S1132">
        <v>3</v>
      </c>
      <c r="T1132">
        <v>1928</v>
      </c>
      <c r="U1132">
        <v>1950</v>
      </c>
      <c r="V1132" t="s">
        <v>92</v>
      </c>
      <c r="W1132" t="s">
        <v>93</v>
      </c>
      <c r="X1132" t="s">
        <v>154</v>
      </c>
      <c r="Y1132" t="s">
        <v>160</v>
      </c>
      <c r="Z1132" t="s">
        <v>116</v>
      </c>
      <c r="AA1132">
        <v>0</v>
      </c>
      <c r="AB1132" t="s">
        <v>97</v>
      </c>
      <c r="AC1132" t="s">
        <v>97</v>
      </c>
      <c r="AD1132" t="s">
        <v>125</v>
      </c>
      <c r="AE1132" t="s">
        <v>97</v>
      </c>
      <c r="AF1132" t="s">
        <v>97</v>
      </c>
      <c r="AG1132" t="s">
        <v>99</v>
      </c>
      <c r="AH1132" t="s">
        <v>140</v>
      </c>
      <c r="AI1132">
        <v>622</v>
      </c>
      <c r="AJ1132" t="s">
        <v>101</v>
      </c>
      <c r="AK1132">
        <v>0</v>
      </c>
      <c r="AL1132">
        <v>500</v>
      </c>
      <c r="AM1132">
        <v>1122</v>
      </c>
      <c r="AN1132" t="s">
        <v>102</v>
      </c>
      <c r="AO1132" t="s">
        <v>97</v>
      </c>
      <c r="AP1132" t="s">
        <v>104</v>
      </c>
      <c r="AQ1132" t="s">
        <v>105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96</v>
      </c>
      <c r="BC1132">
        <v>7</v>
      </c>
      <c r="BD1132" t="s">
        <v>223</v>
      </c>
      <c r="BE1132">
        <v>2</v>
      </c>
      <c r="BF1132" t="s">
        <v>97</v>
      </c>
      <c r="BG1132" t="s">
        <v>126</v>
      </c>
      <c r="BH1132">
        <v>1981</v>
      </c>
      <c r="BI1132" t="s">
        <v>101</v>
      </c>
      <c r="BJ1132">
        <v>2</v>
      </c>
      <c r="BK1132">
        <v>576</v>
      </c>
      <c r="BL1132" t="s">
        <v>97</v>
      </c>
      <c r="BM1132" t="s">
        <v>97</v>
      </c>
      <c r="BN1132" t="s">
        <v>104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V1132" t="s">
        <v>133</v>
      </c>
      <c r="BX1132">
        <v>0</v>
      </c>
      <c r="BY1132">
        <v>12</v>
      </c>
      <c r="BZ1132">
        <v>2009</v>
      </c>
      <c r="CA1132" t="s">
        <v>109</v>
      </c>
      <c r="CB1132" t="s">
        <v>110</v>
      </c>
      <c r="CC1132">
        <v>135000</v>
      </c>
    </row>
    <row r="1133" spans="1:81" x14ac:dyDescent="0.3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H1133" t="s">
        <v>83</v>
      </c>
      <c r="I1133" t="s">
        <v>84</v>
      </c>
      <c r="J1133" t="s">
        <v>85</v>
      </c>
      <c r="K1133" t="s">
        <v>86</v>
      </c>
      <c r="L1133" t="s">
        <v>87</v>
      </c>
      <c r="M1133" t="s">
        <v>130</v>
      </c>
      <c r="N1133" t="s">
        <v>89</v>
      </c>
      <c r="O1133" t="s">
        <v>89</v>
      </c>
      <c r="P1133" t="s">
        <v>90</v>
      </c>
      <c r="Q1133" t="s">
        <v>114</v>
      </c>
      <c r="R1133">
        <v>5</v>
      </c>
      <c r="S1133">
        <v>5</v>
      </c>
      <c r="T1133">
        <v>1991</v>
      </c>
      <c r="U1133">
        <v>1992</v>
      </c>
      <c r="V1133" t="s">
        <v>92</v>
      </c>
      <c r="W1133" t="s">
        <v>93</v>
      </c>
      <c r="X1133" t="s">
        <v>139</v>
      </c>
      <c r="Y1133" t="s">
        <v>139</v>
      </c>
      <c r="Z1133" t="s">
        <v>116</v>
      </c>
      <c r="AA1133">
        <v>0</v>
      </c>
      <c r="AB1133" t="s">
        <v>97</v>
      </c>
      <c r="AC1133" t="s">
        <v>97</v>
      </c>
      <c r="AD1133" t="s">
        <v>98</v>
      </c>
      <c r="AE1133" t="s">
        <v>96</v>
      </c>
      <c r="AF1133" t="s">
        <v>97</v>
      </c>
      <c r="AG1133" t="s">
        <v>120</v>
      </c>
      <c r="AH1133" t="s">
        <v>140</v>
      </c>
      <c r="AI1133">
        <v>212</v>
      </c>
      <c r="AJ1133" t="s">
        <v>101</v>
      </c>
      <c r="AK1133">
        <v>0</v>
      </c>
      <c r="AL1133">
        <v>762</v>
      </c>
      <c r="AM1133">
        <v>974</v>
      </c>
      <c r="AN1133" t="s">
        <v>102</v>
      </c>
      <c r="AO1133" t="s">
        <v>97</v>
      </c>
      <c r="AP1133" t="s">
        <v>104</v>
      </c>
      <c r="AQ1133" t="s">
        <v>105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97</v>
      </c>
      <c r="BC1133">
        <v>5</v>
      </c>
      <c r="BD1133" t="s">
        <v>106</v>
      </c>
      <c r="BE1133">
        <v>0</v>
      </c>
      <c r="BJ1133">
        <v>0</v>
      </c>
      <c r="BK1133">
        <v>0</v>
      </c>
      <c r="BN1133" t="s">
        <v>104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V1133" t="s">
        <v>133</v>
      </c>
      <c r="BX1133">
        <v>0</v>
      </c>
      <c r="BY1133">
        <v>9</v>
      </c>
      <c r="BZ1133">
        <v>2007</v>
      </c>
      <c r="CA1133" t="s">
        <v>248</v>
      </c>
      <c r="CB1133" t="s">
        <v>127</v>
      </c>
      <c r="CC1133">
        <v>93500</v>
      </c>
    </row>
    <row r="1134" spans="1:81" x14ac:dyDescent="0.3">
      <c r="A1134">
        <v>1133</v>
      </c>
      <c r="B1134">
        <v>70</v>
      </c>
      <c r="C1134" t="s">
        <v>141</v>
      </c>
      <c r="D1134">
        <v>90</v>
      </c>
      <c r="E1134">
        <v>9900</v>
      </c>
      <c r="F1134" t="s">
        <v>82</v>
      </c>
      <c r="H1134" t="s">
        <v>83</v>
      </c>
      <c r="I1134" t="s">
        <v>84</v>
      </c>
      <c r="J1134" t="s">
        <v>85</v>
      </c>
      <c r="K1134" t="s">
        <v>86</v>
      </c>
      <c r="L1134" t="s">
        <v>87</v>
      </c>
      <c r="M1134" t="s">
        <v>142</v>
      </c>
      <c r="N1134" t="s">
        <v>89</v>
      </c>
      <c r="O1134" t="s">
        <v>89</v>
      </c>
      <c r="P1134" t="s">
        <v>90</v>
      </c>
      <c r="Q1134" t="s">
        <v>91</v>
      </c>
      <c r="R1134">
        <v>6</v>
      </c>
      <c r="S1134">
        <v>4</v>
      </c>
      <c r="T1134">
        <v>1880</v>
      </c>
      <c r="U1134">
        <v>1950</v>
      </c>
      <c r="V1134" t="s">
        <v>92</v>
      </c>
      <c r="W1134" t="s">
        <v>93</v>
      </c>
      <c r="X1134" t="s">
        <v>123</v>
      </c>
      <c r="Y1134" t="s">
        <v>123</v>
      </c>
      <c r="Z1134" t="s">
        <v>116</v>
      </c>
      <c r="AA1134">
        <v>0</v>
      </c>
      <c r="AB1134" t="s">
        <v>97</v>
      </c>
      <c r="AC1134" t="s">
        <v>97</v>
      </c>
      <c r="AD1134" t="s">
        <v>125</v>
      </c>
      <c r="AE1134" t="s">
        <v>97</v>
      </c>
      <c r="AF1134" t="s">
        <v>97</v>
      </c>
      <c r="AG1134" t="s">
        <v>120</v>
      </c>
      <c r="AH1134" t="s">
        <v>101</v>
      </c>
      <c r="AI1134">
        <v>0</v>
      </c>
      <c r="AJ1134" t="s">
        <v>101</v>
      </c>
      <c r="AK1134">
        <v>0</v>
      </c>
      <c r="AL1134">
        <v>1008</v>
      </c>
      <c r="AM1134">
        <v>1008</v>
      </c>
      <c r="AN1134" t="s">
        <v>205</v>
      </c>
      <c r="AO1134" t="s">
        <v>97</v>
      </c>
      <c r="AP1134" t="s">
        <v>104</v>
      </c>
      <c r="AQ1134" t="s">
        <v>105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146</v>
      </c>
      <c r="BC1134">
        <v>8</v>
      </c>
      <c r="BD1134" t="s">
        <v>106</v>
      </c>
      <c r="BE1134">
        <v>0</v>
      </c>
      <c r="BG1134" t="s">
        <v>126</v>
      </c>
      <c r="BH1134">
        <v>1930</v>
      </c>
      <c r="BI1134" t="s">
        <v>101</v>
      </c>
      <c r="BJ1134">
        <v>1</v>
      </c>
      <c r="BK1134">
        <v>205</v>
      </c>
      <c r="BL1134" t="s">
        <v>146</v>
      </c>
      <c r="BM1134" t="s">
        <v>97</v>
      </c>
      <c r="BN1134" t="s">
        <v>176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X1134">
        <v>0</v>
      </c>
      <c r="BY1134">
        <v>5</v>
      </c>
      <c r="BZ1134">
        <v>2007</v>
      </c>
      <c r="CA1134" t="s">
        <v>109</v>
      </c>
      <c r="CB1134" t="s">
        <v>110</v>
      </c>
      <c r="CC1134">
        <v>117500</v>
      </c>
    </row>
    <row r="1135" spans="1:81" x14ac:dyDescent="0.3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H1135" t="s">
        <v>119</v>
      </c>
      <c r="I1135" t="s">
        <v>84</v>
      </c>
      <c r="J1135" t="s">
        <v>85</v>
      </c>
      <c r="K1135" t="s">
        <v>86</v>
      </c>
      <c r="L1135" t="s">
        <v>87</v>
      </c>
      <c r="M1135" t="s">
        <v>169</v>
      </c>
      <c r="N1135" t="s">
        <v>89</v>
      </c>
      <c r="O1135" t="s">
        <v>89</v>
      </c>
      <c r="P1135" t="s">
        <v>90</v>
      </c>
      <c r="Q1135" t="s">
        <v>91</v>
      </c>
      <c r="R1135">
        <v>8</v>
      </c>
      <c r="S1135">
        <v>5</v>
      </c>
      <c r="T1135">
        <v>1995</v>
      </c>
      <c r="U1135">
        <v>1995</v>
      </c>
      <c r="V1135" t="s">
        <v>92</v>
      </c>
      <c r="W1135" t="s">
        <v>93</v>
      </c>
      <c r="X1135" t="s">
        <v>94</v>
      </c>
      <c r="Y1135" t="s">
        <v>94</v>
      </c>
      <c r="Z1135" t="s">
        <v>116</v>
      </c>
      <c r="AA1135">
        <v>0</v>
      </c>
      <c r="AB1135" t="s">
        <v>96</v>
      </c>
      <c r="AC1135" t="s">
        <v>97</v>
      </c>
      <c r="AD1135" t="s">
        <v>98</v>
      </c>
      <c r="AE1135" t="s">
        <v>96</v>
      </c>
      <c r="AF1135" t="s">
        <v>97</v>
      </c>
      <c r="AG1135" t="s">
        <v>99</v>
      </c>
      <c r="AH1135" t="s">
        <v>100</v>
      </c>
      <c r="AI1135">
        <v>584</v>
      </c>
      <c r="AJ1135" t="s">
        <v>101</v>
      </c>
      <c r="AK1135">
        <v>0</v>
      </c>
      <c r="AL1135">
        <v>544</v>
      </c>
      <c r="AM1135">
        <v>1128</v>
      </c>
      <c r="AN1135" t="s">
        <v>102</v>
      </c>
      <c r="AO1135" t="s">
        <v>103</v>
      </c>
      <c r="AP1135" t="s">
        <v>104</v>
      </c>
      <c r="AQ1135" t="s">
        <v>105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96</v>
      </c>
      <c r="BC1135">
        <v>8</v>
      </c>
      <c r="BD1135" t="s">
        <v>106</v>
      </c>
      <c r="BE1135">
        <v>1</v>
      </c>
      <c r="BF1135" t="s">
        <v>97</v>
      </c>
      <c r="BG1135" t="s">
        <v>107</v>
      </c>
      <c r="BH1135">
        <v>1995</v>
      </c>
      <c r="BI1135" t="s">
        <v>108</v>
      </c>
      <c r="BJ1135">
        <v>2</v>
      </c>
      <c r="BK1135">
        <v>466</v>
      </c>
      <c r="BL1135" t="s">
        <v>97</v>
      </c>
      <c r="BM1135" t="s">
        <v>97</v>
      </c>
      <c r="BN1135" t="s">
        <v>104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X1135">
        <v>0</v>
      </c>
      <c r="BY1135">
        <v>6</v>
      </c>
      <c r="BZ1135">
        <v>2009</v>
      </c>
      <c r="CA1135" t="s">
        <v>109</v>
      </c>
      <c r="CB1135" t="s">
        <v>110</v>
      </c>
      <c r="CC1135">
        <v>239500</v>
      </c>
    </row>
    <row r="1136" spans="1:81" x14ac:dyDescent="0.3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H1136" t="s">
        <v>119</v>
      </c>
      <c r="I1136" t="s">
        <v>198</v>
      </c>
      <c r="J1136" t="s">
        <v>85</v>
      </c>
      <c r="K1136" t="s">
        <v>86</v>
      </c>
      <c r="L1136" t="s">
        <v>87</v>
      </c>
      <c r="M1136" t="s">
        <v>192</v>
      </c>
      <c r="N1136" t="s">
        <v>89</v>
      </c>
      <c r="O1136" t="s">
        <v>89</v>
      </c>
      <c r="P1136" t="s">
        <v>90</v>
      </c>
      <c r="Q1136" t="s">
        <v>91</v>
      </c>
      <c r="R1136">
        <v>6</v>
      </c>
      <c r="S1136">
        <v>5</v>
      </c>
      <c r="T1136">
        <v>1997</v>
      </c>
      <c r="U1136">
        <v>1997</v>
      </c>
      <c r="V1136" t="s">
        <v>92</v>
      </c>
      <c r="W1136" t="s">
        <v>93</v>
      </c>
      <c r="X1136" t="s">
        <v>94</v>
      </c>
      <c r="Y1136" t="s">
        <v>94</v>
      </c>
      <c r="Z1136" t="s">
        <v>116</v>
      </c>
      <c r="AA1136">
        <v>0</v>
      </c>
      <c r="AB1136" t="s">
        <v>97</v>
      </c>
      <c r="AC1136" t="s">
        <v>97</v>
      </c>
      <c r="AD1136" t="s">
        <v>98</v>
      </c>
      <c r="AE1136" t="s">
        <v>96</v>
      </c>
      <c r="AF1136" t="s">
        <v>97</v>
      </c>
      <c r="AG1136" t="s">
        <v>129</v>
      </c>
      <c r="AH1136" t="s">
        <v>101</v>
      </c>
      <c r="AI1136">
        <v>0</v>
      </c>
      <c r="AJ1136" t="s">
        <v>101</v>
      </c>
      <c r="AK1136">
        <v>0</v>
      </c>
      <c r="AL1136">
        <v>916</v>
      </c>
      <c r="AM1136">
        <v>916</v>
      </c>
      <c r="AN1136" t="s">
        <v>102</v>
      </c>
      <c r="AO1136" t="s">
        <v>96</v>
      </c>
      <c r="AP1136" t="s">
        <v>104</v>
      </c>
      <c r="AQ1136" t="s">
        <v>105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97</v>
      </c>
      <c r="BC1136">
        <v>7</v>
      </c>
      <c r="BD1136" t="s">
        <v>106</v>
      </c>
      <c r="BE1136">
        <v>1</v>
      </c>
      <c r="BF1136" t="s">
        <v>97</v>
      </c>
      <c r="BG1136" t="s">
        <v>107</v>
      </c>
      <c r="BH1136">
        <v>1997</v>
      </c>
      <c r="BI1136" t="s">
        <v>156</v>
      </c>
      <c r="BJ1136">
        <v>2</v>
      </c>
      <c r="BK1136">
        <v>460</v>
      </c>
      <c r="BL1136" t="s">
        <v>97</v>
      </c>
      <c r="BM1136" t="s">
        <v>97</v>
      </c>
      <c r="BN1136" t="s">
        <v>104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X1136">
        <v>0</v>
      </c>
      <c r="BY1136">
        <v>8</v>
      </c>
      <c r="BZ1136">
        <v>2007</v>
      </c>
      <c r="CA1136" t="s">
        <v>109</v>
      </c>
      <c r="CB1136" t="s">
        <v>110</v>
      </c>
      <c r="CC1136">
        <v>169000</v>
      </c>
    </row>
    <row r="1137" spans="1:81" x14ac:dyDescent="0.3">
      <c r="A1137">
        <v>1136</v>
      </c>
      <c r="B1137">
        <v>30</v>
      </c>
      <c r="C1137" t="s">
        <v>141</v>
      </c>
      <c r="D1137">
        <v>60</v>
      </c>
      <c r="E1137">
        <v>6180</v>
      </c>
      <c r="F1137" t="s">
        <v>82</v>
      </c>
      <c r="H1137" t="s">
        <v>83</v>
      </c>
      <c r="I1137" t="s">
        <v>84</v>
      </c>
      <c r="J1137" t="s">
        <v>85</v>
      </c>
      <c r="K1137" t="s">
        <v>121</v>
      </c>
      <c r="L1137" t="s">
        <v>87</v>
      </c>
      <c r="M1137" t="s">
        <v>147</v>
      </c>
      <c r="N1137" t="s">
        <v>89</v>
      </c>
      <c r="O1137" t="s">
        <v>89</v>
      </c>
      <c r="P1137" t="s">
        <v>90</v>
      </c>
      <c r="Q1137" t="s">
        <v>114</v>
      </c>
      <c r="R1137">
        <v>6</v>
      </c>
      <c r="S1137">
        <v>5</v>
      </c>
      <c r="T1137">
        <v>1926</v>
      </c>
      <c r="U1137">
        <v>1950</v>
      </c>
      <c r="V1137" t="s">
        <v>92</v>
      </c>
      <c r="W1137" t="s">
        <v>93</v>
      </c>
      <c r="X1137" t="s">
        <v>123</v>
      </c>
      <c r="Y1137" t="s">
        <v>123</v>
      </c>
      <c r="Z1137" t="s">
        <v>116</v>
      </c>
      <c r="AA1137">
        <v>0</v>
      </c>
      <c r="AB1137" t="s">
        <v>97</v>
      </c>
      <c r="AC1137" t="s">
        <v>97</v>
      </c>
      <c r="AD1137" t="s">
        <v>125</v>
      </c>
      <c r="AE1137" t="s">
        <v>97</v>
      </c>
      <c r="AF1137" t="s">
        <v>97</v>
      </c>
      <c r="AG1137" t="s">
        <v>99</v>
      </c>
      <c r="AH1137" t="s">
        <v>101</v>
      </c>
      <c r="AI1137">
        <v>0</v>
      </c>
      <c r="AJ1137" t="s">
        <v>101</v>
      </c>
      <c r="AK1137">
        <v>0</v>
      </c>
      <c r="AL1137">
        <v>960</v>
      </c>
      <c r="AM1137">
        <v>960</v>
      </c>
      <c r="AN1137" t="s">
        <v>102</v>
      </c>
      <c r="AO1137" t="s">
        <v>97</v>
      </c>
      <c r="AP1137" t="s">
        <v>176</v>
      </c>
      <c r="AQ1137" t="s">
        <v>105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97</v>
      </c>
      <c r="BC1137">
        <v>5</v>
      </c>
      <c r="BD1137" t="s">
        <v>106</v>
      </c>
      <c r="BE1137">
        <v>1</v>
      </c>
      <c r="BF1137" t="s">
        <v>96</v>
      </c>
      <c r="BG1137" t="s">
        <v>126</v>
      </c>
      <c r="BH1137">
        <v>1926</v>
      </c>
      <c r="BI1137" t="s">
        <v>101</v>
      </c>
      <c r="BJ1137">
        <v>1</v>
      </c>
      <c r="BK1137">
        <v>180</v>
      </c>
      <c r="BL1137" t="s">
        <v>97</v>
      </c>
      <c r="BM1137" t="s">
        <v>97</v>
      </c>
      <c r="BN1137" t="s">
        <v>104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X1137">
        <v>0</v>
      </c>
      <c r="BY1137">
        <v>5</v>
      </c>
      <c r="BZ1137">
        <v>2007</v>
      </c>
      <c r="CA1137" t="s">
        <v>109</v>
      </c>
      <c r="CB1137" t="s">
        <v>110</v>
      </c>
      <c r="CC1137">
        <v>102000</v>
      </c>
    </row>
    <row r="1138" spans="1:81" x14ac:dyDescent="0.3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H1138" t="s">
        <v>83</v>
      </c>
      <c r="I1138" t="s">
        <v>84</v>
      </c>
      <c r="J1138" t="s">
        <v>85</v>
      </c>
      <c r="K1138" t="s">
        <v>86</v>
      </c>
      <c r="L1138" t="s">
        <v>87</v>
      </c>
      <c r="M1138" t="s">
        <v>270</v>
      </c>
      <c r="N1138" t="s">
        <v>89</v>
      </c>
      <c r="O1138" t="s">
        <v>89</v>
      </c>
      <c r="P1138" t="s">
        <v>90</v>
      </c>
      <c r="Q1138" t="s">
        <v>131</v>
      </c>
      <c r="R1138">
        <v>6</v>
      </c>
      <c r="S1138">
        <v>5</v>
      </c>
      <c r="T1138">
        <v>1950</v>
      </c>
      <c r="U1138">
        <v>1950</v>
      </c>
      <c r="V1138" t="s">
        <v>92</v>
      </c>
      <c r="W1138" t="s">
        <v>93</v>
      </c>
      <c r="X1138" t="s">
        <v>94</v>
      </c>
      <c r="Y1138" t="s">
        <v>94</v>
      </c>
      <c r="Z1138" t="s">
        <v>116</v>
      </c>
      <c r="AA1138">
        <v>0</v>
      </c>
      <c r="AB1138" t="s">
        <v>97</v>
      </c>
      <c r="AC1138" t="s">
        <v>97</v>
      </c>
      <c r="AD1138" t="s">
        <v>117</v>
      </c>
      <c r="AE1138" t="s">
        <v>97</v>
      </c>
      <c r="AF1138" t="s">
        <v>97</v>
      </c>
      <c r="AG1138" t="s">
        <v>99</v>
      </c>
      <c r="AH1138" t="s">
        <v>140</v>
      </c>
      <c r="AI1138">
        <v>280</v>
      </c>
      <c r="AJ1138" t="s">
        <v>101</v>
      </c>
      <c r="AK1138">
        <v>0</v>
      </c>
      <c r="AL1138">
        <v>752</v>
      </c>
      <c r="AM1138">
        <v>1032</v>
      </c>
      <c r="AN1138" t="s">
        <v>102</v>
      </c>
      <c r="AO1138" t="s">
        <v>97</v>
      </c>
      <c r="AP1138" t="s">
        <v>104</v>
      </c>
      <c r="AQ1138" t="s">
        <v>163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97</v>
      </c>
      <c r="BC1138">
        <v>6</v>
      </c>
      <c r="BD1138" t="s">
        <v>106</v>
      </c>
      <c r="BE1138">
        <v>0</v>
      </c>
      <c r="BG1138" t="s">
        <v>107</v>
      </c>
      <c r="BH1138">
        <v>1950</v>
      </c>
      <c r="BI1138" t="s">
        <v>101</v>
      </c>
      <c r="BJ1138">
        <v>1</v>
      </c>
      <c r="BK1138">
        <v>288</v>
      </c>
      <c r="BL1138" t="s">
        <v>97</v>
      </c>
      <c r="BM1138" t="s">
        <v>97</v>
      </c>
      <c r="BN1138" t="s">
        <v>104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X1138">
        <v>0</v>
      </c>
      <c r="BY1138">
        <v>4</v>
      </c>
      <c r="BZ1138">
        <v>2008</v>
      </c>
      <c r="CA1138" t="s">
        <v>109</v>
      </c>
      <c r="CB1138" t="s">
        <v>127</v>
      </c>
      <c r="CC1138">
        <v>119000</v>
      </c>
    </row>
    <row r="1139" spans="1:81" x14ac:dyDescent="0.3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H1139" t="s">
        <v>83</v>
      </c>
      <c r="I1139" t="s">
        <v>84</v>
      </c>
      <c r="J1139" t="s">
        <v>85</v>
      </c>
      <c r="K1139" t="s">
        <v>86</v>
      </c>
      <c r="L1139" t="s">
        <v>87</v>
      </c>
      <c r="M1139" t="s">
        <v>150</v>
      </c>
      <c r="N1139" t="s">
        <v>113</v>
      </c>
      <c r="O1139" t="s">
        <v>89</v>
      </c>
      <c r="P1139" t="s">
        <v>90</v>
      </c>
      <c r="Q1139" t="s">
        <v>131</v>
      </c>
      <c r="R1139">
        <v>5</v>
      </c>
      <c r="S1139">
        <v>8</v>
      </c>
      <c r="T1139">
        <v>1875</v>
      </c>
      <c r="U1139">
        <v>1996</v>
      </c>
      <c r="V1139" t="s">
        <v>92</v>
      </c>
      <c r="W1139" t="s">
        <v>93</v>
      </c>
      <c r="X1139" t="s">
        <v>94</v>
      </c>
      <c r="Y1139" t="s">
        <v>94</v>
      </c>
      <c r="Z1139" t="s">
        <v>116</v>
      </c>
      <c r="AA1139">
        <v>0</v>
      </c>
      <c r="AB1139" t="s">
        <v>97</v>
      </c>
      <c r="AC1139" t="s">
        <v>96</v>
      </c>
      <c r="AD1139" t="s">
        <v>117</v>
      </c>
      <c r="AE1139" t="s">
        <v>97</v>
      </c>
      <c r="AF1139" t="s">
        <v>97</v>
      </c>
      <c r="AG1139" t="s">
        <v>99</v>
      </c>
      <c r="AH1139" t="s">
        <v>101</v>
      </c>
      <c r="AI1139">
        <v>0</v>
      </c>
      <c r="AJ1139" t="s">
        <v>101</v>
      </c>
      <c r="AK1139">
        <v>0</v>
      </c>
      <c r="AL1139">
        <v>780</v>
      </c>
      <c r="AM1139">
        <v>780</v>
      </c>
      <c r="AN1139" t="s">
        <v>102</v>
      </c>
      <c r="AO1139" t="s">
        <v>96</v>
      </c>
      <c r="AP1139" t="s">
        <v>176</v>
      </c>
      <c r="AQ1139" t="s">
        <v>105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97</v>
      </c>
      <c r="BC1139">
        <v>6</v>
      </c>
      <c r="BD1139" t="s">
        <v>106</v>
      </c>
      <c r="BE1139">
        <v>0</v>
      </c>
      <c r="BJ1139">
        <v>0</v>
      </c>
      <c r="BK1139">
        <v>0</v>
      </c>
      <c r="BN1139" t="s">
        <v>176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X1139">
        <v>0</v>
      </c>
      <c r="BY1139">
        <v>5</v>
      </c>
      <c r="BZ1139">
        <v>2010</v>
      </c>
      <c r="CA1139" t="s">
        <v>109</v>
      </c>
      <c r="CB1139" t="s">
        <v>110</v>
      </c>
      <c r="CC1139">
        <v>94000</v>
      </c>
    </row>
    <row r="1140" spans="1:81" x14ac:dyDescent="0.3">
      <c r="A1140">
        <v>1139</v>
      </c>
      <c r="B1140">
        <v>20</v>
      </c>
      <c r="C1140" t="s">
        <v>81</v>
      </c>
      <c r="E1140">
        <v>9819</v>
      </c>
      <c r="F1140" t="s">
        <v>82</v>
      </c>
      <c r="H1140" t="s">
        <v>119</v>
      </c>
      <c r="I1140" t="s">
        <v>84</v>
      </c>
      <c r="J1140" t="s">
        <v>85</v>
      </c>
      <c r="K1140" t="s">
        <v>86</v>
      </c>
      <c r="L1140" t="s">
        <v>193</v>
      </c>
      <c r="M1140" t="s">
        <v>130</v>
      </c>
      <c r="N1140" t="s">
        <v>89</v>
      </c>
      <c r="O1140" t="s">
        <v>89</v>
      </c>
      <c r="P1140" t="s">
        <v>90</v>
      </c>
      <c r="Q1140" t="s">
        <v>114</v>
      </c>
      <c r="R1140">
        <v>6</v>
      </c>
      <c r="S1140">
        <v>5</v>
      </c>
      <c r="T1140">
        <v>1977</v>
      </c>
      <c r="U1140">
        <v>1977</v>
      </c>
      <c r="V1140" t="s">
        <v>92</v>
      </c>
      <c r="W1140" t="s">
        <v>93</v>
      </c>
      <c r="X1140" t="s">
        <v>160</v>
      </c>
      <c r="Y1140" t="s">
        <v>233</v>
      </c>
      <c r="Z1140" t="s">
        <v>116</v>
      </c>
      <c r="AA1140">
        <v>0</v>
      </c>
      <c r="AB1140" t="s">
        <v>97</v>
      </c>
      <c r="AC1140" t="s">
        <v>97</v>
      </c>
      <c r="AD1140" t="s">
        <v>98</v>
      </c>
      <c r="AE1140" t="s">
        <v>97</v>
      </c>
      <c r="AF1140" t="s">
        <v>97</v>
      </c>
      <c r="AG1140" t="s">
        <v>96</v>
      </c>
      <c r="AH1140" t="s">
        <v>118</v>
      </c>
      <c r="AI1140">
        <v>1567</v>
      </c>
      <c r="AJ1140" t="s">
        <v>101</v>
      </c>
      <c r="AK1140">
        <v>0</v>
      </c>
      <c r="AL1140">
        <v>0</v>
      </c>
      <c r="AM1140">
        <v>1567</v>
      </c>
      <c r="AN1140" t="s">
        <v>102</v>
      </c>
      <c r="AO1140" t="s">
        <v>97</v>
      </c>
      <c r="AP1140" t="s">
        <v>104</v>
      </c>
      <c r="AQ1140" t="s">
        <v>105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96</v>
      </c>
      <c r="BC1140">
        <v>5</v>
      </c>
      <c r="BD1140" t="s">
        <v>106</v>
      </c>
      <c r="BE1140">
        <v>2</v>
      </c>
      <c r="BF1140" t="s">
        <v>97</v>
      </c>
      <c r="BG1140" t="s">
        <v>107</v>
      </c>
      <c r="BH1140">
        <v>1977</v>
      </c>
      <c r="BI1140" t="s">
        <v>108</v>
      </c>
      <c r="BJ1140">
        <v>2</v>
      </c>
      <c r="BK1140">
        <v>714</v>
      </c>
      <c r="BL1140" t="s">
        <v>97</v>
      </c>
      <c r="BM1140" t="s">
        <v>97</v>
      </c>
      <c r="BN1140" t="s">
        <v>104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X1140">
        <v>0</v>
      </c>
      <c r="BY1140">
        <v>5</v>
      </c>
      <c r="BZ1140">
        <v>2009</v>
      </c>
      <c r="CA1140" t="s">
        <v>109</v>
      </c>
      <c r="CB1140" t="s">
        <v>110</v>
      </c>
      <c r="CC1140">
        <v>196000</v>
      </c>
    </row>
    <row r="1141" spans="1:81" x14ac:dyDescent="0.3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H1141" t="s">
        <v>119</v>
      </c>
      <c r="I1141" t="s">
        <v>84</v>
      </c>
      <c r="J1141" t="s">
        <v>85</v>
      </c>
      <c r="K1141" t="s">
        <v>86</v>
      </c>
      <c r="L1141" t="s">
        <v>87</v>
      </c>
      <c r="M1141" t="s">
        <v>147</v>
      </c>
      <c r="N1141" t="s">
        <v>89</v>
      </c>
      <c r="O1141" t="s">
        <v>89</v>
      </c>
      <c r="P1141" t="s">
        <v>90</v>
      </c>
      <c r="Q1141" t="s">
        <v>114</v>
      </c>
      <c r="R1141">
        <v>5</v>
      </c>
      <c r="S1141">
        <v>5</v>
      </c>
      <c r="T1141">
        <v>1920</v>
      </c>
      <c r="U1141">
        <v>1950</v>
      </c>
      <c r="V1141" t="s">
        <v>92</v>
      </c>
      <c r="W1141" t="s">
        <v>93</v>
      </c>
      <c r="X1141" t="s">
        <v>202</v>
      </c>
      <c r="Y1141" t="s">
        <v>202</v>
      </c>
      <c r="Z1141" t="s">
        <v>116</v>
      </c>
      <c r="AA1141">
        <v>0</v>
      </c>
      <c r="AB1141" t="s">
        <v>97</v>
      </c>
      <c r="AC1141" t="s">
        <v>146</v>
      </c>
      <c r="AD1141" t="s">
        <v>125</v>
      </c>
      <c r="AE1141" t="s">
        <v>97</v>
      </c>
      <c r="AF1141" t="s">
        <v>97</v>
      </c>
      <c r="AG1141" t="s">
        <v>99</v>
      </c>
      <c r="AH1141" t="s">
        <v>140</v>
      </c>
      <c r="AI1141">
        <v>645</v>
      </c>
      <c r="AJ1141" t="s">
        <v>101</v>
      </c>
      <c r="AK1141">
        <v>0</v>
      </c>
      <c r="AL1141">
        <v>270</v>
      </c>
      <c r="AM1141">
        <v>915</v>
      </c>
      <c r="AN1141" t="s">
        <v>102</v>
      </c>
      <c r="AO1141" t="s">
        <v>97</v>
      </c>
      <c r="AP1141" t="s">
        <v>104</v>
      </c>
      <c r="AQ1141" t="s">
        <v>105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97</v>
      </c>
      <c r="BC1141">
        <v>6</v>
      </c>
      <c r="BD1141" t="s">
        <v>220</v>
      </c>
      <c r="BE1141">
        <v>1</v>
      </c>
      <c r="BF1141" t="s">
        <v>96</v>
      </c>
      <c r="BG1141" t="s">
        <v>126</v>
      </c>
      <c r="BH1141">
        <v>1972</v>
      </c>
      <c r="BI1141" t="s">
        <v>101</v>
      </c>
      <c r="BJ1141">
        <v>2</v>
      </c>
      <c r="BK1141">
        <v>495</v>
      </c>
      <c r="BL1141" t="s">
        <v>97</v>
      </c>
      <c r="BM1141" t="s">
        <v>97</v>
      </c>
      <c r="BN1141" t="s">
        <v>104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X1141">
        <v>0</v>
      </c>
      <c r="BY1141">
        <v>5</v>
      </c>
      <c r="BZ1141">
        <v>2007</v>
      </c>
      <c r="CA1141" t="s">
        <v>109</v>
      </c>
      <c r="CB1141" t="s">
        <v>110</v>
      </c>
      <c r="CC1141">
        <v>144000</v>
      </c>
    </row>
    <row r="1142" spans="1:81" x14ac:dyDescent="0.3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H1142" t="s">
        <v>83</v>
      </c>
      <c r="I1142" t="s">
        <v>84</v>
      </c>
      <c r="J1142" t="s">
        <v>85</v>
      </c>
      <c r="K1142" t="s">
        <v>121</v>
      </c>
      <c r="L1142" t="s">
        <v>87</v>
      </c>
      <c r="M1142" t="s">
        <v>270</v>
      </c>
      <c r="N1142" t="s">
        <v>89</v>
      </c>
      <c r="O1142" t="s">
        <v>89</v>
      </c>
      <c r="P1142" t="s">
        <v>90</v>
      </c>
      <c r="Q1142" t="s">
        <v>114</v>
      </c>
      <c r="R1142">
        <v>5</v>
      </c>
      <c r="S1142">
        <v>7</v>
      </c>
      <c r="T1142">
        <v>1951</v>
      </c>
      <c r="U1142">
        <v>1951</v>
      </c>
      <c r="V1142" t="s">
        <v>92</v>
      </c>
      <c r="W1142" t="s">
        <v>93</v>
      </c>
      <c r="X1142" t="s">
        <v>139</v>
      </c>
      <c r="Y1142" t="s">
        <v>139</v>
      </c>
      <c r="Z1142" t="s">
        <v>116</v>
      </c>
      <c r="AA1142">
        <v>0</v>
      </c>
      <c r="AB1142" t="s">
        <v>97</v>
      </c>
      <c r="AC1142" t="s">
        <v>97</v>
      </c>
      <c r="AD1142" t="s">
        <v>117</v>
      </c>
      <c r="AE1142" t="s">
        <v>97</v>
      </c>
      <c r="AF1142" t="s">
        <v>97</v>
      </c>
      <c r="AG1142" t="s">
        <v>120</v>
      </c>
      <c r="AH1142" t="s">
        <v>118</v>
      </c>
      <c r="AI1142">
        <v>852</v>
      </c>
      <c r="AJ1142" t="s">
        <v>101</v>
      </c>
      <c r="AK1142">
        <v>0</v>
      </c>
      <c r="AL1142">
        <v>100</v>
      </c>
      <c r="AM1142">
        <v>952</v>
      </c>
      <c r="AN1142" t="s">
        <v>102</v>
      </c>
      <c r="AO1142" t="s">
        <v>97</v>
      </c>
      <c r="AP1142" t="s">
        <v>104</v>
      </c>
      <c r="AQ1142" t="s">
        <v>105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97</v>
      </c>
      <c r="BC1142">
        <v>4</v>
      </c>
      <c r="BD1142" t="s">
        <v>106</v>
      </c>
      <c r="BE1142">
        <v>0</v>
      </c>
      <c r="BG1142" t="s">
        <v>126</v>
      </c>
      <c r="BH1142">
        <v>1988</v>
      </c>
      <c r="BI1142" t="s">
        <v>101</v>
      </c>
      <c r="BJ1142">
        <v>2</v>
      </c>
      <c r="BK1142">
        <v>840</v>
      </c>
      <c r="BL1142" t="s">
        <v>97</v>
      </c>
      <c r="BM1142" t="s">
        <v>97</v>
      </c>
      <c r="BN1142" t="s">
        <v>104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X1142">
        <v>0</v>
      </c>
      <c r="BY1142">
        <v>6</v>
      </c>
      <c r="BZ1142">
        <v>2008</v>
      </c>
      <c r="CA1142" t="s">
        <v>172</v>
      </c>
      <c r="CB1142" t="s">
        <v>127</v>
      </c>
      <c r="CC1142">
        <v>139000</v>
      </c>
    </row>
    <row r="1143" spans="1:81" x14ac:dyDescent="0.3">
      <c r="A1143">
        <v>1142</v>
      </c>
      <c r="B1143">
        <v>60</v>
      </c>
      <c r="C1143" t="s">
        <v>81</v>
      </c>
      <c r="E1143">
        <v>10304</v>
      </c>
      <c r="F1143" t="s">
        <v>82</v>
      </c>
      <c r="H1143" t="s">
        <v>119</v>
      </c>
      <c r="I1143" t="s">
        <v>84</v>
      </c>
      <c r="J1143" t="s">
        <v>85</v>
      </c>
      <c r="K1143" t="s">
        <v>165</v>
      </c>
      <c r="L1143" t="s">
        <v>87</v>
      </c>
      <c r="M1143" t="s">
        <v>137</v>
      </c>
      <c r="N1143" t="s">
        <v>138</v>
      </c>
      <c r="O1143" t="s">
        <v>89</v>
      </c>
      <c r="P1143" t="s">
        <v>90</v>
      </c>
      <c r="Q1143" t="s">
        <v>91</v>
      </c>
      <c r="R1143">
        <v>5</v>
      </c>
      <c r="S1143">
        <v>7</v>
      </c>
      <c r="T1143">
        <v>1976</v>
      </c>
      <c r="U1143">
        <v>1976</v>
      </c>
      <c r="V1143" t="s">
        <v>92</v>
      </c>
      <c r="W1143" t="s">
        <v>93</v>
      </c>
      <c r="X1143" t="s">
        <v>160</v>
      </c>
      <c r="Y1143" t="s">
        <v>160</v>
      </c>
      <c r="Z1143" t="s">
        <v>95</v>
      </c>
      <c r="AA1143">
        <v>44</v>
      </c>
      <c r="AB1143" t="s">
        <v>97</v>
      </c>
      <c r="AC1143" t="s">
        <v>96</v>
      </c>
      <c r="AD1143" t="s">
        <v>117</v>
      </c>
      <c r="AE1143" t="s">
        <v>97</v>
      </c>
      <c r="AF1143" t="s">
        <v>97</v>
      </c>
      <c r="AG1143" t="s">
        <v>99</v>
      </c>
      <c r="AH1143" t="s">
        <v>118</v>
      </c>
      <c r="AI1143">
        <v>381</v>
      </c>
      <c r="AJ1143" t="s">
        <v>101</v>
      </c>
      <c r="AK1143">
        <v>0</v>
      </c>
      <c r="AL1143">
        <v>399</v>
      </c>
      <c r="AM1143">
        <v>780</v>
      </c>
      <c r="AN1143" t="s">
        <v>102</v>
      </c>
      <c r="AO1143" t="s">
        <v>103</v>
      </c>
      <c r="AP1143" t="s">
        <v>104</v>
      </c>
      <c r="AQ1143" t="s">
        <v>105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96</v>
      </c>
      <c r="BC1143">
        <v>9</v>
      </c>
      <c r="BD1143" t="s">
        <v>106</v>
      </c>
      <c r="BE1143">
        <v>1</v>
      </c>
      <c r="BF1143" t="s">
        <v>97</v>
      </c>
      <c r="BG1143" t="s">
        <v>107</v>
      </c>
      <c r="BH1143">
        <v>1976</v>
      </c>
      <c r="BI1143" t="s">
        <v>101</v>
      </c>
      <c r="BJ1143">
        <v>2</v>
      </c>
      <c r="BK1143">
        <v>484</v>
      </c>
      <c r="BL1143" t="s">
        <v>97</v>
      </c>
      <c r="BM1143" t="s">
        <v>97</v>
      </c>
      <c r="BN1143" t="s">
        <v>104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X1143">
        <v>0</v>
      </c>
      <c r="BY1143">
        <v>10</v>
      </c>
      <c r="BZ1143">
        <v>2009</v>
      </c>
      <c r="CA1143" t="s">
        <v>109</v>
      </c>
      <c r="CB1143" t="s">
        <v>110</v>
      </c>
      <c r="CC1143">
        <v>197500</v>
      </c>
    </row>
    <row r="1144" spans="1:81" x14ac:dyDescent="0.3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H1144" t="s">
        <v>83</v>
      </c>
      <c r="I1144" t="s">
        <v>84</v>
      </c>
      <c r="J1144" t="s">
        <v>85</v>
      </c>
      <c r="K1144" t="s">
        <v>86</v>
      </c>
      <c r="L1144" t="s">
        <v>87</v>
      </c>
      <c r="M1144" t="s">
        <v>88</v>
      </c>
      <c r="N1144" t="s">
        <v>89</v>
      </c>
      <c r="O1144" t="s">
        <v>89</v>
      </c>
      <c r="P1144" t="s">
        <v>90</v>
      </c>
      <c r="Q1144" t="s">
        <v>91</v>
      </c>
      <c r="R1144">
        <v>8</v>
      </c>
      <c r="S1144">
        <v>5</v>
      </c>
      <c r="T1144">
        <v>2006</v>
      </c>
      <c r="U1144">
        <v>2007</v>
      </c>
      <c r="V1144" t="s">
        <v>151</v>
      </c>
      <c r="W1144" t="s">
        <v>93</v>
      </c>
      <c r="X1144" t="s">
        <v>94</v>
      </c>
      <c r="Y1144" t="s">
        <v>94</v>
      </c>
      <c r="Z1144" t="s">
        <v>136</v>
      </c>
      <c r="AA1144">
        <v>340</v>
      </c>
      <c r="AB1144" t="s">
        <v>96</v>
      </c>
      <c r="AC1144" t="s">
        <v>97</v>
      </c>
      <c r="AD1144" t="s">
        <v>98</v>
      </c>
      <c r="AE1144" t="s">
        <v>103</v>
      </c>
      <c r="AF1144" t="s">
        <v>97</v>
      </c>
      <c r="AG1144" t="s">
        <v>96</v>
      </c>
      <c r="AH1144" t="s">
        <v>100</v>
      </c>
      <c r="AI1144">
        <v>1150</v>
      </c>
      <c r="AJ1144" t="s">
        <v>101</v>
      </c>
      <c r="AK1144">
        <v>0</v>
      </c>
      <c r="AL1144">
        <v>316</v>
      </c>
      <c r="AM1144">
        <v>1466</v>
      </c>
      <c r="AN1144" t="s">
        <v>102</v>
      </c>
      <c r="AO1144" t="s">
        <v>103</v>
      </c>
      <c r="AP1144" t="s">
        <v>104</v>
      </c>
      <c r="AQ1144" t="s">
        <v>105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96</v>
      </c>
      <c r="BC1144">
        <v>11</v>
      </c>
      <c r="BD1144" t="s">
        <v>106</v>
      </c>
      <c r="BE1144">
        <v>1</v>
      </c>
      <c r="BF1144" t="s">
        <v>97</v>
      </c>
      <c r="BG1144" t="s">
        <v>155</v>
      </c>
      <c r="BH1144">
        <v>2006</v>
      </c>
      <c r="BI1144" t="s">
        <v>108</v>
      </c>
      <c r="BJ1144">
        <v>3</v>
      </c>
      <c r="BK1144">
        <v>1052</v>
      </c>
      <c r="BL1144" t="s">
        <v>97</v>
      </c>
      <c r="BM1144" t="s">
        <v>97</v>
      </c>
      <c r="BN1144" t="s">
        <v>104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X1144">
        <v>0</v>
      </c>
      <c r="BY1144">
        <v>4</v>
      </c>
      <c r="BZ1144">
        <v>2007</v>
      </c>
      <c r="CA1144" t="s">
        <v>157</v>
      </c>
      <c r="CB1144" t="s">
        <v>158</v>
      </c>
      <c r="CC1144">
        <v>424870</v>
      </c>
    </row>
    <row r="1145" spans="1:81" x14ac:dyDescent="0.3">
      <c r="A1145">
        <v>1144</v>
      </c>
      <c r="B1145">
        <v>20</v>
      </c>
      <c r="C1145" t="s">
        <v>81</v>
      </c>
      <c r="E1145">
        <v>9000</v>
      </c>
      <c r="F1145" t="s">
        <v>82</v>
      </c>
      <c r="H1145" t="s">
        <v>83</v>
      </c>
      <c r="I1145" t="s">
        <v>84</v>
      </c>
      <c r="J1145" t="s">
        <v>85</v>
      </c>
      <c r="K1145" t="s">
        <v>86</v>
      </c>
      <c r="L1145" t="s">
        <v>87</v>
      </c>
      <c r="M1145" t="s">
        <v>150</v>
      </c>
      <c r="N1145" t="s">
        <v>89</v>
      </c>
      <c r="O1145" t="s">
        <v>89</v>
      </c>
      <c r="P1145" t="s">
        <v>90</v>
      </c>
      <c r="Q1145" t="s">
        <v>114</v>
      </c>
      <c r="R1145">
        <v>5</v>
      </c>
      <c r="S1145">
        <v>3</v>
      </c>
      <c r="T1145">
        <v>1959</v>
      </c>
      <c r="U1145">
        <v>1959</v>
      </c>
      <c r="V1145" t="s">
        <v>92</v>
      </c>
      <c r="W1145" t="s">
        <v>93</v>
      </c>
      <c r="X1145" t="s">
        <v>123</v>
      </c>
      <c r="Y1145" t="s">
        <v>160</v>
      </c>
      <c r="Z1145" t="s">
        <v>116</v>
      </c>
      <c r="AA1145">
        <v>0</v>
      </c>
      <c r="AB1145" t="s">
        <v>97</v>
      </c>
      <c r="AC1145" t="s">
        <v>97</v>
      </c>
      <c r="AD1145" t="s">
        <v>117</v>
      </c>
      <c r="AE1145" t="s">
        <v>97</v>
      </c>
      <c r="AF1145" t="s">
        <v>97</v>
      </c>
      <c r="AG1145" t="s">
        <v>99</v>
      </c>
      <c r="AH1145" t="s">
        <v>100</v>
      </c>
      <c r="AI1145">
        <v>288</v>
      </c>
      <c r="AJ1145" t="s">
        <v>101</v>
      </c>
      <c r="AK1145">
        <v>0</v>
      </c>
      <c r="AL1145">
        <v>718</v>
      </c>
      <c r="AM1145">
        <v>1006</v>
      </c>
      <c r="AN1145" t="s">
        <v>102</v>
      </c>
      <c r="AO1145" t="s">
        <v>97</v>
      </c>
      <c r="AP1145" t="s">
        <v>104</v>
      </c>
      <c r="AQ1145" t="s">
        <v>105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97</v>
      </c>
      <c r="BC1145">
        <v>5</v>
      </c>
      <c r="BD1145" t="s">
        <v>106</v>
      </c>
      <c r="BE1145">
        <v>0</v>
      </c>
      <c r="BJ1145">
        <v>0</v>
      </c>
      <c r="BK1145">
        <v>0</v>
      </c>
      <c r="BN1145" t="s">
        <v>104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X1145">
        <v>0</v>
      </c>
      <c r="BY1145">
        <v>7</v>
      </c>
      <c r="BZ1145">
        <v>2008</v>
      </c>
      <c r="CA1145" t="s">
        <v>109</v>
      </c>
      <c r="CB1145" t="s">
        <v>110</v>
      </c>
      <c r="CC1145">
        <v>80000</v>
      </c>
    </row>
    <row r="1146" spans="1:81" x14ac:dyDescent="0.3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H1146" t="s">
        <v>83</v>
      </c>
      <c r="I1146" t="s">
        <v>84</v>
      </c>
      <c r="J1146" t="s">
        <v>85</v>
      </c>
      <c r="K1146" t="s">
        <v>86</v>
      </c>
      <c r="L1146" t="s">
        <v>87</v>
      </c>
      <c r="M1146" t="s">
        <v>184</v>
      </c>
      <c r="N1146" t="s">
        <v>89</v>
      </c>
      <c r="O1146" t="s">
        <v>89</v>
      </c>
      <c r="P1146" t="s">
        <v>148</v>
      </c>
      <c r="Q1146" t="s">
        <v>131</v>
      </c>
      <c r="R1146">
        <v>4</v>
      </c>
      <c r="S1146">
        <v>4</v>
      </c>
      <c r="T1146">
        <v>1941</v>
      </c>
      <c r="U1146">
        <v>1950</v>
      </c>
      <c r="V1146" t="s">
        <v>92</v>
      </c>
      <c r="W1146" t="s">
        <v>93</v>
      </c>
      <c r="X1146" t="s">
        <v>115</v>
      </c>
      <c r="Y1146" t="s">
        <v>115</v>
      </c>
      <c r="Z1146" t="s">
        <v>116</v>
      </c>
      <c r="AA1146">
        <v>0</v>
      </c>
      <c r="AB1146" t="s">
        <v>97</v>
      </c>
      <c r="AC1146" t="s">
        <v>146</v>
      </c>
      <c r="AD1146" t="s">
        <v>125</v>
      </c>
      <c r="AE1146" t="s">
        <v>96</v>
      </c>
      <c r="AF1146" t="s">
        <v>97</v>
      </c>
      <c r="AG1146" t="s">
        <v>99</v>
      </c>
      <c r="AH1146" t="s">
        <v>140</v>
      </c>
      <c r="AI1146">
        <v>348</v>
      </c>
      <c r="AJ1146" t="s">
        <v>101</v>
      </c>
      <c r="AK1146">
        <v>0</v>
      </c>
      <c r="AL1146">
        <v>324</v>
      </c>
      <c r="AM1146">
        <v>672</v>
      </c>
      <c r="AN1146" t="s">
        <v>221</v>
      </c>
      <c r="AO1146" t="s">
        <v>146</v>
      </c>
      <c r="AP1146" t="s">
        <v>176</v>
      </c>
      <c r="AQ1146" t="s">
        <v>163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146</v>
      </c>
      <c r="BC1146">
        <v>5</v>
      </c>
      <c r="BD1146" t="s">
        <v>106</v>
      </c>
      <c r="BE1146">
        <v>0</v>
      </c>
      <c r="BG1146" t="s">
        <v>126</v>
      </c>
      <c r="BH1146">
        <v>1941</v>
      </c>
      <c r="BI1146" t="s">
        <v>101</v>
      </c>
      <c r="BJ1146">
        <v>1</v>
      </c>
      <c r="BK1146">
        <v>280</v>
      </c>
      <c r="BL1146" t="s">
        <v>97</v>
      </c>
      <c r="BM1146" t="s">
        <v>97</v>
      </c>
      <c r="BN1146" t="s">
        <v>104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V1146" t="s">
        <v>133</v>
      </c>
      <c r="BX1146">
        <v>0</v>
      </c>
      <c r="BY1146">
        <v>7</v>
      </c>
      <c r="BZ1146">
        <v>2010</v>
      </c>
      <c r="CA1146" t="s">
        <v>109</v>
      </c>
      <c r="CB1146" t="s">
        <v>110</v>
      </c>
      <c r="CC1146">
        <v>80000</v>
      </c>
    </row>
    <row r="1147" spans="1:81" x14ac:dyDescent="0.3">
      <c r="A1147">
        <v>1146</v>
      </c>
      <c r="B1147">
        <v>50</v>
      </c>
      <c r="C1147" t="s">
        <v>141</v>
      </c>
      <c r="D1147">
        <v>52</v>
      </c>
      <c r="E1147">
        <v>6240</v>
      </c>
      <c r="F1147" t="s">
        <v>82</v>
      </c>
      <c r="H1147" t="s">
        <v>83</v>
      </c>
      <c r="I1147" t="s">
        <v>84</v>
      </c>
      <c r="J1147" t="s">
        <v>85</v>
      </c>
      <c r="K1147" t="s">
        <v>86</v>
      </c>
      <c r="L1147" t="s">
        <v>87</v>
      </c>
      <c r="M1147" t="s">
        <v>147</v>
      </c>
      <c r="N1147" t="s">
        <v>89</v>
      </c>
      <c r="O1147" t="s">
        <v>89</v>
      </c>
      <c r="P1147" t="s">
        <v>90</v>
      </c>
      <c r="Q1147" t="s">
        <v>131</v>
      </c>
      <c r="R1147">
        <v>5</v>
      </c>
      <c r="S1147">
        <v>6</v>
      </c>
      <c r="T1147">
        <v>1928</v>
      </c>
      <c r="U1147">
        <v>1950</v>
      </c>
      <c r="V1147" t="s">
        <v>92</v>
      </c>
      <c r="W1147" t="s">
        <v>93</v>
      </c>
      <c r="X1147" t="s">
        <v>115</v>
      </c>
      <c r="Y1147" t="s">
        <v>115</v>
      </c>
      <c r="Z1147" t="s">
        <v>116</v>
      </c>
      <c r="AA1147">
        <v>0</v>
      </c>
      <c r="AB1147" t="s">
        <v>97</v>
      </c>
      <c r="AC1147" t="s">
        <v>97</v>
      </c>
      <c r="AD1147" t="s">
        <v>125</v>
      </c>
      <c r="AE1147" t="s">
        <v>97</v>
      </c>
      <c r="AF1147" t="s">
        <v>97</v>
      </c>
      <c r="AG1147" t="s">
        <v>99</v>
      </c>
      <c r="AH1147" t="s">
        <v>101</v>
      </c>
      <c r="AI1147">
        <v>0</v>
      </c>
      <c r="AJ1147" t="s">
        <v>101</v>
      </c>
      <c r="AK1147">
        <v>0</v>
      </c>
      <c r="AL1147">
        <v>1042</v>
      </c>
      <c r="AM1147">
        <v>1042</v>
      </c>
      <c r="AN1147" t="s">
        <v>102</v>
      </c>
      <c r="AO1147" t="s">
        <v>103</v>
      </c>
      <c r="AP1147" t="s">
        <v>104</v>
      </c>
      <c r="AQ1147" t="s">
        <v>105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97</v>
      </c>
      <c r="BC1147">
        <v>8</v>
      </c>
      <c r="BD1147" t="s">
        <v>106</v>
      </c>
      <c r="BE1147">
        <v>1</v>
      </c>
      <c r="BF1147" t="s">
        <v>96</v>
      </c>
      <c r="BG1147" t="s">
        <v>126</v>
      </c>
      <c r="BH1147">
        <v>1928</v>
      </c>
      <c r="BI1147" t="s">
        <v>101</v>
      </c>
      <c r="BJ1147">
        <v>1</v>
      </c>
      <c r="BK1147">
        <v>225</v>
      </c>
      <c r="BL1147" t="s">
        <v>97</v>
      </c>
      <c r="BM1147" t="s">
        <v>97</v>
      </c>
      <c r="BN1147" t="s">
        <v>104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X1147">
        <v>0</v>
      </c>
      <c r="BY1147">
        <v>8</v>
      </c>
      <c r="BZ1147">
        <v>2006</v>
      </c>
      <c r="CA1147" t="s">
        <v>109</v>
      </c>
      <c r="CB1147" t="s">
        <v>218</v>
      </c>
      <c r="CC1147">
        <v>149000</v>
      </c>
    </row>
    <row r="1148" spans="1:81" x14ac:dyDescent="0.3">
      <c r="A1148">
        <v>1147</v>
      </c>
      <c r="B1148">
        <v>20</v>
      </c>
      <c r="C1148" t="s">
        <v>81</v>
      </c>
      <c r="E1148">
        <v>11200</v>
      </c>
      <c r="F1148" t="s">
        <v>82</v>
      </c>
      <c r="H1148" t="s">
        <v>83</v>
      </c>
      <c r="I1148" t="s">
        <v>84</v>
      </c>
      <c r="J1148" t="s">
        <v>85</v>
      </c>
      <c r="K1148" t="s">
        <v>86</v>
      </c>
      <c r="L1148" t="s">
        <v>87</v>
      </c>
      <c r="M1148" t="s">
        <v>169</v>
      </c>
      <c r="N1148" t="s">
        <v>89</v>
      </c>
      <c r="O1148" t="s">
        <v>89</v>
      </c>
      <c r="P1148" t="s">
        <v>90</v>
      </c>
      <c r="Q1148" t="s">
        <v>114</v>
      </c>
      <c r="R1148">
        <v>6</v>
      </c>
      <c r="S1148">
        <v>5</v>
      </c>
      <c r="T1148">
        <v>1985</v>
      </c>
      <c r="U1148">
        <v>1985</v>
      </c>
      <c r="V1148" t="s">
        <v>92</v>
      </c>
      <c r="W1148" t="s">
        <v>93</v>
      </c>
      <c r="X1148" t="s">
        <v>123</v>
      </c>
      <c r="Y1148" t="s">
        <v>124</v>
      </c>
      <c r="Z1148" t="s">
        <v>95</v>
      </c>
      <c r="AA1148">
        <v>85</v>
      </c>
      <c r="AB1148" t="s">
        <v>96</v>
      </c>
      <c r="AC1148" t="s">
        <v>97</v>
      </c>
      <c r="AD1148" t="s">
        <v>117</v>
      </c>
      <c r="AE1148" t="s">
        <v>96</v>
      </c>
      <c r="AF1148" t="s">
        <v>97</v>
      </c>
      <c r="AG1148" t="s">
        <v>99</v>
      </c>
      <c r="AH1148" t="s">
        <v>100</v>
      </c>
      <c r="AI1148">
        <v>1258</v>
      </c>
      <c r="AJ1148" t="s">
        <v>101</v>
      </c>
      <c r="AK1148">
        <v>0</v>
      </c>
      <c r="AL1148">
        <v>40</v>
      </c>
      <c r="AM1148">
        <v>1298</v>
      </c>
      <c r="AN1148" t="s">
        <v>102</v>
      </c>
      <c r="AO1148" t="s">
        <v>97</v>
      </c>
      <c r="AP1148" t="s">
        <v>104</v>
      </c>
      <c r="AQ1148" t="s">
        <v>105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96</v>
      </c>
      <c r="BC1148">
        <v>5</v>
      </c>
      <c r="BD1148" t="s">
        <v>106</v>
      </c>
      <c r="BE1148">
        <v>1</v>
      </c>
      <c r="BF1148" t="s">
        <v>97</v>
      </c>
      <c r="BG1148" t="s">
        <v>107</v>
      </c>
      <c r="BH1148">
        <v>1985</v>
      </c>
      <c r="BI1148" t="s">
        <v>101</v>
      </c>
      <c r="BJ1148">
        <v>2</v>
      </c>
      <c r="BK1148">
        <v>403</v>
      </c>
      <c r="BL1148" t="s">
        <v>97</v>
      </c>
      <c r="BM1148" t="s">
        <v>97</v>
      </c>
      <c r="BN1148" t="s">
        <v>104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X1148">
        <v>0</v>
      </c>
      <c r="BY1148">
        <v>5</v>
      </c>
      <c r="BZ1148">
        <v>2006</v>
      </c>
      <c r="CA1148" t="s">
        <v>109</v>
      </c>
      <c r="CB1148" t="s">
        <v>110</v>
      </c>
      <c r="CC1148">
        <v>180000</v>
      </c>
    </row>
    <row r="1149" spans="1:81" x14ac:dyDescent="0.3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H1149" t="s">
        <v>83</v>
      </c>
      <c r="I1149" t="s">
        <v>174</v>
      </c>
      <c r="J1149" t="s">
        <v>85</v>
      </c>
      <c r="K1149" t="s">
        <v>86</v>
      </c>
      <c r="L1149" t="s">
        <v>87</v>
      </c>
      <c r="M1149" t="s">
        <v>122</v>
      </c>
      <c r="N1149" t="s">
        <v>89</v>
      </c>
      <c r="O1149" t="s">
        <v>89</v>
      </c>
      <c r="P1149" t="s">
        <v>90</v>
      </c>
      <c r="Q1149" t="s">
        <v>91</v>
      </c>
      <c r="R1149">
        <v>7</v>
      </c>
      <c r="S1149">
        <v>7</v>
      </c>
      <c r="T1149">
        <v>1941</v>
      </c>
      <c r="U1149">
        <v>1950</v>
      </c>
      <c r="V1149" t="s">
        <v>92</v>
      </c>
      <c r="W1149" t="s">
        <v>93</v>
      </c>
      <c r="X1149" t="s">
        <v>115</v>
      </c>
      <c r="Y1149" t="s">
        <v>115</v>
      </c>
      <c r="Z1149" t="s">
        <v>116</v>
      </c>
      <c r="AA1149">
        <v>0</v>
      </c>
      <c r="AB1149" t="s">
        <v>97</v>
      </c>
      <c r="AC1149" t="s">
        <v>97</v>
      </c>
      <c r="AD1149" t="s">
        <v>117</v>
      </c>
      <c r="AE1149" t="s">
        <v>97</v>
      </c>
      <c r="AF1149" t="s">
        <v>97</v>
      </c>
      <c r="AG1149" t="s">
        <v>99</v>
      </c>
      <c r="AH1149" t="s">
        <v>152</v>
      </c>
      <c r="AI1149">
        <v>275</v>
      </c>
      <c r="AJ1149" t="s">
        <v>101</v>
      </c>
      <c r="AK1149">
        <v>0</v>
      </c>
      <c r="AL1149">
        <v>429</v>
      </c>
      <c r="AM1149">
        <v>704</v>
      </c>
      <c r="AN1149" t="s">
        <v>102</v>
      </c>
      <c r="AO1149" t="s">
        <v>103</v>
      </c>
      <c r="AP1149" t="s">
        <v>104</v>
      </c>
      <c r="AQ1149" t="s">
        <v>105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146</v>
      </c>
      <c r="BC1149">
        <v>7</v>
      </c>
      <c r="BD1149" t="s">
        <v>106</v>
      </c>
      <c r="BE1149">
        <v>1</v>
      </c>
      <c r="BF1149" t="s">
        <v>96</v>
      </c>
      <c r="BG1149" t="s">
        <v>107</v>
      </c>
      <c r="BH1149">
        <v>1941</v>
      </c>
      <c r="BI1149" t="s">
        <v>101</v>
      </c>
      <c r="BJ1149">
        <v>1</v>
      </c>
      <c r="BK1149">
        <v>234</v>
      </c>
      <c r="BL1149" t="s">
        <v>97</v>
      </c>
      <c r="BM1149" t="s">
        <v>97</v>
      </c>
      <c r="BN1149" t="s">
        <v>104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X1149">
        <v>0</v>
      </c>
      <c r="BY1149">
        <v>7</v>
      </c>
      <c r="BZ1149">
        <v>2009</v>
      </c>
      <c r="CA1149" t="s">
        <v>109</v>
      </c>
      <c r="CB1149" t="s">
        <v>110</v>
      </c>
      <c r="CC1149">
        <v>174500</v>
      </c>
    </row>
    <row r="1150" spans="1:81" x14ac:dyDescent="0.3">
      <c r="A1150">
        <v>1149</v>
      </c>
      <c r="B1150">
        <v>50</v>
      </c>
      <c r="C1150" t="s">
        <v>141</v>
      </c>
      <c r="E1150">
        <v>5700</v>
      </c>
      <c r="F1150" t="s">
        <v>82</v>
      </c>
      <c r="H1150" t="s">
        <v>83</v>
      </c>
      <c r="I1150" t="s">
        <v>84</v>
      </c>
      <c r="J1150" t="s">
        <v>85</v>
      </c>
      <c r="K1150" t="s">
        <v>86</v>
      </c>
      <c r="L1150" t="s">
        <v>87</v>
      </c>
      <c r="M1150" t="s">
        <v>142</v>
      </c>
      <c r="N1150" t="s">
        <v>89</v>
      </c>
      <c r="O1150" t="s">
        <v>89</v>
      </c>
      <c r="P1150" t="s">
        <v>90</v>
      </c>
      <c r="Q1150" t="s">
        <v>131</v>
      </c>
      <c r="R1150">
        <v>7</v>
      </c>
      <c r="S1150">
        <v>7</v>
      </c>
      <c r="T1150">
        <v>1926</v>
      </c>
      <c r="U1150">
        <v>1950</v>
      </c>
      <c r="V1150" t="s">
        <v>92</v>
      </c>
      <c r="W1150" t="s">
        <v>93</v>
      </c>
      <c r="X1150" t="s">
        <v>123</v>
      </c>
      <c r="Y1150" t="s">
        <v>123</v>
      </c>
      <c r="Z1150" t="s">
        <v>116</v>
      </c>
      <c r="AA1150">
        <v>0</v>
      </c>
      <c r="AB1150" t="s">
        <v>97</v>
      </c>
      <c r="AC1150" t="s">
        <v>97</v>
      </c>
      <c r="AD1150" t="s">
        <v>98</v>
      </c>
      <c r="AE1150" t="s">
        <v>97</v>
      </c>
      <c r="AF1150" t="s">
        <v>97</v>
      </c>
      <c r="AG1150" t="s">
        <v>99</v>
      </c>
      <c r="AH1150" t="s">
        <v>101</v>
      </c>
      <c r="AI1150">
        <v>0</v>
      </c>
      <c r="AJ1150" t="s">
        <v>101</v>
      </c>
      <c r="AK1150">
        <v>0</v>
      </c>
      <c r="AL1150">
        <v>572</v>
      </c>
      <c r="AM1150">
        <v>572</v>
      </c>
      <c r="AN1150" t="s">
        <v>102</v>
      </c>
      <c r="AO1150" t="s">
        <v>97</v>
      </c>
      <c r="AP1150" t="s">
        <v>104</v>
      </c>
      <c r="AQ1150" t="s">
        <v>105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97</v>
      </c>
      <c r="BC1150">
        <v>5</v>
      </c>
      <c r="BD1150" t="s">
        <v>106</v>
      </c>
      <c r="BE1150">
        <v>1</v>
      </c>
      <c r="BF1150" t="s">
        <v>96</v>
      </c>
      <c r="BG1150" t="s">
        <v>126</v>
      </c>
      <c r="BH1150">
        <v>1982</v>
      </c>
      <c r="BI1150" t="s">
        <v>101</v>
      </c>
      <c r="BJ1150">
        <v>1</v>
      </c>
      <c r="BK1150">
        <v>288</v>
      </c>
      <c r="BL1150" t="s">
        <v>97</v>
      </c>
      <c r="BM1150" t="s">
        <v>97</v>
      </c>
      <c r="BN1150" t="s">
        <v>104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X1150">
        <v>0</v>
      </c>
      <c r="BY1150">
        <v>8</v>
      </c>
      <c r="BZ1150">
        <v>2008</v>
      </c>
      <c r="CA1150" t="s">
        <v>109</v>
      </c>
      <c r="CB1150" t="s">
        <v>110</v>
      </c>
      <c r="CC1150">
        <v>116900</v>
      </c>
    </row>
    <row r="1151" spans="1:81" x14ac:dyDescent="0.3">
      <c r="A1151">
        <v>1150</v>
      </c>
      <c r="B1151">
        <v>70</v>
      </c>
      <c r="C1151" t="s">
        <v>141</v>
      </c>
      <c r="D1151">
        <v>50</v>
      </c>
      <c r="E1151">
        <v>9000</v>
      </c>
      <c r="F1151" t="s">
        <v>82</v>
      </c>
      <c r="H1151" t="s">
        <v>83</v>
      </c>
      <c r="I1151" t="s">
        <v>84</v>
      </c>
      <c r="J1151" t="s">
        <v>85</v>
      </c>
      <c r="K1151" t="s">
        <v>86</v>
      </c>
      <c r="L1151" t="s">
        <v>87</v>
      </c>
      <c r="M1151" t="s">
        <v>142</v>
      </c>
      <c r="N1151" t="s">
        <v>143</v>
      </c>
      <c r="O1151" t="s">
        <v>89</v>
      </c>
      <c r="P1151" t="s">
        <v>90</v>
      </c>
      <c r="Q1151" t="s">
        <v>91</v>
      </c>
      <c r="R1151">
        <v>7</v>
      </c>
      <c r="S1151">
        <v>9</v>
      </c>
      <c r="T1151">
        <v>1920</v>
      </c>
      <c r="U1151">
        <v>1988</v>
      </c>
      <c r="V1151" t="s">
        <v>151</v>
      </c>
      <c r="W1151" t="s">
        <v>93</v>
      </c>
      <c r="X1151" t="s">
        <v>94</v>
      </c>
      <c r="Y1151" t="s">
        <v>94</v>
      </c>
      <c r="Z1151" t="s">
        <v>116</v>
      </c>
      <c r="AA1151">
        <v>0</v>
      </c>
      <c r="AB1151" t="s">
        <v>97</v>
      </c>
      <c r="AC1151" t="s">
        <v>96</v>
      </c>
      <c r="AD1151" t="s">
        <v>98</v>
      </c>
      <c r="AE1151" t="s">
        <v>97</v>
      </c>
      <c r="AF1151" t="s">
        <v>97</v>
      </c>
      <c r="AG1151" t="s">
        <v>99</v>
      </c>
      <c r="AH1151" t="s">
        <v>118</v>
      </c>
      <c r="AI1151">
        <v>624</v>
      </c>
      <c r="AJ1151" t="s">
        <v>101</v>
      </c>
      <c r="AK1151">
        <v>0</v>
      </c>
      <c r="AL1151">
        <v>26</v>
      </c>
      <c r="AM1151">
        <v>650</v>
      </c>
      <c r="AN1151" t="s">
        <v>102</v>
      </c>
      <c r="AO1151" t="s">
        <v>103</v>
      </c>
      <c r="AP1151" t="s">
        <v>104</v>
      </c>
      <c r="AQ1151" t="s">
        <v>105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97</v>
      </c>
      <c r="BC1151">
        <v>7</v>
      </c>
      <c r="BD1151" t="s">
        <v>106</v>
      </c>
      <c r="BE1151">
        <v>0</v>
      </c>
      <c r="BG1151" t="s">
        <v>126</v>
      </c>
      <c r="BH1151">
        <v>1930</v>
      </c>
      <c r="BI1151" t="s">
        <v>101</v>
      </c>
      <c r="BJ1151">
        <v>2</v>
      </c>
      <c r="BK1151">
        <v>324</v>
      </c>
      <c r="BL1151" t="s">
        <v>97</v>
      </c>
      <c r="BM1151" t="s">
        <v>97</v>
      </c>
      <c r="BN1151" t="s">
        <v>104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X1151">
        <v>0</v>
      </c>
      <c r="BY1151">
        <v>7</v>
      </c>
      <c r="BZ1151">
        <v>2009</v>
      </c>
      <c r="CA1151" t="s">
        <v>109</v>
      </c>
      <c r="CB1151" t="s">
        <v>110</v>
      </c>
      <c r="CC1151">
        <v>143000</v>
      </c>
    </row>
    <row r="1152" spans="1:81" x14ac:dyDescent="0.3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H1152" t="s">
        <v>119</v>
      </c>
      <c r="I1152" t="s">
        <v>84</v>
      </c>
      <c r="J1152" t="s">
        <v>85</v>
      </c>
      <c r="K1152" t="s">
        <v>86</v>
      </c>
      <c r="L1152" t="s">
        <v>87</v>
      </c>
      <c r="M1152" t="s">
        <v>270</v>
      </c>
      <c r="N1152" t="s">
        <v>89</v>
      </c>
      <c r="O1152" t="s">
        <v>89</v>
      </c>
      <c r="P1152" t="s">
        <v>90</v>
      </c>
      <c r="Q1152" t="s">
        <v>114</v>
      </c>
      <c r="R1152">
        <v>6</v>
      </c>
      <c r="S1152">
        <v>5</v>
      </c>
      <c r="T1152">
        <v>1950</v>
      </c>
      <c r="U1152">
        <v>1950</v>
      </c>
      <c r="V1152" t="s">
        <v>92</v>
      </c>
      <c r="W1152" t="s">
        <v>93</v>
      </c>
      <c r="X1152" t="s">
        <v>95</v>
      </c>
      <c r="Y1152" t="s">
        <v>95</v>
      </c>
      <c r="Z1152" t="s">
        <v>116</v>
      </c>
      <c r="AA1152">
        <v>0</v>
      </c>
      <c r="AB1152" t="s">
        <v>97</v>
      </c>
      <c r="AC1152" t="s">
        <v>97</v>
      </c>
      <c r="AD1152" t="s">
        <v>117</v>
      </c>
      <c r="AE1152" t="s">
        <v>97</v>
      </c>
      <c r="AF1152" t="s">
        <v>97</v>
      </c>
      <c r="AG1152" t="s">
        <v>99</v>
      </c>
      <c r="AH1152" t="s">
        <v>101</v>
      </c>
      <c r="AI1152">
        <v>0</v>
      </c>
      <c r="AJ1152" t="s">
        <v>101</v>
      </c>
      <c r="AK1152">
        <v>0</v>
      </c>
      <c r="AL1152">
        <v>932</v>
      </c>
      <c r="AM1152">
        <v>932</v>
      </c>
      <c r="AN1152" t="s">
        <v>102</v>
      </c>
      <c r="AO1152" t="s">
        <v>103</v>
      </c>
      <c r="AP1152" t="s">
        <v>104</v>
      </c>
      <c r="AQ1152" t="s">
        <v>163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96</v>
      </c>
      <c r="BC1152">
        <v>4</v>
      </c>
      <c r="BD1152" t="s">
        <v>106</v>
      </c>
      <c r="BE1152">
        <v>1</v>
      </c>
      <c r="BF1152" t="s">
        <v>96</v>
      </c>
      <c r="BG1152" t="s">
        <v>107</v>
      </c>
      <c r="BH1152">
        <v>1950</v>
      </c>
      <c r="BI1152" t="s">
        <v>101</v>
      </c>
      <c r="BJ1152">
        <v>1</v>
      </c>
      <c r="BK1152">
        <v>306</v>
      </c>
      <c r="BL1152" t="s">
        <v>97</v>
      </c>
      <c r="BM1152" t="s">
        <v>97</v>
      </c>
      <c r="BN1152" t="s">
        <v>104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V1152" t="s">
        <v>164</v>
      </c>
      <c r="BX1152">
        <v>0</v>
      </c>
      <c r="BY1152">
        <v>11</v>
      </c>
      <c r="BZ1152">
        <v>2007</v>
      </c>
      <c r="CA1152" t="s">
        <v>109</v>
      </c>
      <c r="CB1152" t="s">
        <v>110</v>
      </c>
      <c r="CC1152">
        <v>124000</v>
      </c>
    </row>
    <row r="1153" spans="1:81" x14ac:dyDescent="0.3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H1153" t="s">
        <v>83</v>
      </c>
      <c r="I1153" t="s">
        <v>84</v>
      </c>
      <c r="J1153" t="s">
        <v>85</v>
      </c>
      <c r="K1153" t="s">
        <v>86</v>
      </c>
      <c r="L1153" t="s">
        <v>87</v>
      </c>
      <c r="M1153" t="s">
        <v>184</v>
      </c>
      <c r="N1153" t="s">
        <v>89</v>
      </c>
      <c r="O1153" t="s">
        <v>89</v>
      </c>
      <c r="P1153" t="s">
        <v>90</v>
      </c>
      <c r="Q1153" t="s">
        <v>114</v>
      </c>
      <c r="R1153">
        <v>5</v>
      </c>
      <c r="S1153">
        <v>4</v>
      </c>
      <c r="T1153">
        <v>1959</v>
      </c>
      <c r="U1153">
        <v>1959</v>
      </c>
      <c r="V1153" t="s">
        <v>92</v>
      </c>
      <c r="W1153" t="s">
        <v>93</v>
      </c>
      <c r="X1153" t="s">
        <v>139</v>
      </c>
      <c r="Y1153" t="s">
        <v>160</v>
      </c>
      <c r="Z1153" t="s">
        <v>95</v>
      </c>
      <c r="AA1153">
        <v>132</v>
      </c>
      <c r="AB1153" t="s">
        <v>97</v>
      </c>
      <c r="AC1153" t="s">
        <v>97</v>
      </c>
      <c r="AD1153" t="s">
        <v>117</v>
      </c>
      <c r="AE1153" t="s">
        <v>97</v>
      </c>
      <c r="AF1153" t="s">
        <v>97</v>
      </c>
      <c r="AG1153" t="s">
        <v>99</v>
      </c>
      <c r="AH1153" t="s">
        <v>140</v>
      </c>
      <c r="AI1153">
        <v>176</v>
      </c>
      <c r="AJ1153" t="s">
        <v>101</v>
      </c>
      <c r="AK1153">
        <v>0</v>
      </c>
      <c r="AL1153">
        <v>1290</v>
      </c>
      <c r="AM1153">
        <v>1466</v>
      </c>
      <c r="AN1153" t="s">
        <v>102</v>
      </c>
      <c r="AO1153" t="s">
        <v>97</v>
      </c>
      <c r="AP1153" t="s">
        <v>104</v>
      </c>
      <c r="AQ1153" t="s">
        <v>105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146</v>
      </c>
      <c r="BC1153">
        <v>6</v>
      </c>
      <c r="BD1153" t="s">
        <v>106</v>
      </c>
      <c r="BE1153">
        <v>2</v>
      </c>
      <c r="BF1153" t="s">
        <v>96</v>
      </c>
      <c r="BG1153" t="s">
        <v>107</v>
      </c>
      <c r="BH1153">
        <v>1959</v>
      </c>
      <c r="BI1153" t="s">
        <v>156</v>
      </c>
      <c r="BJ1153">
        <v>2</v>
      </c>
      <c r="BK1153">
        <v>528</v>
      </c>
      <c r="BL1153" t="s">
        <v>97</v>
      </c>
      <c r="BM1153" t="s">
        <v>97</v>
      </c>
      <c r="BN1153" t="s">
        <v>104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X1153">
        <v>0</v>
      </c>
      <c r="BY1153">
        <v>11</v>
      </c>
      <c r="BZ1153">
        <v>2006</v>
      </c>
      <c r="CA1153" t="s">
        <v>109</v>
      </c>
      <c r="CB1153" t="s">
        <v>110</v>
      </c>
      <c r="CC1153">
        <v>149900</v>
      </c>
    </row>
    <row r="1154" spans="1:81" x14ac:dyDescent="0.3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H1154" t="s">
        <v>119</v>
      </c>
      <c r="I1154" t="s">
        <v>84</v>
      </c>
      <c r="J1154" t="s">
        <v>85</v>
      </c>
      <c r="K1154" t="s">
        <v>86</v>
      </c>
      <c r="L1154" t="s">
        <v>87</v>
      </c>
      <c r="M1154" t="s">
        <v>122</v>
      </c>
      <c r="N1154" t="s">
        <v>89</v>
      </c>
      <c r="O1154" t="s">
        <v>89</v>
      </c>
      <c r="P1154" t="s">
        <v>90</v>
      </c>
      <c r="Q1154" t="s">
        <v>114</v>
      </c>
      <c r="R1154">
        <v>6</v>
      </c>
      <c r="S1154">
        <v>7</v>
      </c>
      <c r="T1154">
        <v>1956</v>
      </c>
      <c r="U1154">
        <v>2004</v>
      </c>
      <c r="V1154" t="s">
        <v>92</v>
      </c>
      <c r="W1154" t="s">
        <v>93</v>
      </c>
      <c r="X1154" t="s">
        <v>136</v>
      </c>
      <c r="Y1154" t="s">
        <v>136</v>
      </c>
      <c r="Z1154" t="s">
        <v>116</v>
      </c>
      <c r="AA1154">
        <v>0</v>
      </c>
      <c r="AB1154" t="s">
        <v>97</v>
      </c>
      <c r="AC1154" t="s">
        <v>97</v>
      </c>
      <c r="AD1154" t="s">
        <v>98</v>
      </c>
      <c r="AE1154" t="s">
        <v>97</v>
      </c>
      <c r="AF1154" t="s">
        <v>97</v>
      </c>
      <c r="AG1154" t="s">
        <v>99</v>
      </c>
      <c r="AH1154" t="s">
        <v>118</v>
      </c>
      <c r="AI1154">
        <v>296</v>
      </c>
      <c r="AJ1154" t="s">
        <v>100</v>
      </c>
      <c r="AK1154">
        <v>547</v>
      </c>
      <c r="AL1154">
        <v>230</v>
      </c>
      <c r="AM1154">
        <v>1073</v>
      </c>
      <c r="AN1154" t="s">
        <v>102</v>
      </c>
      <c r="AO1154" t="s">
        <v>103</v>
      </c>
      <c r="AP1154" t="s">
        <v>104</v>
      </c>
      <c r="AQ1154" t="s">
        <v>105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103</v>
      </c>
      <c r="BC1154">
        <v>6</v>
      </c>
      <c r="BD1154" t="s">
        <v>106</v>
      </c>
      <c r="BE1154">
        <v>1</v>
      </c>
      <c r="BF1154" t="s">
        <v>96</v>
      </c>
      <c r="BG1154" t="s">
        <v>107</v>
      </c>
      <c r="BH1154">
        <v>1956</v>
      </c>
      <c r="BI1154" t="s">
        <v>156</v>
      </c>
      <c r="BJ1154">
        <v>2</v>
      </c>
      <c r="BK1154">
        <v>470</v>
      </c>
      <c r="BL1154" t="s">
        <v>97</v>
      </c>
      <c r="BM1154" t="s">
        <v>97</v>
      </c>
      <c r="BN1154" t="s">
        <v>104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X1154">
        <v>0</v>
      </c>
      <c r="BY1154">
        <v>7</v>
      </c>
      <c r="BZ1154">
        <v>2006</v>
      </c>
      <c r="CA1154" t="s">
        <v>109</v>
      </c>
      <c r="CB1154" t="s">
        <v>127</v>
      </c>
      <c r="CC1154">
        <v>230000</v>
      </c>
    </row>
    <row r="1155" spans="1:81" x14ac:dyDescent="0.3">
      <c r="A1155">
        <v>1154</v>
      </c>
      <c r="B1155">
        <v>30</v>
      </c>
      <c r="C1155" t="s">
        <v>141</v>
      </c>
      <c r="E1155">
        <v>5890</v>
      </c>
      <c r="F1155" t="s">
        <v>82</v>
      </c>
      <c r="H1155" t="s">
        <v>83</v>
      </c>
      <c r="I1155" t="s">
        <v>84</v>
      </c>
      <c r="J1155" t="s">
        <v>85</v>
      </c>
      <c r="K1155" t="s">
        <v>121</v>
      </c>
      <c r="L1155" t="s">
        <v>87</v>
      </c>
      <c r="M1155" t="s">
        <v>175</v>
      </c>
      <c r="N1155" t="s">
        <v>89</v>
      </c>
      <c r="O1155" t="s">
        <v>89</v>
      </c>
      <c r="P1155" t="s">
        <v>90</v>
      </c>
      <c r="Q1155" t="s">
        <v>114</v>
      </c>
      <c r="R1155">
        <v>6</v>
      </c>
      <c r="S1155">
        <v>8</v>
      </c>
      <c r="T1155">
        <v>1930</v>
      </c>
      <c r="U1155">
        <v>2007</v>
      </c>
      <c r="V1155" t="s">
        <v>92</v>
      </c>
      <c r="W1155" t="s">
        <v>93</v>
      </c>
      <c r="X1155" t="s">
        <v>123</v>
      </c>
      <c r="Y1155" t="s">
        <v>123</v>
      </c>
      <c r="Z1155" t="s">
        <v>116</v>
      </c>
      <c r="AA1155">
        <v>0</v>
      </c>
      <c r="AB1155" t="s">
        <v>96</v>
      </c>
      <c r="AC1155" t="s">
        <v>96</v>
      </c>
      <c r="AD1155" t="s">
        <v>125</v>
      </c>
      <c r="AE1155" t="s">
        <v>97</v>
      </c>
      <c r="AF1155" t="s">
        <v>97</v>
      </c>
      <c r="AG1155" t="s">
        <v>129</v>
      </c>
      <c r="AH1155" t="s">
        <v>118</v>
      </c>
      <c r="AI1155">
        <v>538</v>
      </c>
      <c r="AJ1155" t="s">
        <v>101</v>
      </c>
      <c r="AK1155">
        <v>0</v>
      </c>
      <c r="AL1155">
        <v>278</v>
      </c>
      <c r="AM1155">
        <v>816</v>
      </c>
      <c r="AN1155" t="s">
        <v>102</v>
      </c>
      <c r="AO1155" t="s">
        <v>103</v>
      </c>
      <c r="AP1155" t="s">
        <v>104</v>
      </c>
      <c r="AQ1155" t="s">
        <v>105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97</v>
      </c>
      <c r="BC1155">
        <v>5</v>
      </c>
      <c r="BD1155" t="s">
        <v>106</v>
      </c>
      <c r="BE1155">
        <v>0</v>
      </c>
      <c r="BG1155" t="s">
        <v>126</v>
      </c>
      <c r="BH1155">
        <v>2002</v>
      </c>
      <c r="BI1155" t="s">
        <v>101</v>
      </c>
      <c r="BJ1155">
        <v>1</v>
      </c>
      <c r="BK1155">
        <v>432</v>
      </c>
      <c r="BL1155" t="s">
        <v>97</v>
      </c>
      <c r="BM1155" t="s">
        <v>97</v>
      </c>
      <c r="BN1155" t="s">
        <v>104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X1155">
        <v>0</v>
      </c>
      <c r="BY1155">
        <v>6</v>
      </c>
      <c r="BZ1155">
        <v>2008</v>
      </c>
      <c r="CA1155" t="s">
        <v>109</v>
      </c>
      <c r="CB1155" t="s">
        <v>110</v>
      </c>
      <c r="CC1155">
        <v>120500</v>
      </c>
    </row>
    <row r="1156" spans="1:81" x14ac:dyDescent="0.3">
      <c r="A1156">
        <v>1155</v>
      </c>
      <c r="B1156">
        <v>60</v>
      </c>
      <c r="C1156" t="s">
        <v>81</v>
      </c>
      <c r="E1156">
        <v>13700</v>
      </c>
      <c r="F1156" t="s">
        <v>82</v>
      </c>
      <c r="H1156" t="s">
        <v>119</v>
      </c>
      <c r="I1156" t="s">
        <v>84</v>
      </c>
      <c r="J1156" t="s">
        <v>85</v>
      </c>
      <c r="K1156" t="s">
        <v>86</v>
      </c>
      <c r="L1156" t="s">
        <v>87</v>
      </c>
      <c r="M1156" t="s">
        <v>270</v>
      </c>
      <c r="N1156" t="s">
        <v>89</v>
      </c>
      <c r="O1156" t="s">
        <v>89</v>
      </c>
      <c r="P1156" t="s">
        <v>90</v>
      </c>
      <c r="Q1156" t="s">
        <v>91</v>
      </c>
      <c r="R1156">
        <v>7</v>
      </c>
      <c r="S1156">
        <v>6</v>
      </c>
      <c r="T1156">
        <v>1965</v>
      </c>
      <c r="U1156">
        <v>1988</v>
      </c>
      <c r="V1156" t="s">
        <v>92</v>
      </c>
      <c r="W1156" t="s">
        <v>93</v>
      </c>
      <c r="X1156" t="s">
        <v>94</v>
      </c>
      <c r="Y1156" t="s">
        <v>94</v>
      </c>
      <c r="Z1156" t="s">
        <v>136</v>
      </c>
      <c r="AA1156">
        <v>288</v>
      </c>
      <c r="AB1156" t="s">
        <v>97</v>
      </c>
      <c r="AC1156" t="s">
        <v>97</v>
      </c>
      <c r="AD1156" t="s">
        <v>117</v>
      </c>
      <c r="AE1156" t="s">
        <v>97</v>
      </c>
      <c r="AF1156" t="s">
        <v>97</v>
      </c>
      <c r="AG1156" t="s">
        <v>96</v>
      </c>
      <c r="AH1156" t="s">
        <v>118</v>
      </c>
      <c r="AI1156">
        <v>454</v>
      </c>
      <c r="AJ1156" t="s">
        <v>101</v>
      </c>
      <c r="AK1156">
        <v>0</v>
      </c>
      <c r="AL1156">
        <v>410</v>
      </c>
      <c r="AM1156">
        <v>864</v>
      </c>
      <c r="AN1156" t="s">
        <v>102</v>
      </c>
      <c r="AO1156" t="s">
        <v>97</v>
      </c>
      <c r="AP1156" t="s">
        <v>104</v>
      </c>
      <c r="AQ1156" t="s">
        <v>105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96</v>
      </c>
      <c r="BC1156">
        <v>8</v>
      </c>
      <c r="BD1156" t="s">
        <v>106</v>
      </c>
      <c r="BE1156">
        <v>2</v>
      </c>
      <c r="BF1156" t="s">
        <v>96</v>
      </c>
      <c r="BG1156" t="s">
        <v>107</v>
      </c>
      <c r="BH1156">
        <v>1965</v>
      </c>
      <c r="BI1156" t="s">
        <v>101</v>
      </c>
      <c r="BJ1156">
        <v>2</v>
      </c>
      <c r="BK1156">
        <v>492</v>
      </c>
      <c r="BL1156" t="s">
        <v>97</v>
      </c>
      <c r="BM1156" t="s">
        <v>97</v>
      </c>
      <c r="BN1156" t="s">
        <v>104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V1156" t="s">
        <v>164</v>
      </c>
      <c r="BX1156">
        <v>0</v>
      </c>
      <c r="BY1156">
        <v>5</v>
      </c>
      <c r="BZ1156">
        <v>2008</v>
      </c>
      <c r="CA1156" t="s">
        <v>109</v>
      </c>
      <c r="CB1156" t="s">
        <v>110</v>
      </c>
      <c r="CC1156">
        <v>201800</v>
      </c>
    </row>
    <row r="1157" spans="1:81" x14ac:dyDescent="0.3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H1157" t="s">
        <v>119</v>
      </c>
      <c r="I1157" t="s">
        <v>84</v>
      </c>
      <c r="J1157" t="s">
        <v>85</v>
      </c>
      <c r="K1157" t="s">
        <v>121</v>
      </c>
      <c r="L1157" t="s">
        <v>87</v>
      </c>
      <c r="M1157" t="s">
        <v>112</v>
      </c>
      <c r="N1157" t="s">
        <v>89</v>
      </c>
      <c r="O1157" t="s">
        <v>89</v>
      </c>
      <c r="P1157" t="s">
        <v>90</v>
      </c>
      <c r="Q1157" t="s">
        <v>114</v>
      </c>
      <c r="R1157">
        <v>5</v>
      </c>
      <c r="S1157">
        <v>8</v>
      </c>
      <c r="T1157">
        <v>1976</v>
      </c>
      <c r="U1157">
        <v>2004</v>
      </c>
      <c r="V1157" t="s">
        <v>92</v>
      </c>
      <c r="W1157" t="s">
        <v>93</v>
      </c>
      <c r="X1157" t="s">
        <v>160</v>
      </c>
      <c r="Y1157" t="s">
        <v>160</v>
      </c>
      <c r="Z1157" t="s">
        <v>116</v>
      </c>
      <c r="AA1157">
        <v>0</v>
      </c>
      <c r="AB1157" t="s">
        <v>96</v>
      </c>
      <c r="AC1157" t="s">
        <v>96</v>
      </c>
      <c r="AD1157" t="s">
        <v>117</v>
      </c>
      <c r="AE1157" t="s">
        <v>96</v>
      </c>
      <c r="AF1157" t="s">
        <v>97</v>
      </c>
      <c r="AG1157" t="s">
        <v>96</v>
      </c>
      <c r="AH1157" t="s">
        <v>118</v>
      </c>
      <c r="AI1157">
        <v>1157</v>
      </c>
      <c r="AJ1157" t="s">
        <v>101</v>
      </c>
      <c r="AK1157">
        <v>0</v>
      </c>
      <c r="AL1157">
        <v>280</v>
      </c>
      <c r="AM1157">
        <v>1437</v>
      </c>
      <c r="AN1157" t="s">
        <v>102</v>
      </c>
      <c r="AO1157" t="s">
        <v>97</v>
      </c>
      <c r="AP1157" t="s">
        <v>104</v>
      </c>
      <c r="AQ1157" t="s">
        <v>105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96</v>
      </c>
      <c r="BC1157">
        <v>6</v>
      </c>
      <c r="BD1157" t="s">
        <v>106</v>
      </c>
      <c r="BE1157">
        <v>1</v>
      </c>
      <c r="BF1157" t="s">
        <v>146</v>
      </c>
      <c r="BG1157" t="s">
        <v>107</v>
      </c>
      <c r="BH1157">
        <v>1976</v>
      </c>
      <c r="BI1157" t="s">
        <v>108</v>
      </c>
      <c r="BJ1157">
        <v>2</v>
      </c>
      <c r="BK1157">
        <v>528</v>
      </c>
      <c r="BL1157" t="s">
        <v>97</v>
      </c>
      <c r="BM1157" t="s">
        <v>97</v>
      </c>
      <c r="BN1157" t="s">
        <v>104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X1157">
        <v>0</v>
      </c>
      <c r="BY1157">
        <v>7</v>
      </c>
      <c r="BZ1157">
        <v>2007</v>
      </c>
      <c r="CA1157" t="s">
        <v>109</v>
      </c>
      <c r="CB1157" t="s">
        <v>110</v>
      </c>
      <c r="CC1157">
        <v>218000</v>
      </c>
    </row>
    <row r="1158" spans="1:81" x14ac:dyDescent="0.3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H1158" t="s">
        <v>83</v>
      </c>
      <c r="I1158" t="s">
        <v>84</v>
      </c>
      <c r="J1158" t="s">
        <v>85</v>
      </c>
      <c r="K1158" t="s">
        <v>86</v>
      </c>
      <c r="L1158" t="s">
        <v>87</v>
      </c>
      <c r="M1158" t="s">
        <v>270</v>
      </c>
      <c r="N1158" t="s">
        <v>89</v>
      </c>
      <c r="O1158" t="s">
        <v>89</v>
      </c>
      <c r="P1158" t="s">
        <v>90</v>
      </c>
      <c r="Q1158" t="s">
        <v>196</v>
      </c>
      <c r="R1158">
        <v>5</v>
      </c>
      <c r="S1158">
        <v>8</v>
      </c>
      <c r="T1158">
        <v>1965</v>
      </c>
      <c r="U1158">
        <v>1999</v>
      </c>
      <c r="V1158" t="s">
        <v>92</v>
      </c>
      <c r="W1158" t="s">
        <v>93</v>
      </c>
      <c r="X1158" t="s">
        <v>95</v>
      </c>
      <c r="Y1158" t="s">
        <v>95</v>
      </c>
      <c r="Z1158" t="s">
        <v>116</v>
      </c>
      <c r="AA1158">
        <v>0</v>
      </c>
      <c r="AB1158" t="s">
        <v>97</v>
      </c>
      <c r="AC1158" t="s">
        <v>96</v>
      </c>
      <c r="AD1158" t="s">
        <v>98</v>
      </c>
      <c r="AE1158" t="s">
        <v>97</v>
      </c>
      <c r="AF1158" t="s">
        <v>97</v>
      </c>
      <c r="AG1158" t="s">
        <v>96</v>
      </c>
      <c r="AH1158" t="s">
        <v>118</v>
      </c>
      <c r="AI1158">
        <v>633</v>
      </c>
      <c r="AJ1158" t="s">
        <v>101</v>
      </c>
      <c r="AK1158">
        <v>0</v>
      </c>
      <c r="AL1158">
        <v>586</v>
      </c>
      <c r="AM1158">
        <v>1219</v>
      </c>
      <c r="AN1158" t="s">
        <v>102</v>
      </c>
      <c r="AO1158" t="s">
        <v>96</v>
      </c>
      <c r="AP1158" t="s">
        <v>104</v>
      </c>
      <c r="AQ1158" t="s">
        <v>105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96</v>
      </c>
      <c r="BC1158">
        <v>6</v>
      </c>
      <c r="BD1158" t="s">
        <v>106</v>
      </c>
      <c r="BE1158">
        <v>1</v>
      </c>
      <c r="BF1158" t="s">
        <v>96</v>
      </c>
      <c r="BG1158" t="s">
        <v>107</v>
      </c>
      <c r="BH1158">
        <v>1965</v>
      </c>
      <c r="BI1158" t="s">
        <v>108</v>
      </c>
      <c r="BJ1158">
        <v>2</v>
      </c>
      <c r="BK1158">
        <v>502</v>
      </c>
      <c r="BL1158" t="s">
        <v>97</v>
      </c>
      <c r="BM1158" t="s">
        <v>97</v>
      </c>
      <c r="BN1158" t="s">
        <v>104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V1158" t="s">
        <v>133</v>
      </c>
      <c r="BX1158">
        <v>0</v>
      </c>
      <c r="BY1158">
        <v>10</v>
      </c>
      <c r="BZ1158">
        <v>2008</v>
      </c>
      <c r="CA1158" t="s">
        <v>109</v>
      </c>
      <c r="CB1158" t="s">
        <v>110</v>
      </c>
      <c r="CC1158">
        <v>179900</v>
      </c>
    </row>
    <row r="1159" spans="1:81" x14ac:dyDescent="0.3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H1159" t="s">
        <v>119</v>
      </c>
      <c r="I1159" t="s">
        <v>84</v>
      </c>
      <c r="J1159" t="s">
        <v>85</v>
      </c>
      <c r="K1159" t="s">
        <v>86</v>
      </c>
      <c r="L1159" t="s">
        <v>87</v>
      </c>
      <c r="M1159" t="s">
        <v>153</v>
      </c>
      <c r="N1159" t="s">
        <v>89</v>
      </c>
      <c r="O1159" t="s">
        <v>89</v>
      </c>
      <c r="P1159" t="s">
        <v>197</v>
      </c>
      <c r="Q1159" t="s">
        <v>114</v>
      </c>
      <c r="R1159">
        <v>7</v>
      </c>
      <c r="S1159">
        <v>5</v>
      </c>
      <c r="T1159">
        <v>2007</v>
      </c>
      <c r="U1159">
        <v>2008</v>
      </c>
      <c r="V1159" t="s">
        <v>92</v>
      </c>
      <c r="W1159" t="s">
        <v>93</v>
      </c>
      <c r="X1159" t="s">
        <v>94</v>
      </c>
      <c r="Y1159" t="s">
        <v>94</v>
      </c>
      <c r="Z1159" t="s">
        <v>136</v>
      </c>
      <c r="AA1159">
        <v>166</v>
      </c>
      <c r="AB1159" t="s">
        <v>96</v>
      </c>
      <c r="AC1159" t="s">
        <v>97</v>
      </c>
      <c r="AD1159" t="s">
        <v>98</v>
      </c>
      <c r="AE1159" t="s">
        <v>96</v>
      </c>
      <c r="AF1159" t="s">
        <v>97</v>
      </c>
      <c r="AG1159" t="s">
        <v>99</v>
      </c>
      <c r="AH1159" t="s">
        <v>100</v>
      </c>
      <c r="AI1159">
        <v>904</v>
      </c>
      <c r="AJ1159" t="s">
        <v>101</v>
      </c>
      <c r="AK1159">
        <v>0</v>
      </c>
      <c r="AL1159">
        <v>410</v>
      </c>
      <c r="AM1159">
        <v>1314</v>
      </c>
      <c r="AN1159" t="s">
        <v>102</v>
      </c>
      <c r="AO1159" t="s">
        <v>103</v>
      </c>
      <c r="AP1159" t="s">
        <v>104</v>
      </c>
      <c r="AQ1159" t="s">
        <v>105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96</v>
      </c>
      <c r="BC1159">
        <v>6</v>
      </c>
      <c r="BD1159" t="s">
        <v>106</v>
      </c>
      <c r="BE1159">
        <v>1</v>
      </c>
      <c r="BF1159" t="s">
        <v>96</v>
      </c>
      <c r="BG1159" t="s">
        <v>107</v>
      </c>
      <c r="BH1159">
        <v>2008</v>
      </c>
      <c r="BI1159" t="s">
        <v>108</v>
      </c>
      <c r="BJ1159">
        <v>2</v>
      </c>
      <c r="BK1159">
        <v>626</v>
      </c>
      <c r="BL1159" t="s">
        <v>97</v>
      </c>
      <c r="BM1159" t="s">
        <v>97</v>
      </c>
      <c r="BN1159" t="s">
        <v>104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X1159">
        <v>0</v>
      </c>
      <c r="BY1159">
        <v>7</v>
      </c>
      <c r="BZ1159">
        <v>2009</v>
      </c>
      <c r="CA1159" t="s">
        <v>109</v>
      </c>
      <c r="CB1159" t="s">
        <v>110</v>
      </c>
      <c r="CC1159">
        <v>230000</v>
      </c>
    </row>
    <row r="1160" spans="1:81" x14ac:dyDescent="0.3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H1160" t="s">
        <v>83</v>
      </c>
      <c r="I1160" t="s">
        <v>84</v>
      </c>
      <c r="J1160" t="s">
        <v>85</v>
      </c>
      <c r="K1160" t="s">
        <v>111</v>
      </c>
      <c r="L1160" t="s">
        <v>87</v>
      </c>
      <c r="M1160" t="s">
        <v>135</v>
      </c>
      <c r="N1160" t="s">
        <v>113</v>
      </c>
      <c r="O1160" t="s">
        <v>89</v>
      </c>
      <c r="P1160" t="s">
        <v>90</v>
      </c>
      <c r="Q1160" t="s">
        <v>114</v>
      </c>
      <c r="R1160">
        <v>8</v>
      </c>
      <c r="S1160">
        <v>5</v>
      </c>
      <c r="T1160">
        <v>2007</v>
      </c>
      <c r="U1160">
        <v>2008</v>
      </c>
      <c r="V1160" t="s">
        <v>92</v>
      </c>
      <c r="W1160" t="s">
        <v>93</v>
      </c>
      <c r="X1160" t="s">
        <v>94</v>
      </c>
      <c r="Y1160" t="s">
        <v>94</v>
      </c>
      <c r="Z1160" t="s">
        <v>136</v>
      </c>
      <c r="AA1160">
        <v>186</v>
      </c>
      <c r="AB1160" t="s">
        <v>96</v>
      </c>
      <c r="AC1160" t="s">
        <v>97</v>
      </c>
      <c r="AD1160" t="s">
        <v>98</v>
      </c>
      <c r="AE1160" t="s">
        <v>96</v>
      </c>
      <c r="AF1160" t="s">
        <v>97</v>
      </c>
      <c r="AG1160" t="s">
        <v>99</v>
      </c>
      <c r="AH1160" t="s">
        <v>101</v>
      </c>
      <c r="AI1160">
        <v>0</v>
      </c>
      <c r="AJ1160" t="s">
        <v>101</v>
      </c>
      <c r="AK1160">
        <v>0</v>
      </c>
      <c r="AL1160">
        <v>1580</v>
      </c>
      <c r="AM1160">
        <v>1580</v>
      </c>
      <c r="AN1160" t="s">
        <v>102</v>
      </c>
      <c r="AO1160" t="s">
        <v>103</v>
      </c>
      <c r="AP1160" t="s">
        <v>104</v>
      </c>
      <c r="AQ1160" t="s">
        <v>105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96</v>
      </c>
      <c r="BC1160">
        <v>7</v>
      </c>
      <c r="BD1160" t="s">
        <v>106</v>
      </c>
      <c r="BE1160">
        <v>0</v>
      </c>
      <c r="BG1160" t="s">
        <v>107</v>
      </c>
      <c r="BH1160">
        <v>2008</v>
      </c>
      <c r="BI1160" t="s">
        <v>108</v>
      </c>
      <c r="BJ1160">
        <v>3</v>
      </c>
      <c r="BK1160">
        <v>830</v>
      </c>
      <c r="BL1160" t="s">
        <v>97</v>
      </c>
      <c r="BM1160" t="s">
        <v>97</v>
      </c>
      <c r="BN1160" t="s">
        <v>104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X1160">
        <v>0</v>
      </c>
      <c r="BY1160">
        <v>6</v>
      </c>
      <c r="BZ1160">
        <v>2008</v>
      </c>
      <c r="CA1160" t="s">
        <v>207</v>
      </c>
      <c r="CB1160" t="s">
        <v>158</v>
      </c>
      <c r="CC1160">
        <v>235128</v>
      </c>
    </row>
    <row r="1161" spans="1:81" x14ac:dyDescent="0.3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H1161" t="s">
        <v>83</v>
      </c>
      <c r="I1161" t="s">
        <v>84</v>
      </c>
      <c r="J1161" t="s">
        <v>85</v>
      </c>
      <c r="K1161" t="s">
        <v>86</v>
      </c>
      <c r="L1161" t="s">
        <v>87</v>
      </c>
      <c r="M1161" t="s">
        <v>137</v>
      </c>
      <c r="N1161" t="s">
        <v>89</v>
      </c>
      <c r="O1161" t="s">
        <v>89</v>
      </c>
      <c r="P1161" t="s">
        <v>90</v>
      </c>
      <c r="Q1161" t="s">
        <v>91</v>
      </c>
      <c r="R1161">
        <v>6</v>
      </c>
      <c r="S1161">
        <v>6</v>
      </c>
      <c r="T1161">
        <v>1974</v>
      </c>
      <c r="U1161">
        <v>1974</v>
      </c>
      <c r="V1161" t="s">
        <v>151</v>
      </c>
      <c r="W1161" t="s">
        <v>93</v>
      </c>
      <c r="X1161" t="s">
        <v>139</v>
      </c>
      <c r="Y1161" t="s">
        <v>139</v>
      </c>
      <c r="Z1161" t="s">
        <v>95</v>
      </c>
      <c r="AA1161">
        <v>270</v>
      </c>
      <c r="AB1161" t="s">
        <v>96</v>
      </c>
      <c r="AC1161" t="s">
        <v>97</v>
      </c>
      <c r="AD1161" t="s">
        <v>117</v>
      </c>
      <c r="AE1161" t="s">
        <v>97</v>
      </c>
      <c r="AF1161" t="s">
        <v>97</v>
      </c>
      <c r="AG1161" t="s">
        <v>99</v>
      </c>
      <c r="AH1161" t="s">
        <v>118</v>
      </c>
      <c r="AI1161">
        <v>442</v>
      </c>
      <c r="AJ1161" t="s">
        <v>101</v>
      </c>
      <c r="AK1161">
        <v>0</v>
      </c>
      <c r="AL1161">
        <v>459</v>
      </c>
      <c r="AM1161">
        <v>901</v>
      </c>
      <c r="AN1161" t="s">
        <v>102</v>
      </c>
      <c r="AO1161" t="s">
        <v>97</v>
      </c>
      <c r="AP1161" t="s">
        <v>104</v>
      </c>
      <c r="AQ1161" t="s">
        <v>105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96</v>
      </c>
      <c r="BC1161">
        <v>8</v>
      </c>
      <c r="BD1161" t="s">
        <v>106</v>
      </c>
      <c r="BE1161">
        <v>1</v>
      </c>
      <c r="BF1161" t="s">
        <v>97</v>
      </c>
      <c r="BG1161" t="s">
        <v>107</v>
      </c>
      <c r="BH1161">
        <v>1974</v>
      </c>
      <c r="BI1161" t="s">
        <v>108</v>
      </c>
      <c r="BJ1161">
        <v>2</v>
      </c>
      <c r="BK1161">
        <v>540</v>
      </c>
      <c r="BL1161" t="s">
        <v>96</v>
      </c>
      <c r="BM1161" t="s">
        <v>97</v>
      </c>
      <c r="BN1161" t="s">
        <v>104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X1161">
        <v>0</v>
      </c>
      <c r="BY1161">
        <v>7</v>
      </c>
      <c r="BZ1161">
        <v>2008</v>
      </c>
      <c r="CA1161" t="s">
        <v>109</v>
      </c>
      <c r="CB1161" t="s">
        <v>110</v>
      </c>
      <c r="CC1161">
        <v>185000</v>
      </c>
    </row>
    <row r="1162" spans="1:81" x14ac:dyDescent="0.3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H1162" t="s">
        <v>83</v>
      </c>
      <c r="I1162" t="s">
        <v>84</v>
      </c>
      <c r="J1162" t="s">
        <v>85</v>
      </c>
      <c r="K1162" t="s">
        <v>86</v>
      </c>
      <c r="L1162" t="s">
        <v>87</v>
      </c>
      <c r="M1162" t="s">
        <v>215</v>
      </c>
      <c r="N1162" t="s">
        <v>89</v>
      </c>
      <c r="O1162" t="s">
        <v>89</v>
      </c>
      <c r="P1162" t="s">
        <v>197</v>
      </c>
      <c r="Q1162" t="s">
        <v>91</v>
      </c>
      <c r="R1162">
        <v>6</v>
      </c>
      <c r="S1162">
        <v>5</v>
      </c>
      <c r="T1162">
        <v>1978</v>
      </c>
      <c r="U1162">
        <v>1978</v>
      </c>
      <c r="V1162" t="s">
        <v>92</v>
      </c>
      <c r="W1162" t="s">
        <v>93</v>
      </c>
      <c r="X1162" t="s">
        <v>160</v>
      </c>
      <c r="Y1162" t="s">
        <v>225</v>
      </c>
      <c r="Z1162" t="s">
        <v>116</v>
      </c>
      <c r="AA1162">
        <v>0</v>
      </c>
      <c r="AB1162" t="s">
        <v>97</v>
      </c>
      <c r="AC1162" t="s">
        <v>97</v>
      </c>
      <c r="AD1162" t="s">
        <v>117</v>
      </c>
      <c r="AE1162" t="s">
        <v>96</v>
      </c>
      <c r="AF1162" t="s">
        <v>97</v>
      </c>
      <c r="AG1162" t="s">
        <v>99</v>
      </c>
      <c r="AH1162" t="s">
        <v>118</v>
      </c>
      <c r="AI1162">
        <v>311</v>
      </c>
      <c r="AJ1162" t="s">
        <v>101</v>
      </c>
      <c r="AK1162">
        <v>0</v>
      </c>
      <c r="AL1162">
        <v>544</v>
      </c>
      <c r="AM1162">
        <v>855</v>
      </c>
      <c r="AN1162" t="s">
        <v>102</v>
      </c>
      <c r="AO1162" t="s">
        <v>146</v>
      </c>
      <c r="AP1162" t="s">
        <v>104</v>
      </c>
      <c r="AQ1162" t="s">
        <v>105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97</v>
      </c>
      <c r="BC1162">
        <v>7</v>
      </c>
      <c r="BD1162" t="s">
        <v>106</v>
      </c>
      <c r="BE1162">
        <v>1</v>
      </c>
      <c r="BF1162" t="s">
        <v>97</v>
      </c>
      <c r="BG1162" t="s">
        <v>107</v>
      </c>
      <c r="BH1162">
        <v>1978</v>
      </c>
      <c r="BI1162" t="s">
        <v>101</v>
      </c>
      <c r="BJ1162">
        <v>2</v>
      </c>
      <c r="BK1162">
        <v>440</v>
      </c>
      <c r="BL1162" t="s">
        <v>97</v>
      </c>
      <c r="BM1162" t="s">
        <v>97</v>
      </c>
      <c r="BN1162" t="s">
        <v>104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X1162">
        <v>0</v>
      </c>
      <c r="BY1162">
        <v>7</v>
      </c>
      <c r="BZ1162">
        <v>2010</v>
      </c>
      <c r="CA1162" t="s">
        <v>109</v>
      </c>
      <c r="CB1162" t="s">
        <v>110</v>
      </c>
      <c r="CC1162">
        <v>146000</v>
      </c>
    </row>
    <row r="1163" spans="1:81" x14ac:dyDescent="0.3">
      <c r="A1163">
        <v>1162</v>
      </c>
      <c r="B1163">
        <v>20</v>
      </c>
      <c r="C1163" t="s">
        <v>81</v>
      </c>
      <c r="E1163">
        <v>14778</v>
      </c>
      <c r="F1163" t="s">
        <v>82</v>
      </c>
      <c r="H1163" t="s">
        <v>119</v>
      </c>
      <c r="I1163" t="s">
        <v>194</v>
      </c>
      <c r="J1163" t="s">
        <v>85</v>
      </c>
      <c r="K1163" t="s">
        <v>165</v>
      </c>
      <c r="L1163" t="s">
        <v>87</v>
      </c>
      <c r="M1163" t="s">
        <v>122</v>
      </c>
      <c r="N1163" t="s">
        <v>138</v>
      </c>
      <c r="O1163" t="s">
        <v>89</v>
      </c>
      <c r="P1163" t="s">
        <v>90</v>
      </c>
      <c r="Q1163" t="s">
        <v>114</v>
      </c>
      <c r="R1163">
        <v>6</v>
      </c>
      <c r="S1163">
        <v>7</v>
      </c>
      <c r="T1163">
        <v>1954</v>
      </c>
      <c r="U1163">
        <v>2006</v>
      </c>
      <c r="V1163" t="s">
        <v>151</v>
      </c>
      <c r="W1163" t="s">
        <v>93</v>
      </c>
      <c r="X1163" t="s">
        <v>139</v>
      </c>
      <c r="Y1163" t="s">
        <v>139</v>
      </c>
      <c r="Z1163" t="s">
        <v>95</v>
      </c>
      <c r="AA1163">
        <v>72</v>
      </c>
      <c r="AB1163" t="s">
        <v>96</v>
      </c>
      <c r="AC1163" t="s">
        <v>97</v>
      </c>
      <c r="AD1163" t="s">
        <v>117</v>
      </c>
      <c r="AE1163" t="s">
        <v>97</v>
      </c>
      <c r="AF1163" t="s">
        <v>97</v>
      </c>
      <c r="AG1163" t="s">
        <v>99</v>
      </c>
      <c r="AH1163" t="s">
        <v>140</v>
      </c>
      <c r="AI1163">
        <v>728</v>
      </c>
      <c r="AJ1163" t="s">
        <v>101</v>
      </c>
      <c r="AK1163">
        <v>0</v>
      </c>
      <c r="AL1163">
        <v>568</v>
      </c>
      <c r="AM1163">
        <v>1296</v>
      </c>
      <c r="AN1163" t="s">
        <v>102</v>
      </c>
      <c r="AO1163" t="s">
        <v>103</v>
      </c>
      <c r="AP1163" t="s">
        <v>104</v>
      </c>
      <c r="AQ1163" t="s">
        <v>105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96</v>
      </c>
      <c r="BC1163">
        <v>7</v>
      </c>
      <c r="BD1163" t="s">
        <v>106</v>
      </c>
      <c r="BE1163">
        <v>1</v>
      </c>
      <c r="BF1163" t="s">
        <v>96</v>
      </c>
      <c r="BG1163" t="s">
        <v>126</v>
      </c>
      <c r="BH1163">
        <v>1993</v>
      </c>
      <c r="BI1163" t="s">
        <v>101</v>
      </c>
      <c r="BJ1163">
        <v>2</v>
      </c>
      <c r="BK1163">
        <v>924</v>
      </c>
      <c r="BL1163" t="s">
        <v>97</v>
      </c>
      <c r="BM1163" t="s">
        <v>97</v>
      </c>
      <c r="BN1163" t="s">
        <v>104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X1163">
        <v>0</v>
      </c>
      <c r="BY1163">
        <v>11</v>
      </c>
      <c r="BZ1163">
        <v>2008</v>
      </c>
      <c r="CA1163" t="s">
        <v>109</v>
      </c>
      <c r="CB1163" t="s">
        <v>110</v>
      </c>
      <c r="CC1163">
        <v>224000</v>
      </c>
    </row>
    <row r="1164" spans="1:81" x14ac:dyDescent="0.3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H1164" t="s">
        <v>83</v>
      </c>
      <c r="I1164" t="s">
        <v>84</v>
      </c>
      <c r="J1164" t="s">
        <v>85</v>
      </c>
      <c r="K1164" t="s">
        <v>86</v>
      </c>
      <c r="L1164" t="s">
        <v>87</v>
      </c>
      <c r="M1164" t="s">
        <v>150</v>
      </c>
      <c r="N1164" t="s">
        <v>89</v>
      </c>
      <c r="O1164" t="s">
        <v>89</v>
      </c>
      <c r="P1164" t="s">
        <v>90</v>
      </c>
      <c r="Q1164" t="s">
        <v>114</v>
      </c>
      <c r="R1164">
        <v>5</v>
      </c>
      <c r="S1164">
        <v>5</v>
      </c>
      <c r="T1164">
        <v>1968</v>
      </c>
      <c r="U1164">
        <v>1968</v>
      </c>
      <c r="V1164" t="s">
        <v>92</v>
      </c>
      <c r="W1164" t="s">
        <v>93</v>
      </c>
      <c r="X1164" t="s">
        <v>94</v>
      </c>
      <c r="Y1164" t="s">
        <v>94</v>
      </c>
      <c r="Z1164" t="s">
        <v>116</v>
      </c>
      <c r="AA1164">
        <v>0</v>
      </c>
      <c r="AB1164" t="s">
        <v>97</v>
      </c>
      <c r="AC1164" t="s">
        <v>97</v>
      </c>
      <c r="AD1164" t="s">
        <v>117</v>
      </c>
      <c r="AE1164" t="s">
        <v>96</v>
      </c>
      <c r="AF1164" t="s">
        <v>97</v>
      </c>
      <c r="AG1164" t="s">
        <v>99</v>
      </c>
      <c r="AH1164" t="s">
        <v>140</v>
      </c>
      <c r="AI1164">
        <v>492</v>
      </c>
      <c r="AJ1164" t="s">
        <v>101</v>
      </c>
      <c r="AK1164">
        <v>0</v>
      </c>
      <c r="AL1164">
        <v>402</v>
      </c>
      <c r="AM1164">
        <v>894</v>
      </c>
      <c r="AN1164" t="s">
        <v>102</v>
      </c>
      <c r="AO1164" t="s">
        <v>96</v>
      </c>
      <c r="AP1164" t="s">
        <v>104</v>
      </c>
      <c r="AQ1164" t="s">
        <v>105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97</v>
      </c>
      <c r="BC1164">
        <v>5</v>
      </c>
      <c r="BD1164" t="s">
        <v>106</v>
      </c>
      <c r="BE1164">
        <v>1</v>
      </c>
      <c r="BF1164" t="s">
        <v>211</v>
      </c>
      <c r="BG1164" t="s">
        <v>107</v>
      </c>
      <c r="BH1164">
        <v>1968</v>
      </c>
      <c r="BI1164" t="s">
        <v>156</v>
      </c>
      <c r="BJ1164">
        <v>2</v>
      </c>
      <c r="BK1164">
        <v>450</v>
      </c>
      <c r="BL1164" t="s">
        <v>97</v>
      </c>
      <c r="BM1164" t="s">
        <v>97</v>
      </c>
      <c r="BN1164" t="s">
        <v>104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X1164">
        <v>0</v>
      </c>
      <c r="BY1164">
        <v>5</v>
      </c>
      <c r="BZ1164">
        <v>2007</v>
      </c>
      <c r="CA1164" t="s">
        <v>109</v>
      </c>
      <c r="CB1164" t="s">
        <v>110</v>
      </c>
      <c r="CC1164">
        <v>129000</v>
      </c>
    </row>
    <row r="1165" spans="1:81" x14ac:dyDescent="0.3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H1165" t="s">
        <v>83</v>
      </c>
      <c r="I1165" t="s">
        <v>84</v>
      </c>
      <c r="J1165" t="s">
        <v>85</v>
      </c>
      <c r="K1165" t="s">
        <v>86</v>
      </c>
      <c r="L1165" t="s">
        <v>87</v>
      </c>
      <c r="M1165" t="s">
        <v>150</v>
      </c>
      <c r="N1165" t="s">
        <v>113</v>
      </c>
      <c r="O1165" t="s">
        <v>89</v>
      </c>
      <c r="P1165" t="s">
        <v>166</v>
      </c>
      <c r="Q1165" t="s">
        <v>190</v>
      </c>
      <c r="R1165">
        <v>4</v>
      </c>
      <c r="S1165">
        <v>4</v>
      </c>
      <c r="T1165">
        <v>1969</v>
      </c>
      <c r="U1165">
        <v>1969</v>
      </c>
      <c r="V1165" t="s">
        <v>92</v>
      </c>
      <c r="W1165" t="s">
        <v>93</v>
      </c>
      <c r="X1165" t="s">
        <v>160</v>
      </c>
      <c r="Y1165" t="s">
        <v>160</v>
      </c>
      <c r="Z1165" t="s">
        <v>116</v>
      </c>
      <c r="AA1165">
        <v>0</v>
      </c>
      <c r="AB1165" t="s">
        <v>97</v>
      </c>
      <c r="AC1165" t="s">
        <v>97</v>
      </c>
      <c r="AD1165" t="s">
        <v>117</v>
      </c>
      <c r="AE1165" t="s">
        <v>96</v>
      </c>
      <c r="AF1165" t="s">
        <v>97</v>
      </c>
      <c r="AG1165" t="s">
        <v>129</v>
      </c>
      <c r="AH1165" t="s">
        <v>100</v>
      </c>
      <c r="AI1165">
        <v>1198</v>
      </c>
      <c r="AJ1165" t="s">
        <v>101</v>
      </c>
      <c r="AK1165">
        <v>0</v>
      </c>
      <c r="AL1165">
        <v>0</v>
      </c>
      <c r="AM1165">
        <v>1198</v>
      </c>
      <c r="AN1165" t="s">
        <v>102</v>
      </c>
      <c r="AO1165" t="s">
        <v>97</v>
      </c>
      <c r="AP1165" t="s">
        <v>104</v>
      </c>
      <c r="AQ1165" t="s">
        <v>105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97</v>
      </c>
      <c r="BC1165">
        <v>6</v>
      </c>
      <c r="BD1165" t="s">
        <v>106</v>
      </c>
      <c r="BE1165">
        <v>0</v>
      </c>
      <c r="BG1165" t="s">
        <v>168</v>
      </c>
      <c r="BH1165">
        <v>1969</v>
      </c>
      <c r="BI1165" t="s">
        <v>101</v>
      </c>
      <c r="BJ1165">
        <v>2</v>
      </c>
      <c r="BK1165">
        <v>400</v>
      </c>
      <c r="BL1165" t="s">
        <v>146</v>
      </c>
      <c r="BM1165" t="s">
        <v>97</v>
      </c>
      <c r="BN1165" t="s">
        <v>104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X1165">
        <v>0</v>
      </c>
      <c r="BY1165">
        <v>1</v>
      </c>
      <c r="BZ1165">
        <v>2008</v>
      </c>
      <c r="CA1165" t="s">
        <v>109</v>
      </c>
      <c r="CB1165" t="s">
        <v>209</v>
      </c>
      <c r="CC1165">
        <v>108959</v>
      </c>
    </row>
    <row r="1166" spans="1:81" x14ac:dyDescent="0.3">
      <c r="A1166">
        <v>1165</v>
      </c>
      <c r="B1166">
        <v>80</v>
      </c>
      <c r="C1166" t="s">
        <v>81</v>
      </c>
      <c r="E1166">
        <v>16157</v>
      </c>
      <c r="F1166" t="s">
        <v>82</v>
      </c>
      <c r="H1166" t="s">
        <v>119</v>
      </c>
      <c r="I1166" t="s">
        <v>84</v>
      </c>
      <c r="J1166" t="s">
        <v>85</v>
      </c>
      <c r="K1166" t="s">
        <v>111</v>
      </c>
      <c r="L1166" t="s">
        <v>87</v>
      </c>
      <c r="M1166" t="s">
        <v>112</v>
      </c>
      <c r="N1166" t="s">
        <v>113</v>
      </c>
      <c r="O1166" t="s">
        <v>89</v>
      </c>
      <c r="P1166" t="s">
        <v>90</v>
      </c>
      <c r="Q1166" t="s">
        <v>196</v>
      </c>
      <c r="R1166">
        <v>5</v>
      </c>
      <c r="S1166">
        <v>7</v>
      </c>
      <c r="T1166">
        <v>1978</v>
      </c>
      <c r="U1166">
        <v>1978</v>
      </c>
      <c r="V1166" t="s">
        <v>92</v>
      </c>
      <c r="W1166" t="s">
        <v>93</v>
      </c>
      <c r="X1166" t="s">
        <v>160</v>
      </c>
      <c r="Y1166" t="s">
        <v>160</v>
      </c>
      <c r="Z1166" t="s">
        <v>116</v>
      </c>
      <c r="AA1166">
        <v>0</v>
      </c>
      <c r="AB1166" t="s">
        <v>97</v>
      </c>
      <c r="AC1166" t="s">
        <v>97</v>
      </c>
      <c r="AD1166" t="s">
        <v>98</v>
      </c>
      <c r="AE1166" t="s">
        <v>96</v>
      </c>
      <c r="AF1166" t="s">
        <v>97</v>
      </c>
      <c r="AG1166" t="s">
        <v>96</v>
      </c>
      <c r="AH1166" t="s">
        <v>118</v>
      </c>
      <c r="AI1166">
        <v>680</v>
      </c>
      <c r="AJ1166" t="s">
        <v>152</v>
      </c>
      <c r="AK1166">
        <v>391</v>
      </c>
      <c r="AL1166">
        <v>289</v>
      </c>
      <c r="AM1166">
        <v>1360</v>
      </c>
      <c r="AN1166" t="s">
        <v>102</v>
      </c>
      <c r="AO1166" t="s">
        <v>103</v>
      </c>
      <c r="AP1166" t="s">
        <v>104</v>
      </c>
      <c r="AQ1166" t="s">
        <v>105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96</v>
      </c>
      <c r="BC1166">
        <v>5</v>
      </c>
      <c r="BD1166" t="s">
        <v>106</v>
      </c>
      <c r="BE1166">
        <v>1</v>
      </c>
      <c r="BF1166" t="s">
        <v>97</v>
      </c>
      <c r="BG1166" t="s">
        <v>107</v>
      </c>
      <c r="BH1166">
        <v>1978</v>
      </c>
      <c r="BI1166" t="s">
        <v>101</v>
      </c>
      <c r="BJ1166">
        <v>2</v>
      </c>
      <c r="BK1166">
        <v>588</v>
      </c>
      <c r="BL1166" t="s">
        <v>97</v>
      </c>
      <c r="BM1166" t="s">
        <v>97</v>
      </c>
      <c r="BN1166" t="s">
        <v>104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X1166">
        <v>0</v>
      </c>
      <c r="BY1166">
        <v>6</v>
      </c>
      <c r="BZ1166">
        <v>2007</v>
      </c>
      <c r="CA1166" t="s">
        <v>109</v>
      </c>
      <c r="CB1166" t="s">
        <v>110</v>
      </c>
      <c r="CC1166">
        <v>194000</v>
      </c>
    </row>
    <row r="1167" spans="1:81" x14ac:dyDescent="0.3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H1167" t="s">
        <v>119</v>
      </c>
      <c r="I1167" t="s">
        <v>84</v>
      </c>
      <c r="J1167" t="s">
        <v>85</v>
      </c>
      <c r="K1167" t="s">
        <v>86</v>
      </c>
      <c r="L1167" t="s">
        <v>87</v>
      </c>
      <c r="M1167" t="s">
        <v>153</v>
      </c>
      <c r="N1167" t="s">
        <v>89</v>
      </c>
      <c r="O1167" t="s">
        <v>89</v>
      </c>
      <c r="P1167" t="s">
        <v>90</v>
      </c>
      <c r="Q1167" t="s">
        <v>114</v>
      </c>
      <c r="R1167">
        <v>7</v>
      </c>
      <c r="S1167">
        <v>5</v>
      </c>
      <c r="T1167">
        <v>2009</v>
      </c>
      <c r="U1167">
        <v>2009</v>
      </c>
      <c r="V1167" t="s">
        <v>92</v>
      </c>
      <c r="W1167" t="s">
        <v>93</v>
      </c>
      <c r="X1167" t="s">
        <v>94</v>
      </c>
      <c r="Y1167" t="s">
        <v>94</v>
      </c>
      <c r="Z1167" t="s">
        <v>136</v>
      </c>
      <c r="AA1167">
        <v>268</v>
      </c>
      <c r="AB1167" t="s">
        <v>96</v>
      </c>
      <c r="AC1167" t="s">
        <v>97</v>
      </c>
      <c r="AD1167" t="s">
        <v>98</v>
      </c>
      <c r="AE1167" t="s">
        <v>96</v>
      </c>
      <c r="AF1167" t="s">
        <v>97</v>
      </c>
      <c r="AG1167" t="s">
        <v>99</v>
      </c>
      <c r="AH1167" t="s">
        <v>101</v>
      </c>
      <c r="AI1167">
        <v>0</v>
      </c>
      <c r="AJ1167" t="s">
        <v>101</v>
      </c>
      <c r="AK1167">
        <v>0</v>
      </c>
      <c r="AL1167">
        <v>1502</v>
      </c>
      <c r="AM1167">
        <v>1502</v>
      </c>
      <c r="AN1167" t="s">
        <v>102</v>
      </c>
      <c r="AO1167" t="s">
        <v>103</v>
      </c>
      <c r="AP1167" t="s">
        <v>104</v>
      </c>
      <c r="AQ1167" t="s">
        <v>105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96</v>
      </c>
      <c r="BC1167">
        <v>7</v>
      </c>
      <c r="BD1167" t="s">
        <v>106</v>
      </c>
      <c r="BE1167">
        <v>0</v>
      </c>
      <c r="BG1167" t="s">
        <v>107</v>
      </c>
      <c r="BH1167">
        <v>2009</v>
      </c>
      <c r="BI1167" t="s">
        <v>108</v>
      </c>
      <c r="BJ1167">
        <v>2</v>
      </c>
      <c r="BK1167">
        <v>644</v>
      </c>
      <c r="BL1167" t="s">
        <v>97</v>
      </c>
      <c r="BM1167" t="s">
        <v>97</v>
      </c>
      <c r="BN1167" t="s">
        <v>104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X1167">
        <v>0</v>
      </c>
      <c r="BY1167">
        <v>9</v>
      </c>
      <c r="BZ1167">
        <v>2009</v>
      </c>
      <c r="CA1167" t="s">
        <v>157</v>
      </c>
      <c r="CB1167" t="s">
        <v>158</v>
      </c>
      <c r="CC1167">
        <v>233170</v>
      </c>
    </row>
    <row r="1168" spans="1:81" x14ac:dyDescent="0.3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H1168" t="s">
        <v>119</v>
      </c>
      <c r="I1168" t="s">
        <v>84</v>
      </c>
      <c r="J1168" t="s">
        <v>85</v>
      </c>
      <c r="K1168" t="s">
        <v>121</v>
      </c>
      <c r="L1168" t="s">
        <v>87</v>
      </c>
      <c r="M1168" t="s">
        <v>88</v>
      </c>
      <c r="N1168" t="s">
        <v>89</v>
      </c>
      <c r="O1168" t="s">
        <v>89</v>
      </c>
      <c r="P1168" t="s">
        <v>90</v>
      </c>
      <c r="Q1168" t="s">
        <v>114</v>
      </c>
      <c r="R1168">
        <v>8</v>
      </c>
      <c r="S1168">
        <v>5</v>
      </c>
      <c r="T1168">
        <v>2008</v>
      </c>
      <c r="U1168">
        <v>2008</v>
      </c>
      <c r="V1168" t="s">
        <v>92</v>
      </c>
      <c r="W1168" t="s">
        <v>93</v>
      </c>
      <c r="X1168" t="s">
        <v>94</v>
      </c>
      <c r="Y1168" t="s">
        <v>94</v>
      </c>
      <c r="Z1168" t="s">
        <v>136</v>
      </c>
      <c r="AA1168">
        <v>72</v>
      </c>
      <c r="AB1168" t="s">
        <v>96</v>
      </c>
      <c r="AC1168" t="s">
        <v>97</v>
      </c>
      <c r="AD1168" t="s">
        <v>98</v>
      </c>
      <c r="AE1168" t="s">
        <v>96</v>
      </c>
      <c r="AF1168" t="s">
        <v>97</v>
      </c>
      <c r="AG1168" t="s">
        <v>129</v>
      </c>
      <c r="AH1168" t="s">
        <v>101</v>
      </c>
      <c r="AI1168">
        <v>0</v>
      </c>
      <c r="AJ1168" t="s">
        <v>101</v>
      </c>
      <c r="AK1168">
        <v>0</v>
      </c>
      <c r="AL1168">
        <v>1694</v>
      </c>
      <c r="AM1168">
        <v>1694</v>
      </c>
      <c r="AN1168" t="s">
        <v>102</v>
      </c>
      <c r="AO1168" t="s">
        <v>103</v>
      </c>
      <c r="AP1168" t="s">
        <v>104</v>
      </c>
      <c r="AQ1168" t="s">
        <v>105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96</v>
      </c>
      <c r="BC1168">
        <v>7</v>
      </c>
      <c r="BD1168" t="s">
        <v>106</v>
      </c>
      <c r="BE1168">
        <v>0</v>
      </c>
      <c r="BG1168" t="s">
        <v>107</v>
      </c>
      <c r="BH1168">
        <v>2008</v>
      </c>
      <c r="BI1168" t="s">
        <v>108</v>
      </c>
      <c r="BJ1168">
        <v>3</v>
      </c>
      <c r="BK1168">
        <v>776</v>
      </c>
      <c r="BL1168" t="s">
        <v>97</v>
      </c>
      <c r="BM1168" t="s">
        <v>97</v>
      </c>
      <c r="BN1168" t="s">
        <v>104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X1168">
        <v>0</v>
      </c>
      <c r="BY1168">
        <v>2</v>
      </c>
      <c r="BZ1168">
        <v>2010</v>
      </c>
      <c r="CA1168" t="s">
        <v>109</v>
      </c>
      <c r="CB1168" t="s">
        <v>110</v>
      </c>
      <c r="CC1168">
        <v>245350</v>
      </c>
    </row>
    <row r="1169" spans="1:81" x14ac:dyDescent="0.3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H1169" t="s">
        <v>119</v>
      </c>
      <c r="I1169" t="s">
        <v>84</v>
      </c>
      <c r="J1169" t="s">
        <v>85</v>
      </c>
      <c r="K1169" t="s">
        <v>86</v>
      </c>
      <c r="L1169" t="s">
        <v>87</v>
      </c>
      <c r="M1169" t="s">
        <v>192</v>
      </c>
      <c r="N1169" t="s">
        <v>201</v>
      </c>
      <c r="O1169" t="s">
        <v>89</v>
      </c>
      <c r="P1169" t="s">
        <v>90</v>
      </c>
      <c r="Q1169" t="s">
        <v>91</v>
      </c>
      <c r="R1169">
        <v>6</v>
      </c>
      <c r="S1169">
        <v>5</v>
      </c>
      <c r="T1169">
        <v>2000</v>
      </c>
      <c r="U1169">
        <v>2000</v>
      </c>
      <c r="V1169" t="s">
        <v>92</v>
      </c>
      <c r="W1169" t="s">
        <v>93</v>
      </c>
      <c r="X1169" t="s">
        <v>94</v>
      </c>
      <c r="Y1169" t="s">
        <v>94</v>
      </c>
      <c r="Z1169" t="s">
        <v>116</v>
      </c>
      <c r="AA1169">
        <v>0</v>
      </c>
      <c r="AB1169" t="s">
        <v>97</v>
      </c>
      <c r="AC1169" t="s">
        <v>97</v>
      </c>
      <c r="AD1169" t="s">
        <v>98</v>
      </c>
      <c r="AE1169" t="s">
        <v>96</v>
      </c>
      <c r="AF1169" t="s">
        <v>97</v>
      </c>
      <c r="AG1169" t="s">
        <v>99</v>
      </c>
      <c r="AH1169" t="s">
        <v>100</v>
      </c>
      <c r="AI1169">
        <v>786</v>
      </c>
      <c r="AJ1169" t="s">
        <v>101</v>
      </c>
      <c r="AK1169">
        <v>0</v>
      </c>
      <c r="AL1169">
        <v>173</v>
      </c>
      <c r="AM1169">
        <v>959</v>
      </c>
      <c r="AN1169" t="s">
        <v>102</v>
      </c>
      <c r="AO1169" t="s">
        <v>103</v>
      </c>
      <c r="AP1169" t="s">
        <v>104</v>
      </c>
      <c r="AQ1169" t="s">
        <v>105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97</v>
      </c>
      <c r="BC1169">
        <v>7</v>
      </c>
      <c r="BD1169" t="s">
        <v>106</v>
      </c>
      <c r="BE1169">
        <v>1</v>
      </c>
      <c r="BF1169" t="s">
        <v>97</v>
      </c>
      <c r="BG1169" t="s">
        <v>107</v>
      </c>
      <c r="BH1169">
        <v>2000</v>
      </c>
      <c r="BI1169" t="s">
        <v>156</v>
      </c>
      <c r="BJ1169">
        <v>2</v>
      </c>
      <c r="BK1169">
        <v>472</v>
      </c>
      <c r="BL1169" t="s">
        <v>97</v>
      </c>
      <c r="BM1169" t="s">
        <v>97</v>
      </c>
      <c r="BN1169" t="s">
        <v>104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X1169">
        <v>0</v>
      </c>
      <c r="BY1169">
        <v>2</v>
      </c>
      <c r="BZ1169">
        <v>2006</v>
      </c>
      <c r="CA1169" t="s">
        <v>109</v>
      </c>
      <c r="CB1169" t="s">
        <v>110</v>
      </c>
      <c r="CC1169">
        <v>173000</v>
      </c>
    </row>
    <row r="1170" spans="1:81" x14ac:dyDescent="0.3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H1170" t="s">
        <v>83</v>
      </c>
      <c r="I1170" t="s">
        <v>84</v>
      </c>
      <c r="J1170" t="s">
        <v>85</v>
      </c>
      <c r="K1170" t="s">
        <v>121</v>
      </c>
      <c r="L1170" t="s">
        <v>87</v>
      </c>
      <c r="M1170" t="s">
        <v>184</v>
      </c>
      <c r="N1170" t="s">
        <v>89</v>
      </c>
      <c r="O1170" t="s">
        <v>89</v>
      </c>
      <c r="P1170" t="s">
        <v>90</v>
      </c>
      <c r="Q1170" t="s">
        <v>91</v>
      </c>
      <c r="R1170">
        <v>6</v>
      </c>
      <c r="S1170">
        <v>7</v>
      </c>
      <c r="T1170">
        <v>1935</v>
      </c>
      <c r="U1170">
        <v>1986</v>
      </c>
      <c r="V1170" t="s">
        <v>151</v>
      </c>
      <c r="W1170" t="s">
        <v>93</v>
      </c>
      <c r="X1170" t="s">
        <v>202</v>
      </c>
      <c r="Y1170" t="s">
        <v>202</v>
      </c>
      <c r="Z1170" t="s">
        <v>116</v>
      </c>
      <c r="AA1170">
        <v>0</v>
      </c>
      <c r="AB1170" t="s">
        <v>97</v>
      </c>
      <c r="AC1170" t="s">
        <v>97</v>
      </c>
      <c r="AD1170" t="s">
        <v>117</v>
      </c>
      <c r="AE1170" t="s">
        <v>97</v>
      </c>
      <c r="AF1170" t="s">
        <v>97</v>
      </c>
      <c r="AG1170" t="s">
        <v>99</v>
      </c>
      <c r="AH1170" t="s">
        <v>152</v>
      </c>
      <c r="AI1170">
        <v>626</v>
      </c>
      <c r="AJ1170" t="s">
        <v>101</v>
      </c>
      <c r="AK1170">
        <v>0</v>
      </c>
      <c r="AL1170">
        <v>501</v>
      </c>
      <c r="AM1170">
        <v>1127</v>
      </c>
      <c r="AN1170" t="s">
        <v>102</v>
      </c>
      <c r="AO1170" t="s">
        <v>103</v>
      </c>
      <c r="AP1170" t="s">
        <v>104</v>
      </c>
      <c r="AQ1170" t="s">
        <v>105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96</v>
      </c>
      <c r="BC1170">
        <v>7</v>
      </c>
      <c r="BD1170" t="s">
        <v>106</v>
      </c>
      <c r="BE1170">
        <v>2</v>
      </c>
      <c r="BF1170" t="s">
        <v>97</v>
      </c>
      <c r="BG1170" t="s">
        <v>208</v>
      </c>
      <c r="BH1170">
        <v>1935</v>
      </c>
      <c r="BI1170" t="s">
        <v>101</v>
      </c>
      <c r="BJ1170">
        <v>2</v>
      </c>
      <c r="BK1170">
        <v>540</v>
      </c>
      <c r="BL1170" t="s">
        <v>97</v>
      </c>
      <c r="BM1170" t="s">
        <v>97</v>
      </c>
      <c r="BN1170" t="s">
        <v>104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X1170">
        <v>0</v>
      </c>
      <c r="BY1170">
        <v>7</v>
      </c>
      <c r="BZ1170">
        <v>2008</v>
      </c>
      <c r="CA1170" t="s">
        <v>109</v>
      </c>
      <c r="CB1170" t="s">
        <v>110</v>
      </c>
      <c r="CC1170">
        <v>235000</v>
      </c>
    </row>
    <row r="1171" spans="1:81" x14ac:dyDescent="0.3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H1171" t="s">
        <v>119</v>
      </c>
      <c r="I1171" t="s">
        <v>84</v>
      </c>
      <c r="J1171" t="s">
        <v>85</v>
      </c>
      <c r="K1171" t="s">
        <v>165</v>
      </c>
      <c r="L1171" t="s">
        <v>87</v>
      </c>
      <c r="M1171" t="s">
        <v>128</v>
      </c>
      <c r="N1171" t="s">
        <v>89</v>
      </c>
      <c r="O1171" t="s">
        <v>89</v>
      </c>
      <c r="P1171" t="s">
        <v>90</v>
      </c>
      <c r="Q1171" t="s">
        <v>91</v>
      </c>
      <c r="R1171">
        <v>10</v>
      </c>
      <c r="S1171">
        <v>5</v>
      </c>
      <c r="T1171">
        <v>1995</v>
      </c>
      <c r="U1171">
        <v>1996</v>
      </c>
      <c r="V1171" t="s">
        <v>151</v>
      </c>
      <c r="W1171" t="s">
        <v>93</v>
      </c>
      <c r="X1171" t="s">
        <v>139</v>
      </c>
      <c r="Y1171" t="s">
        <v>139</v>
      </c>
      <c r="Z1171" t="s">
        <v>95</v>
      </c>
      <c r="AA1171">
        <v>1378</v>
      </c>
      <c r="AB1171" t="s">
        <v>96</v>
      </c>
      <c r="AC1171" t="s">
        <v>96</v>
      </c>
      <c r="AD1171" t="s">
        <v>98</v>
      </c>
      <c r="AE1171" t="s">
        <v>103</v>
      </c>
      <c r="AF1171" t="s">
        <v>97</v>
      </c>
      <c r="AG1171" t="s">
        <v>96</v>
      </c>
      <c r="AH1171" t="s">
        <v>100</v>
      </c>
      <c r="AI1171">
        <v>1387</v>
      </c>
      <c r="AJ1171" t="s">
        <v>101</v>
      </c>
      <c r="AK1171">
        <v>0</v>
      </c>
      <c r="AL1171">
        <v>543</v>
      </c>
      <c r="AM1171">
        <v>1930</v>
      </c>
      <c r="AN1171" t="s">
        <v>102</v>
      </c>
      <c r="AO1171" t="s">
        <v>103</v>
      </c>
      <c r="AP1171" t="s">
        <v>104</v>
      </c>
      <c r="AQ1171" t="s">
        <v>105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96</v>
      </c>
      <c r="BC1171">
        <v>10</v>
      </c>
      <c r="BD1171" t="s">
        <v>106</v>
      </c>
      <c r="BE1171">
        <v>1</v>
      </c>
      <c r="BF1171" t="s">
        <v>97</v>
      </c>
      <c r="BG1171" t="s">
        <v>107</v>
      </c>
      <c r="BH1171">
        <v>1995</v>
      </c>
      <c r="BI1171" t="s">
        <v>156</v>
      </c>
      <c r="BJ1171">
        <v>3</v>
      </c>
      <c r="BK1171">
        <v>807</v>
      </c>
      <c r="BL1171" t="s">
        <v>97</v>
      </c>
      <c r="BM1171" t="s">
        <v>97</v>
      </c>
      <c r="BN1171" t="s">
        <v>104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X1171">
        <v>0</v>
      </c>
      <c r="BY1171">
        <v>7</v>
      </c>
      <c r="BZ1171">
        <v>2006</v>
      </c>
      <c r="CA1171" t="s">
        <v>109</v>
      </c>
      <c r="CB1171" t="s">
        <v>110</v>
      </c>
      <c r="CC1171">
        <v>625000</v>
      </c>
    </row>
    <row r="1172" spans="1:81" x14ac:dyDescent="0.3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H1172" t="s">
        <v>83</v>
      </c>
      <c r="I1172" t="s">
        <v>84</v>
      </c>
      <c r="J1172" t="s">
        <v>85</v>
      </c>
      <c r="K1172" t="s">
        <v>86</v>
      </c>
      <c r="L1172" t="s">
        <v>87</v>
      </c>
      <c r="M1172" t="s">
        <v>130</v>
      </c>
      <c r="N1172" t="s">
        <v>89</v>
      </c>
      <c r="O1172" t="s">
        <v>89</v>
      </c>
      <c r="P1172" t="s">
        <v>90</v>
      </c>
      <c r="Q1172" t="s">
        <v>196</v>
      </c>
      <c r="R1172">
        <v>6</v>
      </c>
      <c r="S1172">
        <v>6</v>
      </c>
      <c r="T1172">
        <v>1977</v>
      </c>
      <c r="U1172">
        <v>1977</v>
      </c>
      <c r="V1172" t="s">
        <v>92</v>
      </c>
      <c r="W1172" t="s">
        <v>93</v>
      </c>
      <c r="X1172" t="s">
        <v>160</v>
      </c>
      <c r="Y1172" t="s">
        <v>160</v>
      </c>
      <c r="Z1172" t="s">
        <v>116</v>
      </c>
      <c r="AA1172">
        <v>0</v>
      </c>
      <c r="AB1172" t="s">
        <v>97</v>
      </c>
      <c r="AC1172" t="s">
        <v>97</v>
      </c>
      <c r="AD1172" t="s">
        <v>117</v>
      </c>
      <c r="AE1172" t="s">
        <v>97</v>
      </c>
      <c r="AF1172" t="s">
        <v>97</v>
      </c>
      <c r="AG1172" t="s">
        <v>129</v>
      </c>
      <c r="AH1172" t="s">
        <v>118</v>
      </c>
      <c r="AI1172">
        <v>522</v>
      </c>
      <c r="AJ1172" t="s">
        <v>101</v>
      </c>
      <c r="AK1172">
        <v>0</v>
      </c>
      <c r="AL1172">
        <v>574</v>
      </c>
      <c r="AM1172">
        <v>1096</v>
      </c>
      <c r="AN1172" t="s">
        <v>102</v>
      </c>
      <c r="AO1172" t="s">
        <v>97</v>
      </c>
      <c r="AP1172" t="s">
        <v>104</v>
      </c>
      <c r="AQ1172" t="s">
        <v>105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97</v>
      </c>
      <c r="BC1172">
        <v>6</v>
      </c>
      <c r="BD1172" t="s">
        <v>106</v>
      </c>
      <c r="BE1172">
        <v>1</v>
      </c>
      <c r="BF1172" t="s">
        <v>211</v>
      </c>
      <c r="BG1172" t="s">
        <v>107</v>
      </c>
      <c r="BH1172">
        <v>1977</v>
      </c>
      <c r="BI1172" t="s">
        <v>156</v>
      </c>
      <c r="BJ1172">
        <v>1</v>
      </c>
      <c r="BK1172">
        <v>358</v>
      </c>
      <c r="BL1172" t="s">
        <v>97</v>
      </c>
      <c r="BM1172" t="s">
        <v>97</v>
      </c>
      <c r="BN1172" t="s">
        <v>104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96</v>
      </c>
      <c r="BV1172" t="s">
        <v>164</v>
      </c>
      <c r="BX1172">
        <v>0</v>
      </c>
      <c r="BY1172">
        <v>7</v>
      </c>
      <c r="BZ1172">
        <v>2008</v>
      </c>
      <c r="CA1172" t="s">
        <v>109</v>
      </c>
      <c r="CB1172" t="s">
        <v>110</v>
      </c>
      <c r="CC1172">
        <v>171000</v>
      </c>
    </row>
    <row r="1173" spans="1:81" x14ac:dyDescent="0.3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H1173" t="s">
        <v>83</v>
      </c>
      <c r="I1173" t="s">
        <v>84</v>
      </c>
      <c r="J1173" t="s">
        <v>85</v>
      </c>
      <c r="K1173" t="s">
        <v>86</v>
      </c>
      <c r="L1173" t="s">
        <v>87</v>
      </c>
      <c r="M1173" t="s">
        <v>270</v>
      </c>
      <c r="N1173" t="s">
        <v>89</v>
      </c>
      <c r="O1173" t="s">
        <v>89</v>
      </c>
      <c r="P1173" t="s">
        <v>90</v>
      </c>
      <c r="Q1173" t="s">
        <v>114</v>
      </c>
      <c r="R1173">
        <v>6</v>
      </c>
      <c r="S1173">
        <v>6</v>
      </c>
      <c r="T1173">
        <v>1958</v>
      </c>
      <c r="U1173">
        <v>1958</v>
      </c>
      <c r="V1173" t="s">
        <v>151</v>
      </c>
      <c r="W1173" t="s">
        <v>93</v>
      </c>
      <c r="X1173" t="s">
        <v>115</v>
      </c>
      <c r="Y1173" t="s">
        <v>115</v>
      </c>
      <c r="Z1173" t="s">
        <v>116</v>
      </c>
      <c r="AA1173">
        <v>0</v>
      </c>
      <c r="AB1173" t="s">
        <v>97</v>
      </c>
      <c r="AC1173" t="s">
        <v>97</v>
      </c>
      <c r="AD1173" t="s">
        <v>117</v>
      </c>
      <c r="AE1173" t="s">
        <v>97</v>
      </c>
      <c r="AF1173" t="s">
        <v>97</v>
      </c>
      <c r="AG1173" t="s">
        <v>99</v>
      </c>
      <c r="AH1173" t="s">
        <v>118</v>
      </c>
      <c r="AI1173">
        <v>662</v>
      </c>
      <c r="AJ1173" t="s">
        <v>101</v>
      </c>
      <c r="AK1173">
        <v>0</v>
      </c>
      <c r="AL1173">
        <v>599</v>
      </c>
      <c r="AM1173">
        <v>1261</v>
      </c>
      <c r="AN1173" t="s">
        <v>102</v>
      </c>
      <c r="AO1173" t="s">
        <v>103</v>
      </c>
      <c r="AP1173" t="s">
        <v>104</v>
      </c>
      <c r="AQ1173" t="s">
        <v>105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97</v>
      </c>
      <c r="BC1173">
        <v>6</v>
      </c>
      <c r="BD1173" t="s">
        <v>106</v>
      </c>
      <c r="BE1173">
        <v>1</v>
      </c>
      <c r="BF1173" t="s">
        <v>97</v>
      </c>
      <c r="BG1173" t="s">
        <v>107</v>
      </c>
      <c r="BH1173">
        <v>1958</v>
      </c>
      <c r="BI1173" t="s">
        <v>108</v>
      </c>
      <c r="BJ1173">
        <v>2</v>
      </c>
      <c r="BK1173">
        <v>433</v>
      </c>
      <c r="BL1173" t="s">
        <v>97</v>
      </c>
      <c r="BM1173" t="s">
        <v>97</v>
      </c>
      <c r="BN1173" t="s">
        <v>104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W1173" t="s">
        <v>134</v>
      </c>
      <c r="BX1173">
        <v>1400</v>
      </c>
      <c r="BY1173">
        <v>11</v>
      </c>
      <c r="BZ1173">
        <v>2008</v>
      </c>
      <c r="CA1173" t="s">
        <v>109</v>
      </c>
      <c r="CB1173" t="s">
        <v>110</v>
      </c>
      <c r="CC1173">
        <v>163000</v>
      </c>
    </row>
    <row r="1174" spans="1:81" x14ac:dyDescent="0.3">
      <c r="A1174">
        <v>1173</v>
      </c>
      <c r="B1174">
        <v>160</v>
      </c>
      <c r="C1174" t="s">
        <v>191</v>
      </c>
      <c r="D1174">
        <v>35</v>
      </c>
      <c r="E1174">
        <v>4017</v>
      </c>
      <c r="F1174" t="s">
        <v>82</v>
      </c>
      <c r="G1174" t="s">
        <v>82</v>
      </c>
      <c r="H1174" t="s">
        <v>119</v>
      </c>
      <c r="I1174" t="s">
        <v>84</v>
      </c>
      <c r="J1174" t="s">
        <v>85</v>
      </c>
      <c r="K1174" t="s">
        <v>86</v>
      </c>
      <c r="L1174" t="s">
        <v>87</v>
      </c>
      <c r="M1174" t="s">
        <v>135</v>
      </c>
      <c r="N1174" t="s">
        <v>89</v>
      </c>
      <c r="O1174" t="s">
        <v>89</v>
      </c>
      <c r="P1174" t="s">
        <v>178</v>
      </c>
      <c r="Q1174" t="s">
        <v>91</v>
      </c>
      <c r="R1174">
        <v>7</v>
      </c>
      <c r="S1174">
        <v>5</v>
      </c>
      <c r="T1174">
        <v>2006</v>
      </c>
      <c r="U1174">
        <v>2007</v>
      </c>
      <c r="V1174" t="s">
        <v>92</v>
      </c>
      <c r="W1174" t="s">
        <v>93</v>
      </c>
      <c r="X1174" t="s">
        <v>115</v>
      </c>
      <c r="Y1174" t="s">
        <v>115</v>
      </c>
      <c r="Z1174" t="s">
        <v>116</v>
      </c>
      <c r="AA1174">
        <v>0</v>
      </c>
      <c r="AB1174" t="s">
        <v>96</v>
      </c>
      <c r="AC1174" t="s">
        <v>97</v>
      </c>
      <c r="AD1174" t="s">
        <v>98</v>
      </c>
      <c r="AE1174" t="s">
        <v>96</v>
      </c>
      <c r="AF1174" t="s">
        <v>97</v>
      </c>
      <c r="AG1174" t="s">
        <v>99</v>
      </c>
      <c r="AH1174" t="s">
        <v>101</v>
      </c>
      <c r="AI1174">
        <v>0</v>
      </c>
      <c r="AJ1174" t="s">
        <v>101</v>
      </c>
      <c r="AK1174">
        <v>0</v>
      </c>
      <c r="AL1174">
        <v>625</v>
      </c>
      <c r="AM1174">
        <v>625</v>
      </c>
      <c r="AN1174" t="s">
        <v>102</v>
      </c>
      <c r="AO1174" t="s">
        <v>103</v>
      </c>
      <c r="AP1174" t="s">
        <v>104</v>
      </c>
      <c r="AQ1174" t="s">
        <v>105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96</v>
      </c>
      <c r="BC1174">
        <v>5</v>
      </c>
      <c r="BD1174" t="s">
        <v>106</v>
      </c>
      <c r="BE1174">
        <v>0</v>
      </c>
      <c r="BG1174" t="s">
        <v>126</v>
      </c>
      <c r="BH1174">
        <v>2006</v>
      </c>
      <c r="BI1174" t="s">
        <v>156</v>
      </c>
      <c r="BJ1174">
        <v>2</v>
      </c>
      <c r="BK1174">
        <v>625</v>
      </c>
      <c r="BL1174" t="s">
        <v>97</v>
      </c>
      <c r="BM1174" t="s">
        <v>97</v>
      </c>
      <c r="BN1174" t="s">
        <v>104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X1174">
        <v>0</v>
      </c>
      <c r="BY1174">
        <v>3</v>
      </c>
      <c r="BZ1174">
        <v>2008</v>
      </c>
      <c r="CA1174" t="s">
        <v>109</v>
      </c>
      <c r="CB1174" t="s">
        <v>110</v>
      </c>
      <c r="CC1174">
        <v>171900</v>
      </c>
    </row>
    <row r="1175" spans="1:81" x14ac:dyDescent="0.3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H1175" t="s">
        <v>119</v>
      </c>
      <c r="I1175" t="s">
        <v>174</v>
      </c>
      <c r="J1175" t="s">
        <v>85</v>
      </c>
      <c r="K1175" t="s">
        <v>86</v>
      </c>
      <c r="L1175" t="s">
        <v>87</v>
      </c>
      <c r="M1175" t="s">
        <v>204</v>
      </c>
      <c r="N1175" t="s">
        <v>89</v>
      </c>
      <c r="O1175" t="s">
        <v>89</v>
      </c>
      <c r="P1175" t="s">
        <v>90</v>
      </c>
      <c r="Q1175" t="s">
        <v>131</v>
      </c>
      <c r="R1175">
        <v>5</v>
      </c>
      <c r="S1175">
        <v>6</v>
      </c>
      <c r="T1175">
        <v>1946</v>
      </c>
      <c r="U1175">
        <v>1994</v>
      </c>
      <c r="V1175" t="s">
        <v>92</v>
      </c>
      <c r="W1175" t="s">
        <v>93</v>
      </c>
      <c r="X1175" t="s">
        <v>115</v>
      </c>
      <c r="Y1175" t="s">
        <v>115</v>
      </c>
      <c r="Z1175" t="s">
        <v>116</v>
      </c>
      <c r="AA1175">
        <v>0</v>
      </c>
      <c r="AB1175" t="s">
        <v>97</v>
      </c>
      <c r="AC1175" t="s">
        <v>97</v>
      </c>
      <c r="AD1175" t="s">
        <v>117</v>
      </c>
      <c r="AE1175" t="s">
        <v>97</v>
      </c>
      <c r="AF1175" t="s">
        <v>97</v>
      </c>
      <c r="AG1175" t="s">
        <v>99</v>
      </c>
      <c r="AH1175" t="s">
        <v>152</v>
      </c>
      <c r="AI1175">
        <v>152</v>
      </c>
      <c r="AJ1175" t="s">
        <v>140</v>
      </c>
      <c r="AK1175">
        <v>469</v>
      </c>
      <c r="AL1175">
        <v>977</v>
      </c>
      <c r="AM1175">
        <v>1598</v>
      </c>
      <c r="AN1175" t="s">
        <v>102</v>
      </c>
      <c r="AO1175" t="s">
        <v>97</v>
      </c>
      <c r="AP1175" t="s">
        <v>104</v>
      </c>
      <c r="AQ1175" t="s">
        <v>105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103</v>
      </c>
      <c r="BC1175">
        <v>12</v>
      </c>
      <c r="BD1175" t="s">
        <v>220</v>
      </c>
      <c r="BE1175">
        <v>1</v>
      </c>
      <c r="BF1175" t="s">
        <v>96</v>
      </c>
      <c r="BJ1175">
        <v>0</v>
      </c>
      <c r="BK1175">
        <v>0</v>
      </c>
      <c r="BN1175" t="s">
        <v>104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V1175" t="s">
        <v>133</v>
      </c>
      <c r="BX1175">
        <v>0</v>
      </c>
      <c r="BY1175">
        <v>3</v>
      </c>
      <c r="BZ1175">
        <v>2007</v>
      </c>
      <c r="CA1175" t="s">
        <v>109</v>
      </c>
      <c r="CB1175" t="s">
        <v>110</v>
      </c>
      <c r="CC1175">
        <v>200500</v>
      </c>
    </row>
    <row r="1176" spans="1:81" x14ac:dyDescent="0.3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H1176" t="s">
        <v>119</v>
      </c>
      <c r="I1176" t="s">
        <v>84</v>
      </c>
      <c r="J1176" t="s">
        <v>85</v>
      </c>
      <c r="K1176" t="s">
        <v>86</v>
      </c>
      <c r="L1176" t="s">
        <v>87</v>
      </c>
      <c r="M1176" t="s">
        <v>122</v>
      </c>
      <c r="N1176" t="s">
        <v>89</v>
      </c>
      <c r="O1176" t="s">
        <v>89</v>
      </c>
      <c r="P1176" t="s">
        <v>90</v>
      </c>
      <c r="Q1176" t="s">
        <v>91</v>
      </c>
      <c r="R1176">
        <v>6</v>
      </c>
      <c r="S1176">
        <v>8</v>
      </c>
      <c r="T1176">
        <v>1932</v>
      </c>
      <c r="U1176">
        <v>1950</v>
      </c>
      <c r="V1176" t="s">
        <v>92</v>
      </c>
      <c r="W1176" t="s">
        <v>93</v>
      </c>
      <c r="X1176" t="s">
        <v>123</v>
      </c>
      <c r="Y1176" t="s">
        <v>123</v>
      </c>
      <c r="Z1176" t="s">
        <v>116</v>
      </c>
      <c r="AA1176">
        <v>0</v>
      </c>
      <c r="AB1176" t="s">
        <v>97</v>
      </c>
      <c r="AC1176" t="s">
        <v>97</v>
      </c>
      <c r="AD1176" t="s">
        <v>125</v>
      </c>
      <c r="AE1176" t="s">
        <v>96</v>
      </c>
      <c r="AF1176" t="s">
        <v>97</v>
      </c>
      <c r="AG1176" t="s">
        <v>99</v>
      </c>
      <c r="AH1176" t="s">
        <v>152</v>
      </c>
      <c r="AI1176">
        <v>503</v>
      </c>
      <c r="AJ1176" t="s">
        <v>101</v>
      </c>
      <c r="AK1176">
        <v>0</v>
      </c>
      <c r="AL1176">
        <v>449</v>
      </c>
      <c r="AM1176">
        <v>952</v>
      </c>
      <c r="AN1176" t="s">
        <v>102</v>
      </c>
      <c r="AO1176" t="s">
        <v>97</v>
      </c>
      <c r="AP1176" t="s">
        <v>104</v>
      </c>
      <c r="AQ1176" t="s">
        <v>105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97</v>
      </c>
      <c r="BC1176">
        <v>9</v>
      </c>
      <c r="BD1176" t="s">
        <v>106</v>
      </c>
      <c r="BE1176">
        <v>1</v>
      </c>
      <c r="BF1176" t="s">
        <v>96</v>
      </c>
      <c r="BG1176" t="s">
        <v>126</v>
      </c>
      <c r="BH1176">
        <v>1932</v>
      </c>
      <c r="BI1176" t="s">
        <v>101</v>
      </c>
      <c r="BJ1176">
        <v>2</v>
      </c>
      <c r="BK1176">
        <v>360</v>
      </c>
      <c r="BL1176" t="s">
        <v>97</v>
      </c>
      <c r="BM1176" t="s">
        <v>97</v>
      </c>
      <c r="BN1176" t="s">
        <v>104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X1176">
        <v>0</v>
      </c>
      <c r="BY1176">
        <v>7</v>
      </c>
      <c r="BZ1176">
        <v>2006</v>
      </c>
      <c r="CA1176" t="s">
        <v>109</v>
      </c>
      <c r="CB1176" t="s">
        <v>110</v>
      </c>
      <c r="CC1176">
        <v>239000</v>
      </c>
    </row>
    <row r="1177" spans="1:81" x14ac:dyDescent="0.3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H1177" t="s">
        <v>83</v>
      </c>
      <c r="I1177" t="s">
        <v>84</v>
      </c>
      <c r="J1177" t="s">
        <v>85</v>
      </c>
      <c r="K1177" t="s">
        <v>86</v>
      </c>
      <c r="L1177" t="s">
        <v>87</v>
      </c>
      <c r="M1177" t="s">
        <v>128</v>
      </c>
      <c r="N1177" t="s">
        <v>89</v>
      </c>
      <c r="O1177" t="s">
        <v>89</v>
      </c>
      <c r="P1177" t="s">
        <v>90</v>
      </c>
      <c r="Q1177" t="s">
        <v>131</v>
      </c>
      <c r="R1177">
        <v>8</v>
      </c>
      <c r="S1177">
        <v>5</v>
      </c>
      <c r="T1177">
        <v>1992</v>
      </c>
      <c r="U1177">
        <v>2000</v>
      </c>
      <c r="V1177" t="s">
        <v>151</v>
      </c>
      <c r="W1177" t="s">
        <v>93</v>
      </c>
      <c r="X1177" t="s">
        <v>139</v>
      </c>
      <c r="Y1177" t="s">
        <v>139</v>
      </c>
      <c r="Z1177" t="s">
        <v>95</v>
      </c>
      <c r="AA1177">
        <v>337</v>
      </c>
      <c r="AB1177" t="s">
        <v>96</v>
      </c>
      <c r="AC1177" t="s">
        <v>97</v>
      </c>
      <c r="AD1177" t="s">
        <v>98</v>
      </c>
      <c r="AE1177" t="s">
        <v>96</v>
      </c>
      <c r="AF1177" t="s">
        <v>97</v>
      </c>
      <c r="AG1177" t="s">
        <v>99</v>
      </c>
      <c r="AH1177" t="s">
        <v>100</v>
      </c>
      <c r="AI1177">
        <v>700</v>
      </c>
      <c r="AJ1177" t="s">
        <v>101</v>
      </c>
      <c r="AK1177">
        <v>0</v>
      </c>
      <c r="AL1177">
        <v>983</v>
      </c>
      <c r="AM1177">
        <v>1683</v>
      </c>
      <c r="AN1177" t="s">
        <v>102</v>
      </c>
      <c r="AO1177" t="s">
        <v>103</v>
      </c>
      <c r="AP1177" t="s">
        <v>104</v>
      </c>
      <c r="AQ1177" t="s">
        <v>105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96</v>
      </c>
      <c r="BC1177">
        <v>9</v>
      </c>
      <c r="BD1177" t="s">
        <v>106</v>
      </c>
      <c r="BE1177">
        <v>1</v>
      </c>
      <c r="BF1177" t="s">
        <v>97</v>
      </c>
      <c r="BG1177" t="s">
        <v>107</v>
      </c>
      <c r="BH1177">
        <v>1992</v>
      </c>
      <c r="BI1177" t="s">
        <v>156</v>
      </c>
      <c r="BJ1177">
        <v>2</v>
      </c>
      <c r="BK1177">
        <v>541</v>
      </c>
      <c r="BL1177" t="s">
        <v>97</v>
      </c>
      <c r="BM1177" t="s">
        <v>97</v>
      </c>
      <c r="BN1177" t="s">
        <v>104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X1177">
        <v>0</v>
      </c>
      <c r="BY1177">
        <v>4</v>
      </c>
      <c r="BZ1177">
        <v>2007</v>
      </c>
      <c r="CA1177" t="s">
        <v>109</v>
      </c>
      <c r="CB1177" t="s">
        <v>110</v>
      </c>
      <c r="CC1177">
        <v>285000</v>
      </c>
    </row>
    <row r="1178" spans="1:81" x14ac:dyDescent="0.3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H1178" t="s">
        <v>119</v>
      </c>
      <c r="I1178" t="s">
        <v>84</v>
      </c>
      <c r="J1178" t="s">
        <v>85</v>
      </c>
      <c r="K1178" t="s">
        <v>165</v>
      </c>
      <c r="L1178" t="s">
        <v>87</v>
      </c>
      <c r="M1178" t="s">
        <v>130</v>
      </c>
      <c r="N1178" t="s">
        <v>89</v>
      </c>
      <c r="O1178" t="s">
        <v>89</v>
      </c>
      <c r="P1178" t="s">
        <v>90</v>
      </c>
      <c r="Q1178" t="s">
        <v>114</v>
      </c>
      <c r="R1178">
        <v>5</v>
      </c>
      <c r="S1178">
        <v>5</v>
      </c>
      <c r="T1178">
        <v>1984</v>
      </c>
      <c r="U1178">
        <v>1985</v>
      </c>
      <c r="V1178" t="s">
        <v>92</v>
      </c>
      <c r="W1178" t="s">
        <v>93</v>
      </c>
      <c r="X1178" t="s">
        <v>139</v>
      </c>
      <c r="Y1178" t="s">
        <v>160</v>
      </c>
      <c r="Z1178" t="s">
        <v>116</v>
      </c>
      <c r="AA1178">
        <v>0</v>
      </c>
      <c r="AB1178" t="s">
        <v>97</v>
      </c>
      <c r="AC1178" t="s">
        <v>97</v>
      </c>
      <c r="AD1178" t="s">
        <v>117</v>
      </c>
      <c r="AE1178" t="s">
        <v>97</v>
      </c>
      <c r="AF1178" t="s">
        <v>97</v>
      </c>
      <c r="AG1178" t="s">
        <v>99</v>
      </c>
      <c r="AH1178" t="s">
        <v>118</v>
      </c>
      <c r="AI1178">
        <v>658</v>
      </c>
      <c r="AJ1178" t="s">
        <v>101</v>
      </c>
      <c r="AK1178">
        <v>0</v>
      </c>
      <c r="AL1178">
        <v>218</v>
      </c>
      <c r="AM1178">
        <v>876</v>
      </c>
      <c r="AN1178" t="s">
        <v>102</v>
      </c>
      <c r="AO1178" t="s">
        <v>97</v>
      </c>
      <c r="AP1178" t="s">
        <v>104</v>
      </c>
      <c r="AQ1178" t="s">
        <v>105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97</v>
      </c>
      <c r="BC1178">
        <v>5</v>
      </c>
      <c r="BD1178" t="s">
        <v>106</v>
      </c>
      <c r="BE1178">
        <v>0</v>
      </c>
      <c r="BG1178" t="s">
        <v>107</v>
      </c>
      <c r="BH1178">
        <v>1984</v>
      </c>
      <c r="BI1178" t="s">
        <v>101</v>
      </c>
      <c r="BJ1178">
        <v>1</v>
      </c>
      <c r="BK1178">
        <v>264</v>
      </c>
      <c r="BL1178" t="s">
        <v>97</v>
      </c>
      <c r="BM1178" t="s">
        <v>97</v>
      </c>
      <c r="BN1178" t="s">
        <v>104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V1178" t="s">
        <v>133</v>
      </c>
      <c r="BX1178">
        <v>0</v>
      </c>
      <c r="BY1178">
        <v>10</v>
      </c>
      <c r="BZ1178">
        <v>2008</v>
      </c>
      <c r="CA1178" t="s">
        <v>109</v>
      </c>
      <c r="CB1178" t="s">
        <v>110</v>
      </c>
      <c r="CC1178">
        <v>119500</v>
      </c>
    </row>
    <row r="1179" spans="1:81" x14ac:dyDescent="0.3">
      <c r="A1179">
        <v>1178</v>
      </c>
      <c r="B1179">
        <v>50</v>
      </c>
      <c r="C1179" t="s">
        <v>141</v>
      </c>
      <c r="E1179">
        <v>3950</v>
      </c>
      <c r="F1179" t="s">
        <v>82</v>
      </c>
      <c r="G1179" t="s">
        <v>173</v>
      </c>
      <c r="H1179" t="s">
        <v>83</v>
      </c>
      <c r="I1179" t="s">
        <v>174</v>
      </c>
      <c r="J1179" t="s">
        <v>85</v>
      </c>
      <c r="K1179" t="s">
        <v>86</v>
      </c>
      <c r="L1179" t="s">
        <v>87</v>
      </c>
      <c r="M1179" t="s">
        <v>142</v>
      </c>
      <c r="N1179" t="s">
        <v>143</v>
      </c>
      <c r="O1179" t="s">
        <v>89</v>
      </c>
      <c r="P1179" t="s">
        <v>90</v>
      </c>
      <c r="Q1179" t="s">
        <v>131</v>
      </c>
      <c r="R1179">
        <v>6</v>
      </c>
      <c r="S1179">
        <v>8</v>
      </c>
      <c r="T1179">
        <v>1926</v>
      </c>
      <c r="U1179">
        <v>2004</v>
      </c>
      <c r="V1179" t="s">
        <v>92</v>
      </c>
      <c r="W1179" t="s">
        <v>93</v>
      </c>
      <c r="X1179" t="s">
        <v>115</v>
      </c>
      <c r="Y1179" t="s">
        <v>115</v>
      </c>
      <c r="Z1179" t="s">
        <v>116</v>
      </c>
      <c r="AA1179">
        <v>0</v>
      </c>
      <c r="AB1179" t="s">
        <v>97</v>
      </c>
      <c r="AC1179" t="s">
        <v>97</v>
      </c>
      <c r="AD1179" t="s">
        <v>117</v>
      </c>
      <c r="AE1179" t="s">
        <v>97</v>
      </c>
      <c r="AF1179" t="s">
        <v>97</v>
      </c>
      <c r="AG1179" t="s">
        <v>99</v>
      </c>
      <c r="AH1179" t="s">
        <v>152</v>
      </c>
      <c r="AI1179">
        <v>468</v>
      </c>
      <c r="AJ1179" t="s">
        <v>101</v>
      </c>
      <c r="AK1179">
        <v>0</v>
      </c>
      <c r="AL1179">
        <v>350</v>
      </c>
      <c r="AM1179">
        <v>818</v>
      </c>
      <c r="AN1179" t="s">
        <v>102</v>
      </c>
      <c r="AO1179" t="s">
        <v>97</v>
      </c>
      <c r="AP1179" t="s">
        <v>104</v>
      </c>
      <c r="AQ1179" t="s">
        <v>105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97</v>
      </c>
      <c r="BC1179">
        <v>5</v>
      </c>
      <c r="BD1179" t="s">
        <v>106</v>
      </c>
      <c r="BE1179">
        <v>0</v>
      </c>
      <c r="BG1179" t="s">
        <v>126</v>
      </c>
      <c r="BH1179">
        <v>1926</v>
      </c>
      <c r="BI1179" t="s">
        <v>101</v>
      </c>
      <c r="BJ1179">
        <v>1</v>
      </c>
      <c r="BK1179">
        <v>210</v>
      </c>
      <c r="BL1179" t="s">
        <v>97</v>
      </c>
      <c r="BM1179" t="s">
        <v>97</v>
      </c>
      <c r="BN1179" t="s">
        <v>176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X1179">
        <v>0</v>
      </c>
      <c r="BY1179">
        <v>12</v>
      </c>
      <c r="BZ1179">
        <v>2009</v>
      </c>
      <c r="CA1179" t="s">
        <v>109</v>
      </c>
      <c r="CB1179" t="s">
        <v>110</v>
      </c>
      <c r="CC1179">
        <v>115000</v>
      </c>
    </row>
    <row r="1180" spans="1:81" x14ac:dyDescent="0.3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H1180" t="s">
        <v>119</v>
      </c>
      <c r="I1180" t="s">
        <v>84</v>
      </c>
      <c r="J1180" t="s">
        <v>85</v>
      </c>
      <c r="K1180" t="s">
        <v>111</v>
      </c>
      <c r="L1180" t="s">
        <v>87</v>
      </c>
      <c r="M1180" t="s">
        <v>122</v>
      </c>
      <c r="N1180" t="s">
        <v>89</v>
      </c>
      <c r="O1180" t="s">
        <v>89</v>
      </c>
      <c r="P1180" t="s">
        <v>90</v>
      </c>
      <c r="Q1180" t="s">
        <v>131</v>
      </c>
      <c r="R1180">
        <v>5</v>
      </c>
      <c r="S1180">
        <v>6</v>
      </c>
      <c r="T1180">
        <v>1921</v>
      </c>
      <c r="U1180">
        <v>1950</v>
      </c>
      <c r="V1180" t="s">
        <v>92</v>
      </c>
      <c r="W1180" t="s">
        <v>93</v>
      </c>
      <c r="X1180" t="s">
        <v>123</v>
      </c>
      <c r="Y1180" t="s">
        <v>123</v>
      </c>
      <c r="Z1180" t="s">
        <v>116</v>
      </c>
      <c r="AA1180">
        <v>0</v>
      </c>
      <c r="AB1180" t="s">
        <v>97</v>
      </c>
      <c r="AC1180" t="s">
        <v>97</v>
      </c>
      <c r="AD1180" t="s">
        <v>125</v>
      </c>
      <c r="AE1180" t="s">
        <v>97</v>
      </c>
      <c r="AF1180" t="s">
        <v>97</v>
      </c>
      <c r="AG1180" t="s">
        <v>99</v>
      </c>
      <c r="AH1180" t="s">
        <v>101</v>
      </c>
      <c r="AI1180">
        <v>0</v>
      </c>
      <c r="AJ1180" t="s">
        <v>101</v>
      </c>
      <c r="AK1180">
        <v>0</v>
      </c>
      <c r="AL1180">
        <v>731</v>
      </c>
      <c r="AM1180">
        <v>731</v>
      </c>
      <c r="AN1180" t="s">
        <v>102</v>
      </c>
      <c r="AO1180" t="s">
        <v>103</v>
      </c>
      <c r="AP1180" t="s">
        <v>104</v>
      </c>
      <c r="AQ1180" t="s">
        <v>105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97</v>
      </c>
      <c r="BC1180">
        <v>7</v>
      </c>
      <c r="BD1180" t="s">
        <v>106</v>
      </c>
      <c r="BE1180">
        <v>1</v>
      </c>
      <c r="BF1180" t="s">
        <v>96</v>
      </c>
      <c r="BG1180" t="s">
        <v>126</v>
      </c>
      <c r="BH1180">
        <v>1921</v>
      </c>
      <c r="BI1180" t="s">
        <v>101</v>
      </c>
      <c r="BJ1180">
        <v>1</v>
      </c>
      <c r="BK1180">
        <v>186</v>
      </c>
      <c r="BL1180" t="s">
        <v>146</v>
      </c>
      <c r="BM1180" t="s">
        <v>97</v>
      </c>
      <c r="BN1180" t="s">
        <v>104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X1180">
        <v>0</v>
      </c>
      <c r="BY1180">
        <v>7</v>
      </c>
      <c r="BZ1180">
        <v>2009</v>
      </c>
      <c r="CA1180" t="s">
        <v>109</v>
      </c>
      <c r="CB1180" t="s">
        <v>110</v>
      </c>
      <c r="CC1180">
        <v>154900</v>
      </c>
    </row>
    <row r="1181" spans="1:81" x14ac:dyDescent="0.3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H1181" t="s">
        <v>83</v>
      </c>
      <c r="I1181" t="s">
        <v>84</v>
      </c>
      <c r="J1181" t="s">
        <v>85</v>
      </c>
      <c r="K1181" t="s">
        <v>121</v>
      </c>
      <c r="L1181" t="s">
        <v>87</v>
      </c>
      <c r="M1181" t="s">
        <v>184</v>
      </c>
      <c r="N1181" t="s">
        <v>89</v>
      </c>
      <c r="O1181" t="s">
        <v>89</v>
      </c>
      <c r="P1181" t="s">
        <v>90</v>
      </c>
      <c r="Q1181" t="s">
        <v>114</v>
      </c>
      <c r="R1181">
        <v>5</v>
      </c>
      <c r="S1181">
        <v>5</v>
      </c>
      <c r="T1181">
        <v>1954</v>
      </c>
      <c r="U1181">
        <v>1954</v>
      </c>
      <c r="V1181" t="s">
        <v>92</v>
      </c>
      <c r="W1181" t="s">
        <v>93</v>
      </c>
      <c r="X1181" t="s">
        <v>123</v>
      </c>
      <c r="Y1181" t="s">
        <v>123</v>
      </c>
      <c r="Z1181" t="s">
        <v>116</v>
      </c>
      <c r="AA1181">
        <v>0</v>
      </c>
      <c r="AB1181" t="s">
        <v>97</v>
      </c>
      <c r="AC1181" t="s">
        <v>97</v>
      </c>
      <c r="AD1181" t="s">
        <v>167</v>
      </c>
      <c r="AI1181">
        <v>0</v>
      </c>
      <c r="AK1181">
        <v>0</v>
      </c>
      <c r="AL1181">
        <v>0</v>
      </c>
      <c r="AM1181">
        <v>0</v>
      </c>
      <c r="AN1181" t="s">
        <v>102</v>
      </c>
      <c r="AO1181" t="s">
        <v>96</v>
      </c>
      <c r="AP1181" t="s">
        <v>104</v>
      </c>
      <c r="AQ1181" t="s">
        <v>105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97</v>
      </c>
      <c r="BC1181">
        <v>5</v>
      </c>
      <c r="BD1181" t="s">
        <v>223</v>
      </c>
      <c r="BE1181">
        <v>1</v>
      </c>
      <c r="BF1181" t="s">
        <v>96</v>
      </c>
      <c r="BJ1181">
        <v>0</v>
      </c>
      <c r="BK1181">
        <v>0</v>
      </c>
      <c r="BN1181" t="s">
        <v>176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X1181">
        <v>0</v>
      </c>
      <c r="BY1181">
        <v>4</v>
      </c>
      <c r="BZ1181">
        <v>2006</v>
      </c>
      <c r="CA1181" t="s">
        <v>109</v>
      </c>
      <c r="CB1181" t="s">
        <v>110</v>
      </c>
      <c r="CC1181">
        <v>93000</v>
      </c>
    </row>
    <row r="1182" spans="1:81" x14ac:dyDescent="0.3">
      <c r="A1182">
        <v>1181</v>
      </c>
      <c r="B1182">
        <v>60</v>
      </c>
      <c r="C1182" t="s">
        <v>81</v>
      </c>
      <c r="E1182">
        <v>11170</v>
      </c>
      <c r="F1182" t="s">
        <v>82</v>
      </c>
      <c r="H1182" t="s">
        <v>159</v>
      </c>
      <c r="I1182" t="s">
        <v>84</v>
      </c>
      <c r="J1182" t="s">
        <v>85</v>
      </c>
      <c r="K1182" t="s">
        <v>121</v>
      </c>
      <c r="L1182" t="s">
        <v>87</v>
      </c>
      <c r="M1182" t="s">
        <v>188</v>
      </c>
      <c r="N1182" t="s">
        <v>89</v>
      </c>
      <c r="O1182" t="s">
        <v>89</v>
      </c>
      <c r="P1182" t="s">
        <v>90</v>
      </c>
      <c r="Q1182" t="s">
        <v>91</v>
      </c>
      <c r="R1182">
        <v>7</v>
      </c>
      <c r="S1182">
        <v>5</v>
      </c>
      <c r="T1182">
        <v>1990</v>
      </c>
      <c r="U1182">
        <v>1991</v>
      </c>
      <c r="V1182" t="s">
        <v>92</v>
      </c>
      <c r="W1182" t="s">
        <v>93</v>
      </c>
      <c r="X1182" t="s">
        <v>115</v>
      </c>
      <c r="Y1182" t="s">
        <v>115</v>
      </c>
      <c r="Z1182" t="s">
        <v>116</v>
      </c>
      <c r="AA1182">
        <v>0</v>
      </c>
      <c r="AB1182" t="s">
        <v>97</v>
      </c>
      <c r="AC1182" t="s">
        <v>97</v>
      </c>
      <c r="AD1182" t="s">
        <v>132</v>
      </c>
      <c r="AE1182" t="s">
        <v>96</v>
      </c>
      <c r="AF1182" t="s">
        <v>97</v>
      </c>
      <c r="AG1182" t="s">
        <v>99</v>
      </c>
      <c r="AH1182" t="s">
        <v>171</v>
      </c>
      <c r="AI1182">
        <v>1216</v>
      </c>
      <c r="AJ1182" t="s">
        <v>101</v>
      </c>
      <c r="AK1182">
        <v>0</v>
      </c>
      <c r="AL1182">
        <v>0</v>
      </c>
      <c r="AM1182">
        <v>1216</v>
      </c>
      <c r="AN1182" t="s">
        <v>102</v>
      </c>
      <c r="AO1182" t="s">
        <v>103</v>
      </c>
      <c r="AP1182" t="s">
        <v>104</v>
      </c>
      <c r="AQ1182" t="s">
        <v>105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97</v>
      </c>
      <c r="BC1182">
        <v>8</v>
      </c>
      <c r="BD1182" t="s">
        <v>106</v>
      </c>
      <c r="BE1182">
        <v>0</v>
      </c>
      <c r="BG1182" t="s">
        <v>107</v>
      </c>
      <c r="BH1182">
        <v>1990</v>
      </c>
      <c r="BI1182" t="s">
        <v>156</v>
      </c>
      <c r="BJ1182">
        <v>2</v>
      </c>
      <c r="BK1182">
        <v>693</v>
      </c>
      <c r="BL1182" t="s">
        <v>97</v>
      </c>
      <c r="BM1182" t="s">
        <v>97</v>
      </c>
      <c r="BN1182" t="s">
        <v>104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V1182" t="s">
        <v>164</v>
      </c>
      <c r="BX1182">
        <v>0</v>
      </c>
      <c r="BY1182">
        <v>4</v>
      </c>
      <c r="BZ1182">
        <v>2006</v>
      </c>
      <c r="CA1182" t="s">
        <v>109</v>
      </c>
      <c r="CB1182" t="s">
        <v>110</v>
      </c>
      <c r="CC1182">
        <v>250000</v>
      </c>
    </row>
    <row r="1183" spans="1:81" x14ac:dyDescent="0.3">
      <c r="A1183">
        <v>1182</v>
      </c>
      <c r="B1183">
        <v>120</v>
      </c>
      <c r="C1183" t="s">
        <v>141</v>
      </c>
      <c r="D1183">
        <v>64</v>
      </c>
      <c r="E1183">
        <v>5587</v>
      </c>
      <c r="F1183" t="s">
        <v>82</v>
      </c>
      <c r="H1183" t="s">
        <v>119</v>
      </c>
      <c r="I1183" t="s">
        <v>198</v>
      </c>
      <c r="J1183" t="s">
        <v>85</v>
      </c>
      <c r="K1183" t="s">
        <v>86</v>
      </c>
      <c r="L1183" t="s">
        <v>193</v>
      </c>
      <c r="M1183" t="s">
        <v>122</v>
      </c>
      <c r="N1183" t="s">
        <v>89</v>
      </c>
      <c r="O1183" t="s">
        <v>89</v>
      </c>
      <c r="P1183" t="s">
        <v>178</v>
      </c>
      <c r="Q1183" t="s">
        <v>114</v>
      </c>
      <c r="R1183">
        <v>8</v>
      </c>
      <c r="S1183">
        <v>5</v>
      </c>
      <c r="T1183">
        <v>2008</v>
      </c>
      <c r="U1183">
        <v>2008</v>
      </c>
      <c r="V1183" t="s">
        <v>151</v>
      </c>
      <c r="W1183" t="s">
        <v>93</v>
      </c>
      <c r="X1183" t="s">
        <v>179</v>
      </c>
      <c r="Y1183" t="s">
        <v>180</v>
      </c>
      <c r="Z1183" t="s">
        <v>136</v>
      </c>
      <c r="AA1183">
        <v>186</v>
      </c>
      <c r="AB1183" t="s">
        <v>103</v>
      </c>
      <c r="AC1183" t="s">
        <v>97</v>
      </c>
      <c r="AD1183" t="s">
        <v>98</v>
      </c>
      <c r="AE1183" t="s">
        <v>103</v>
      </c>
      <c r="AF1183" t="s">
        <v>97</v>
      </c>
      <c r="AG1183" t="s">
        <v>96</v>
      </c>
      <c r="AH1183" t="s">
        <v>100</v>
      </c>
      <c r="AI1183">
        <v>1480</v>
      </c>
      <c r="AJ1183" t="s">
        <v>101</v>
      </c>
      <c r="AK1183">
        <v>0</v>
      </c>
      <c r="AL1183">
        <v>120</v>
      </c>
      <c r="AM1183">
        <v>1600</v>
      </c>
      <c r="AN1183" t="s">
        <v>102</v>
      </c>
      <c r="AO1183" t="s">
        <v>103</v>
      </c>
      <c r="AP1183" t="s">
        <v>104</v>
      </c>
      <c r="AQ1183" t="s">
        <v>105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96</v>
      </c>
      <c r="BC1183">
        <v>5</v>
      </c>
      <c r="BD1183" t="s">
        <v>106</v>
      </c>
      <c r="BE1183">
        <v>1</v>
      </c>
      <c r="BF1183" t="s">
        <v>96</v>
      </c>
      <c r="BG1183" t="s">
        <v>107</v>
      </c>
      <c r="BH1183">
        <v>2008</v>
      </c>
      <c r="BI1183" t="s">
        <v>156</v>
      </c>
      <c r="BJ1183">
        <v>2</v>
      </c>
      <c r="BK1183">
        <v>482</v>
      </c>
      <c r="BL1183" t="s">
        <v>97</v>
      </c>
      <c r="BM1183" t="s">
        <v>97</v>
      </c>
      <c r="BN1183" t="s">
        <v>104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X1183">
        <v>0</v>
      </c>
      <c r="BY1183">
        <v>11</v>
      </c>
      <c r="BZ1183">
        <v>2008</v>
      </c>
      <c r="CA1183" t="s">
        <v>157</v>
      </c>
      <c r="CB1183" t="s">
        <v>158</v>
      </c>
      <c r="CC1183">
        <v>392500</v>
      </c>
    </row>
    <row r="1184" spans="1:81" x14ac:dyDescent="0.3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H1184" t="s">
        <v>119</v>
      </c>
      <c r="I1184" t="s">
        <v>84</v>
      </c>
      <c r="J1184" t="s">
        <v>85</v>
      </c>
      <c r="K1184" t="s">
        <v>121</v>
      </c>
      <c r="L1184" t="s">
        <v>87</v>
      </c>
      <c r="M1184" t="s">
        <v>128</v>
      </c>
      <c r="N1184" t="s">
        <v>89</v>
      </c>
      <c r="O1184" t="s">
        <v>89</v>
      </c>
      <c r="P1184" t="s">
        <v>90</v>
      </c>
      <c r="Q1184" t="s">
        <v>91</v>
      </c>
      <c r="R1184">
        <v>10</v>
      </c>
      <c r="S1184">
        <v>5</v>
      </c>
      <c r="T1184">
        <v>1996</v>
      </c>
      <c r="U1184">
        <v>1996</v>
      </c>
      <c r="V1184" t="s">
        <v>151</v>
      </c>
      <c r="W1184" t="s">
        <v>93</v>
      </c>
      <c r="X1184" t="s">
        <v>123</v>
      </c>
      <c r="Y1184" t="s">
        <v>233</v>
      </c>
      <c r="Z1184" t="s">
        <v>116</v>
      </c>
      <c r="AA1184">
        <v>0</v>
      </c>
      <c r="AB1184" t="s">
        <v>96</v>
      </c>
      <c r="AC1184" t="s">
        <v>97</v>
      </c>
      <c r="AD1184" t="s">
        <v>98</v>
      </c>
      <c r="AE1184" t="s">
        <v>103</v>
      </c>
      <c r="AF1184" t="s">
        <v>97</v>
      </c>
      <c r="AG1184" t="s">
        <v>129</v>
      </c>
      <c r="AH1184" t="s">
        <v>100</v>
      </c>
      <c r="AI1184">
        <v>2096</v>
      </c>
      <c r="AJ1184" t="s">
        <v>101</v>
      </c>
      <c r="AK1184">
        <v>0</v>
      </c>
      <c r="AL1184">
        <v>300</v>
      </c>
      <c r="AM1184">
        <v>2396</v>
      </c>
      <c r="AN1184" t="s">
        <v>102</v>
      </c>
      <c r="AO1184" t="s">
        <v>103</v>
      </c>
      <c r="AP1184" t="s">
        <v>104</v>
      </c>
      <c r="AQ1184" t="s">
        <v>105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103</v>
      </c>
      <c r="BC1184">
        <v>10</v>
      </c>
      <c r="BD1184" t="s">
        <v>106</v>
      </c>
      <c r="BE1184">
        <v>2</v>
      </c>
      <c r="BF1184" t="s">
        <v>97</v>
      </c>
      <c r="BG1184" t="s">
        <v>107</v>
      </c>
      <c r="BH1184">
        <v>1996</v>
      </c>
      <c r="BI1184" t="s">
        <v>156</v>
      </c>
      <c r="BJ1184">
        <v>3</v>
      </c>
      <c r="BK1184">
        <v>813</v>
      </c>
      <c r="BL1184" t="s">
        <v>97</v>
      </c>
      <c r="BM1184" t="s">
        <v>97</v>
      </c>
      <c r="BN1184" t="s">
        <v>104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103</v>
      </c>
      <c r="BV1184" t="s">
        <v>133</v>
      </c>
      <c r="BX1184">
        <v>0</v>
      </c>
      <c r="BY1184">
        <v>7</v>
      </c>
      <c r="BZ1184">
        <v>2007</v>
      </c>
      <c r="CA1184" t="s">
        <v>109</v>
      </c>
      <c r="CB1184" t="s">
        <v>127</v>
      </c>
      <c r="CC1184">
        <v>745000</v>
      </c>
    </row>
    <row r="1185" spans="1:81" x14ac:dyDescent="0.3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173</v>
      </c>
      <c r="H1185" t="s">
        <v>83</v>
      </c>
      <c r="I1185" t="s">
        <v>84</v>
      </c>
      <c r="J1185" t="s">
        <v>85</v>
      </c>
      <c r="K1185" t="s">
        <v>86</v>
      </c>
      <c r="L1185" t="s">
        <v>87</v>
      </c>
      <c r="M1185" t="s">
        <v>142</v>
      </c>
      <c r="N1185" t="s">
        <v>89</v>
      </c>
      <c r="O1185" t="s">
        <v>89</v>
      </c>
      <c r="P1185" t="s">
        <v>90</v>
      </c>
      <c r="Q1185" t="s">
        <v>114</v>
      </c>
      <c r="R1185">
        <v>5</v>
      </c>
      <c r="S1185">
        <v>6</v>
      </c>
      <c r="T1185">
        <v>1920</v>
      </c>
      <c r="U1185">
        <v>1950</v>
      </c>
      <c r="V1185" t="s">
        <v>151</v>
      </c>
      <c r="W1185" t="s">
        <v>93</v>
      </c>
      <c r="X1185" t="s">
        <v>202</v>
      </c>
      <c r="Y1185" t="s">
        <v>202</v>
      </c>
      <c r="Z1185" t="s">
        <v>116</v>
      </c>
      <c r="AA1185">
        <v>0</v>
      </c>
      <c r="AB1185" t="s">
        <v>97</v>
      </c>
      <c r="AC1185" t="s">
        <v>97</v>
      </c>
      <c r="AD1185" t="s">
        <v>125</v>
      </c>
      <c r="AE1185" t="s">
        <v>97</v>
      </c>
      <c r="AF1185" t="s">
        <v>97</v>
      </c>
      <c r="AG1185" t="s">
        <v>99</v>
      </c>
      <c r="AH1185" t="s">
        <v>152</v>
      </c>
      <c r="AI1185">
        <v>821</v>
      </c>
      <c r="AJ1185" t="s">
        <v>101</v>
      </c>
      <c r="AK1185">
        <v>0</v>
      </c>
      <c r="AL1185">
        <v>299</v>
      </c>
      <c r="AM1185">
        <v>1120</v>
      </c>
      <c r="AN1185" t="s">
        <v>102</v>
      </c>
      <c r="AO1185" t="s">
        <v>103</v>
      </c>
      <c r="AP1185" t="s">
        <v>104</v>
      </c>
      <c r="AQ1185" t="s">
        <v>105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97</v>
      </c>
      <c r="BC1185">
        <v>5</v>
      </c>
      <c r="BD1185" t="s">
        <v>106</v>
      </c>
      <c r="BE1185">
        <v>1</v>
      </c>
      <c r="BF1185" t="s">
        <v>96</v>
      </c>
      <c r="BG1185" t="s">
        <v>126</v>
      </c>
      <c r="BH1185">
        <v>1970</v>
      </c>
      <c r="BI1185" t="s">
        <v>101</v>
      </c>
      <c r="BJ1185">
        <v>2</v>
      </c>
      <c r="BK1185">
        <v>720</v>
      </c>
      <c r="BL1185" t="s">
        <v>97</v>
      </c>
      <c r="BM1185" t="s">
        <v>97</v>
      </c>
      <c r="BN1185" t="s">
        <v>104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X1185">
        <v>0</v>
      </c>
      <c r="BY1185">
        <v>6</v>
      </c>
      <c r="BZ1185">
        <v>2006</v>
      </c>
      <c r="CA1185" t="s">
        <v>109</v>
      </c>
      <c r="CB1185" t="s">
        <v>110</v>
      </c>
      <c r="CC1185">
        <v>120000</v>
      </c>
    </row>
    <row r="1186" spans="1:81" x14ac:dyDescent="0.3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173</v>
      </c>
      <c r="H1186" t="s">
        <v>83</v>
      </c>
      <c r="I1186" t="s">
        <v>84</v>
      </c>
      <c r="J1186" t="s">
        <v>85</v>
      </c>
      <c r="K1186" t="s">
        <v>86</v>
      </c>
      <c r="L1186" t="s">
        <v>193</v>
      </c>
      <c r="M1186" t="s">
        <v>188</v>
      </c>
      <c r="N1186" t="s">
        <v>89</v>
      </c>
      <c r="O1186" t="s">
        <v>89</v>
      </c>
      <c r="P1186" t="s">
        <v>90</v>
      </c>
      <c r="Q1186" t="s">
        <v>114</v>
      </c>
      <c r="R1186">
        <v>5</v>
      </c>
      <c r="S1186">
        <v>4</v>
      </c>
      <c r="T1186">
        <v>1963</v>
      </c>
      <c r="U1186">
        <v>1963</v>
      </c>
      <c r="V1186" t="s">
        <v>151</v>
      </c>
      <c r="W1186" t="s">
        <v>93</v>
      </c>
      <c r="X1186" t="s">
        <v>115</v>
      </c>
      <c r="Y1186" t="s">
        <v>115</v>
      </c>
      <c r="Z1186" t="s">
        <v>95</v>
      </c>
      <c r="AA1186">
        <v>226</v>
      </c>
      <c r="AB1186" t="s">
        <v>97</v>
      </c>
      <c r="AC1186" t="s">
        <v>97</v>
      </c>
      <c r="AD1186" t="s">
        <v>117</v>
      </c>
      <c r="AE1186" t="s">
        <v>97</v>
      </c>
      <c r="AF1186" t="s">
        <v>97</v>
      </c>
      <c r="AG1186" t="s">
        <v>96</v>
      </c>
      <c r="AH1186" t="s">
        <v>152</v>
      </c>
      <c r="AI1186">
        <v>1159</v>
      </c>
      <c r="AJ1186" t="s">
        <v>101</v>
      </c>
      <c r="AK1186">
        <v>0</v>
      </c>
      <c r="AL1186">
        <v>413</v>
      </c>
      <c r="AM1186">
        <v>1572</v>
      </c>
      <c r="AN1186" t="s">
        <v>102</v>
      </c>
      <c r="AO1186" t="s">
        <v>96</v>
      </c>
      <c r="AP1186" t="s">
        <v>104</v>
      </c>
      <c r="AQ1186" t="s">
        <v>105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97</v>
      </c>
      <c r="BC1186">
        <v>5</v>
      </c>
      <c r="BD1186" t="s">
        <v>106</v>
      </c>
      <c r="BE1186">
        <v>2</v>
      </c>
      <c r="BF1186" t="s">
        <v>97</v>
      </c>
      <c r="BG1186" t="s">
        <v>216</v>
      </c>
      <c r="BH1186">
        <v>1963</v>
      </c>
      <c r="BI1186" t="s">
        <v>108</v>
      </c>
      <c r="BJ1186">
        <v>3</v>
      </c>
      <c r="BK1186">
        <v>995</v>
      </c>
      <c r="BL1186" t="s">
        <v>97</v>
      </c>
      <c r="BM1186" t="s">
        <v>97</v>
      </c>
      <c r="BN1186" t="s">
        <v>104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X1186">
        <v>0</v>
      </c>
      <c r="BY1186">
        <v>5</v>
      </c>
      <c r="BZ1186">
        <v>2007</v>
      </c>
      <c r="CA1186" t="s">
        <v>109</v>
      </c>
      <c r="CB1186" t="s">
        <v>110</v>
      </c>
      <c r="CC1186">
        <v>186700</v>
      </c>
    </row>
    <row r="1187" spans="1:81" x14ac:dyDescent="0.3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H1187" t="s">
        <v>83</v>
      </c>
      <c r="I1187" t="s">
        <v>84</v>
      </c>
      <c r="J1187" t="s">
        <v>85</v>
      </c>
      <c r="K1187" t="s">
        <v>86</v>
      </c>
      <c r="L1187" t="s">
        <v>87</v>
      </c>
      <c r="M1187" t="s">
        <v>184</v>
      </c>
      <c r="N1187" t="s">
        <v>89</v>
      </c>
      <c r="O1187" t="s">
        <v>89</v>
      </c>
      <c r="P1187" t="s">
        <v>90</v>
      </c>
      <c r="Q1187" t="s">
        <v>131</v>
      </c>
      <c r="R1187">
        <v>5</v>
      </c>
      <c r="S1187">
        <v>7</v>
      </c>
      <c r="T1187">
        <v>1924</v>
      </c>
      <c r="U1187">
        <v>1950</v>
      </c>
      <c r="V1187" t="s">
        <v>92</v>
      </c>
      <c r="W1187" t="s">
        <v>93</v>
      </c>
      <c r="X1187" t="s">
        <v>185</v>
      </c>
      <c r="Y1187" t="s">
        <v>185</v>
      </c>
      <c r="Z1187" t="s">
        <v>116</v>
      </c>
      <c r="AA1187">
        <v>0</v>
      </c>
      <c r="AB1187" t="s">
        <v>97</v>
      </c>
      <c r="AC1187" t="s">
        <v>96</v>
      </c>
      <c r="AD1187" t="s">
        <v>125</v>
      </c>
      <c r="AE1187" t="s">
        <v>97</v>
      </c>
      <c r="AF1187" t="s">
        <v>97</v>
      </c>
      <c r="AG1187" t="s">
        <v>99</v>
      </c>
      <c r="AH1187" t="s">
        <v>140</v>
      </c>
      <c r="AI1187">
        <v>392</v>
      </c>
      <c r="AJ1187" t="s">
        <v>101</v>
      </c>
      <c r="AK1187">
        <v>0</v>
      </c>
      <c r="AL1187">
        <v>392</v>
      </c>
      <c r="AM1187">
        <v>784</v>
      </c>
      <c r="AN1187" t="s">
        <v>102</v>
      </c>
      <c r="AO1187" t="s">
        <v>96</v>
      </c>
      <c r="AP1187" t="s">
        <v>104</v>
      </c>
      <c r="AQ1187" t="s">
        <v>105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97</v>
      </c>
      <c r="BC1187">
        <v>7</v>
      </c>
      <c r="BD1187" t="s">
        <v>106</v>
      </c>
      <c r="BE1187">
        <v>0</v>
      </c>
      <c r="BG1187" t="s">
        <v>107</v>
      </c>
      <c r="BH1187">
        <v>1965</v>
      </c>
      <c r="BI1187" t="s">
        <v>101</v>
      </c>
      <c r="BJ1187">
        <v>1</v>
      </c>
      <c r="BK1187">
        <v>392</v>
      </c>
      <c r="BL1187" t="s">
        <v>97</v>
      </c>
      <c r="BM1187" t="s">
        <v>97</v>
      </c>
      <c r="BN1187" t="s">
        <v>104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X1187">
        <v>0</v>
      </c>
      <c r="BY1187">
        <v>3</v>
      </c>
      <c r="BZ1187">
        <v>2006</v>
      </c>
      <c r="CA1187" t="s">
        <v>109</v>
      </c>
      <c r="CB1187" t="s">
        <v>110</v>
      </c>
      <c r="CC1187">
        <v>104900</v>
      </c>
    </row>
    <row r="1188" spans="1:81" x14ac:dyDescent="0.3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H1188" t="s">
        <v>119</v>
      </c>
      <c r="I1188" t="s">
        <v>174</v>
      </c>
      <c r="J1188" t="s">
        <v>85</v>
      </c>
      <c r="K1188" t="s">
        <v>121</v>
      </c>
      <c r="L1188" t="s">
        <v>193</v>
      </c>
      <c r="M1188" t="s">
        <v>142</v>
      </c>
      <c r="N1188" t="s">
        <v>143</v>
      </c>
      <c r="O1188" t="s">
        <v>143</v>
      </c>
      <c r="P1188" t="s">
        <v>148</v>
      </c>
      <c r="Q1188" t="s">
        <v>91</v>
      </c>
      <c r="R1188">
        <v>3</v>
      </c>
      <c r="S1188">
        <v>5</v>
      </c>
      <c r="T1188">
        <v>1900</v>
      </c>
      <c r="U1188">
        <v>1970</v>
      </c>
      <c r="V1188" t="s">
        <v>92</v>
      </c>
      <c r="W1188" t="s">
        <v>93</v>
      </c>
      <c r="X1188" t="s">
        <v>139</v>
      </c>
      <c r="Y1188" t="s">
        <v>139</v>
      </c>
      <c r="Z1188" t="s">
        <v>116</v>
      </c>
      <c r="AA1188">
        <v>0</v>
      </c>
      <c r="AB1188" t="s">
        <v>97</v>
      </c>
      <c r="AC1188" t="s">
        <v>97</v>
      </c>
      <c r="AD1188" t="s">
        <v>117</v>
      </c>
      <c r="AE1188" t="s">
        <v>146</v>
      </c>
      <c r="AF1188" t="s">
        <v>97</v>
      </c>
      <c r="AG1188" t="s">
        <v>120</v>
      </c>
      <c r="AH1188" t="s">
        <v>140</v>
      </c>
      <c r="AI1188">
        <v>440</v>
      </c>
      <c r="AJ1188" t="s">
        <v>101</v>
      </c>
      <c r="AK1188">
        <v>0</v>
      </c>
      <c r="AL1188">
        <v>538</v>
      </c>
      <c r="AM1188">
        <v>978</v>
      </c>
      <c r="AN1188" t="s">
        <v>102</v>
      </c>
      <c r="AO1188" t="s">
        <v>97</v>
      </c>
      <c r="AP1188" t="s">
        <v>104</v>
      </c>
      <c r="AQ1188" t="s">
        <v>105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97</v>
      </c>
      <c r="BC1188">
        <v>7</v>
      </c>
      <c r="BD1188" t="s">
        <v>106</v>
      </c>
      <c r="BE1188">
        <v>0</v>
      </c>
      <c r="BG1188" t="s">
        <v>168</v>
      </c>
      <c r="BH1188">
        <v>1920</v>
      </c>
      <c r="BI1188" t="s">
        <v>101</v>
      </c>
      <c r="BJ1188">
        <v>2</v>
      </c>
      <c r="BK1188">
        <v>420</v>
      </c>
      <c r="BL1188" t="s">
        <v>146</v>
      </c>
      <c r="BM1188" t="s">
        <v>146</v>
      </c>
      <c r="BN1188" t="s">
        <v>104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X1188">
        <v>0</v>
      </c>
      <c r="BY1188">
        <v>8</v>
      </c>
      <c r="BZ1188">
        <v>2009</v>
      </c>
      <c r="CA1188" t="s">
        <v>109</v>
      </c>
      <c r="CB1188" t="s">
        <v>127</v>
      </c>
      <c r="CC1188">
        <v>95000</v>
      </c>
    </row>
    <row r="1189" spans="1:81" x14ac:dyDescent="0.3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H1189" t="s">
        <v>83</v>
      </c>
      <c r="I1189" t="s">
        <v>84</v>
      </c>
      <c r="J1189" t="s">
        <v>85</v>
      </c>
      <c r="K1189" t="s">
        <v>121</v>
      </c>
      <c r="L1189" t="s">
        <v>87</v>
      </c>
      <c r="M1189" t="s">
        <v>128</v>
      </c>
      <c r="N1189" t="s">
        <v>89</v>
      </c>
      <c r="O1189" t="s">
        <v>89</v>
      </c>
      <c r="P1189" t="s">
        <v>90</v>
      </c>
      <c r="Q1189" t="s">
        <v>114</v>
      </c>
      <c r="R1189">
        <v>8</v>
      </c>
      <c r="S1189">
        <v>5</v>
      </c>
      <c r="T1189">
        <v>1994</v>
      </c>
      <c r="U1189">
        <v>1995</v>
      </c>
      <c r="V1189" t="s">
        <v>92</v>
      </c>
      <c r="W1189" t="s">
        <v>93</v>
      </c>
      <c r="X1189" t="s">
        <v>233</v>
      </c>
      <c r="Y1189" t="s">
        <v>233</v>
      </c>
      <c r="Z1189" t="s">
        <v>116</v>
      </c>
      <c r="AA1189">
        <v>0</v>
      </c>
      <c r="AB1189" t="s">
        <v>96</v>
      </c>
      <c r="AC1189" t="s">
        <v>97</v>
      </c>
      <c r="AD1189" t="s">
        <v>98</v>
      </c>
      <c r="AE1189" t="s">
        <v>96</v>
      </c>
      <c r="AF1189" t="s">
        <v>97</v>
      </c>
      <c r="AG1189" t="s">
        <v>99</v>
      </c>
      <c r="AH1189" t="s">
        <v>100</v>
      </c>
      <c r="AI1189">
        <v>1456</v>
      </c>
      <c r="AJ1189" t="s">
        <v>101</v>
      </c>
      <c r="AK1189">
        <v>0</v>
      </c>
      <c r="AL1189">
        <v>168</v>
      </c>
      <c r="AM1189">
        <v>1624</v>
      </c>
      <c r="AN1189" t="s">
        <v>102</v>
      </c>
      <c r="AO1189" t="s">
        <v>103</v>
      </c>
      <c r="AP1189" t="s">
        <v>104</v>
      </c>
      <c r="AQ1189" t="s">
        <v>105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96</v>
      </c>
      <c r="BC1189">
        <v>5</v>
      </c>
      <c r="BD1189" t="s">
        <v>106</v>
      </c>
      <c r="BE1189">
        <v>1</v>
      </c>
      <c r="BF1189" t="s">
        <v>146</v>
      </c>
      <c r="BG1189" t="s">
        <v>107</v>
      </c>
      <c r="BH1189">
        <v>1994</v>
      </c>
      <c r="BI1189" t="s">
        <v>108</v>
      </c>
      <c r="BJ1189">
        <v>3</v>
      </c>
      <c r="BK1189">
        <v>757</v>
      </c>
      <c r="BL1189" t="s">
        <v>97</v>
      </c>
      <c r="BM1189" t="s">
        <v>97</v>
      </c>
      <c r="BN1189" t="s">
        <v>104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V1189" t="s">
        <v>164</v>
      </c>
      <c r="BX1189">
        <v>0</v>
      </c>
      <c r="BY1189">
        <v>7</v>
      </c>
      <c r="BZ1189">
        <v>2006</v>
      </c>
      <c r="CA1189" t="s">
        <v>109</v>
      </c>
      <c r="CB1189" t="s">
        <v>110</v>
      </c>
      <c r="CC1189">
        <v>262000</v>
      </c>
    </row>
    <row r="1190" spans="1:81" x14ac:dyDescent="0.3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H1190" t="s">
        <v>119</v>
      </c>
      <c r="I1190" t="s">
        <v>84</v>
      </c>
      <c r="J1190" t="s">
        <v>85</v>
      </c>
      <c r="K1190" t="s">
        <v>86</v>
      </c>
      <c r="L1190" t="s">
        <v>87</v>
      </c>
      <c r="M1190" t="s">
        <v>88</v>
      </c>
      <c r="N1190" t="s">
        <v>89</v>
      </c>
      <c r="O1190" t="s">
        <v>89</v>
      </c>
      <c r="P1190" t="s">
        <v>90</v>
      </c>
      <c r="Q1190" t="s">
        <v>91</v>
      </c>
      <c r="R1190">
        <v>7</v>
      </c>
      <c r="S1190">
        <v>5</v>
      </c>
      <c r="T1190">
        <v>2002</v>
      </c>
      <c r="U1190">
        <v>2002</v>
      </c>
      <c r="V1190" t="s">
        <v>92</v>
      </c>
      <c r="W1190" t="s">
        <v>93</v>
      </c>
      <c r="X1190" t="s">
        <v>94</v>
      </c>
      <c r="Y1190" t="s">
        <v>94</v>
      </c>
      <c r="Z1190" t="s">
        <v>95</v>
      </c>
      <c r="AA1190">
        <v>95</v>
      </c>
      <c r="AB1190" t="s">
        <v>96</v>
      </c>
      <c r="AC1190" t="s">
        <v>97</v>
      </c>
      <c r="AD1190" t="s">
        <v>98</v>
      </c>
      <c r="AE1190" t="s">
        <v>96</v>
      </c>
      <c r="AF1190" t="s">
        <v>97</v>
      </c>
      <c r="AG1190" t="s">
        <v>99</v>
      </c>
      <c r="AH1190" t="s">
        <v>101</v>
      </c>
      <c r="AI1190">
        <v>0</v>
      </c>
      <c r="AJ1190" t="s">
        <v>101</v>
      </c>
      <c r="AK1190">
        <v>0</v>
      </c>
      <c r="AL1190">
        <v>831</v>
      </c>
      <c r="AM1190">
        <v>831</v>
      </c>
      <c r="AN1190" t="s">
        <v>102</v>
      </c>
      <c r="AO1190" t="s">
        <v>103</v>
      </c>
      <c r="AP1190" t="s">
        <v>104</v>
      </c>
      <c r="AQ1190" t="s">
        <v>105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96</v>
      </c>
      <c r="BC1190">
        <v>7</v>
      </c>
      <c r="BD1190" t="s">
        <v>106</v>
      </c>
      <c r="BE1190">
        <v>0</v>
      </c>
      <c r="BG1190" t="s">
        <v>107</v>
      </c>
      <c r="BH1190">
        <v>2002</v>
      </c>
      <c r="BI1190" t="s">
        <v>108</v>
      </c>
      <c r="BJ1190">
        <v>2</v>
      </c>
      <c r="BK1190">
        <v>493</v>
      </c>
      <c r="BL1190" t="s">
        <v>97</v>
      </c>
      <c r="BM1190" t="s">
        <v>97</v>
      </c>
      <c r="BN1190" t="s">
        <v>104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X1190">
        <v>0</v>
      </c>
      <c r="BY1190">
        <v>7</v>
      </c>
      <c r="BZ1190">
        <v>2009</v>
      </c>
      <c r="CA1190" t="s">
        <v>109</v>
      </c>
      <c r="CB1190" t="s">
        <v>110</v>
      </c>
      <c r="CC1190">
        <v>195000</v>
      </c>
    </row>
    <row r="1191" spans="1:81" x14ac:dyDescent="0.3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H1191" t="s">
        <v>83</v>
      </c>
      <c r="I1191" t="s">
        <v>84</v>
      </c>
      <c r="J1191" t="s">
        <v>85</v>
      </c>
      <c r="K1191" t="s">
        <v>86</v>
      </c>
      <c r="L1191" t="s">
        <v>87</v>
      </c>
      <c r="M1191" t="s">
        <v>192</v>
      </c>
      <c r="N1191" t="s">
        <v>89</v>
      </c>
      <c r="O1191" t="s">
        <v>89</v>
      </c>
      <c r="P1191" t="s">
        <v>90</v>
      </c>
      <c r="Q1191" t="s">
        <v>91</v>
      </c>
      <c r="R1191">
        <v>7</v>
      </c>
      <c r="S1191">
        <v>5</v>
      </c>
      <c r="T1191">
        <v>1999</v>
      </c>
      <c r="U1191">
        <v>1999</v>
      </c>
      <c r="V1191" t="s">
        <v>92</v>
      </c>
      <c r="W1191" t="s">
        <v>93</v>
      </c>
      <c r="X1191" t="s">
        <v>94</v>
      </c>
      <c r="Y1191" t="s">
        <v>94</v>
      </c>
      <c r="Z1191" t="s">
        <v>116</v>
      </c>
      <c r="AA1191">
        <v>0</v>
      </c>
      <c r="AB1191" t="s">
        <v>97</v>
      </c>
      <c r="AC1191" t="s">
        <v>97</v>
      </c>
      <c r="AD1191" t="s">
        <v>98</v>
      </c>
      <c r="AE1191" t="s">
        <v>97</v>
      </c>
      <c r="AF1191" t="s">
        <v>97</v>
      </c>
      <c r="AG1191" t="s">
        <v>99</v>
      </c>
      <c r="AH1191" t="s">
        <v>101</v>
      </c>
      <c r="AI1191">
        <v>0</v>
      </c>
      <c r="AJ1191" t="s">
        <v>101</v>
      </c>
      <c r="AK1191">
        <v>0</v>
      </c>
      <c r="AL1191">
        <v>994</v>
      </c>
      <c r="AM1191">
        <v>994</v>
      </c>
      <c r="AN1191" t="s">
        <v>102</v>
      </c>
      <c r="AO1191" t="s">
        <v>96</v>
      </c>
      <c r="AP1191" t="s">
        <v>104</v>
      </c>
      <c r="AQ1191" t="s">
        <v>105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96</v>
      </c>
      <c r="BC1191">
        <v>7</v>
      </c>
      <c r="BD1191" t="s">
        <v>106</v>
      </c>
      <c r="BE1191">
        <v>1</v>
      </c>
      <c r="BF1191" t="s">
        <v>97</v>
      </c>
      <c r="BG1191" t="s">
        <v>107</v>
      </c>
      <c r="BH1191">
        <v>1999</v>
      </c>
      <c r="BI1191" t="s">
        <v>156</v>
      </c>
      <c r="BJ1191">
        <v>2</v>
      </c>
      <c r="BK1191">
        <v>442</v>
      </c>
      <c r="BL1191" t="s">
        <v>97</v>
      </c>
      <c r="BM1191" t="s">
        <v>97</v>
      </c>
      <c r="BN1191" t="s">
        <v>104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X1191">
        <v>0</v>
      </c>
      <c r="BY1191">
        <v>6</v>
      </c>
      <c r="BZ1191">
        <v>2010</v>
      </c>
      <c r="CA1191" t="s">
        <v>109</v>
      </c>
      <c r="CB1191" t="s">
        <v>110</v>
      </c>
      <c r="CC1191">
        <v>189000</v>
      </c>
    </row>
    <row r="1192" spans="1:81" x14ac:dyDescent="0.3">
      <c r="A1192">
        <v>1191</v>
      </c>
      <c r="B1192">
        <v>190</v>
      </c>
      <c r="C1192" t="s">
        <v>81</v>
      </c>
      <c r="E1192">
        <v>32463</v>
      </c>
      <c r="F1192" t="s">
        <v>82</v>
      </c>
      <c r="H1192" t="s">
        <v>83</v>
      </c>
      <c r="I1192" t="s">
        <v>194</v>
      </c>
      <c r="J1192" t="s">
        <v>85</v>
      </c>
      <c r="K1192" t="s">
        <v>86</v>
      </c>
      <c r="L1192" t="s">
        <v>193</v>
      </c>
      <c r="M1192" t="s">
        <v>130</v>
      </c>
      <c r="N1192" t="s">
        <v>89</v>
      </c>
      <c r="O1192" t="s">
        <v>89</v>
      </c>
      <c r="P1192" t="s">
        <v>148</v>
      </c>
      <c r="Q1192" t="s">
        <v>114</v>
      </c>
      <c r="R1192">
        <v>4</v>
      </c>
      <c r="S1192">
        <v>4</v>
      </c>
      <c r="T1192">
        <v>1961</v>
      </c>
      <c r="U1192">
        <v>1975</v>
      </c>
      <c r="V1192" t="s">
        <v>92</v>
      </c>
      <c r="W1192" t="s">
        <v>93</v>
      </c>
      <c r="X1192" t="s">
        <v>115</v>
      </c>
      <c r="Y1192" t="s">
        <v>115</v>
      </c>
      <c r="Z1192" t="s">
        <v>136</v>
      </c>
      <c r="AA1192">
        <v>149</v>
      </c>
      <c r="AB1192" t="s">
        <v>97</v>
      </c>
      <c r="AC1192" t="s">
        <v>96</v>
      </c>
      <c r="AD1192" t="s">
        <v>117</v>
      </c>
      <c r="AE1192" t="s">
        <v>97</v>
      </c>
      <c r="AF1192" t="s">
        <v>97</v>
      </c>
      <c r="AG1192" t="s">
        <v>129</v>
      </c>
      <c r="AH1192" t="s">
        <v>140</v>
      </c>
      <c r="AI1192">
        <v>1159</v>
      </c>
      <c r="AJ1192" t="s">
        <v>101</v>
      </c>
      <c r="AK1192">
        <v>0</v>
      </c>
      <c r="AL1192">
        <v>90</v>
      </c>
      <c r="AM1192">
        <v>1249</v>
      </c>
      <c r="AN1192" t="s">
        <v>102</v>
      </c>
      <c r="AO1192" t="s">
        <v>103</v>
      </c>
      <c r="AP1192" t="s">
        <v>104</v>
      </c>
      <c r="AQ1192" t="s">
        <v>105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97</v>
      </c>
      <c r="BC1192">
        <v>7</v>
      </c>
      <c r="BD1192" t="s">
        <v>106</v>
      </c>
      <c r="BE1192">
        <v>1</v>
      </c>
      <c r="BF1192" t="s">
        <v>97</v>
      </c>
      <c r="BG1192" t="s">
        <v>216</v>
      </c>
      <c r="BH1192">
        <v>1975</v>
      </c>
      <c r="BI1192" t="s">
        <v>156</v>
      </c>
      <c r="BJ1192">
        <v>4</v>
      </c>
      <c r="BK1192">
        <v>1356</v>
      </c>
      <c r="BL1192" t="s">
        <v>97</v>
      </c>
      <c r="BM1192" t="s">
        <v>97</v>
      </c>
      <c r="BN1192" t="s">
        <v>104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X1192">
        <v>0</v>
      </c>
      <c r="BY1192">
        <v>3</v>
      </c>
      <c r="BZ1192">
        <v>2007</v>
      </c>
      <c r="CA1192" t="s">
        <v>109</v>
      </c>
      <c r="CB1192" t="s">
        <v>110</v>
      </c>
      <c r="CC1192">
        <v>168000</v>
      </c>
    </row>
    <row r="1193" spans="1:81" x14ac:dyDescent="0.3">
      <c r="A1193">
        <v>1192</v>
      </c>
      <c r="B1193">
        <v>160</v>
      </c>
      <c r="C1193" t="s">
        <v>191</v>
      </c>
      <c r="D1193">
        <v>24</v>
      </c>
      <c r="E1193">
        <v>2645</v>
      </c>
      <c r="F1193" t="s">
        <v>82</v>
      </c>
      <c r="G1193" t="s">
        <v>82</v>
      </c>
      <c r="H1193" t="s">
        <v>83</v>
      </c>
      <c r="I1193" t="s">
        <v>84</v>
      </c>
      <c r="J1193" t="s">
        <v>85</v>
      </c>
      <c r="K1193" t="s">
        <v>86</v>
      </c>
      <c r="L1193" t="s">
        <v>87</v>
      </c>
      <c r="M1193" t="s">
        <v>135</v>
      </c>
      <c r="N1193" t="s">
        <v>89</v>
      </c>
      <c r="O1193" t="s">
        <v>89</v>
      </c>
      <c r="P1193" t="s">
        <v>197</v>
      </c>
      <c r="Q1193" t="s">
        <v>91</v>
      </c>
      <c r="R1193">
        <v>8</v>
      </c>
      <c r="S1193">
        <v>5</v>
      </c>
      <c r="T1193">
        <v>1999</v>
      </c>
      <c r="U1193">
        <v>2000</v>
      </c>
      <c r="V1193" t="s">
        <v>92</v>
      </c>
      <c r="W1193" t="s">
        <v>93</v>
      </c>
      <c r="X1193" t="s">
        <v>115</v>
      </c>
      <c r="Y1193" t="s">
        <v>115</v>
      </c>
      <c r="Z1193" t="s">
        <v>95</v>
      </c>
      <c r="AA1193">
        <v>456</v>
      </c>
      <c r="AB1193" t="s">
        <v>96</v>
      </c>
      <c r="AC1193" t="s">
        <v>97</v>
      </c>
      <c r="AD1193" t="s">
        <v>98</v>
      </c>
      <c r="AE1193" t="s">
        <v>96</v>
      </c>
      <c r="AF1193" t="s">
        <v>97</v>
      </c>
      <c r="AG1193" t="s">
        <v>99</v>
      </c>
      <c r="AH1193" t="s">
        <v>101</v>
      </c>
      <c r="AI1193">
        <v>0</v>
      </c>
      <c r="AJ1193" t="s">
        <v>101</v>
      </c>
      <c r="AK1193">
        <v>0</v>
      </c>
      <c r="AL1193">
        <v>776</v>
      </c>
      <c r="AM1193">
        <v>776</v>
      </c>
      <c r="AN1193" t="s">
        <v>102</v>
      </c>
      <c r="AO1193" t="s">
        <v>103</v>
      </c>
      <c r="AP1193" t="s">
        <v>104</v>
      </c>
      <c r="AQ1193" t="s">
        <v>105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96</v>
      </c>
      <c r="BC1193">
        <v>5</v>
      </c>
      <c r="BD1193" t="s">
        <v>106</v>
      </c>
      <c r="BE1193">
        <v>0</v>
      </c>
      <c r="BG1193" t="s">
        <v>126</v>
      </c>
      <c r="BH1193">
        <v>1999</v>
      </c>
      <c r="BI1193" t="s">
        <v>101</v>
      </c>
      <c r="BJ1193">
        <v>2</v>
      </c>
      <c r="BK1193">
        <v>492</v>
      </c>
      <c r="BL1193" t="s">
        <v>97</v>
      </c>
      <c r="BM1193" t="s">
        <v>97</v>
      </c>
      <c r="BN1193" t="s">
        <v>104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X1193">
        <v>0</v>
      </c>
      <c r="BY1193">
        <v>11</v>
      </c>
      <c r="BZ1193">
        <v>2007</v>
      </c>
      <c r="CA1193" t="s">
        <v>109</v>
      </c>
      <c r="CB1193" t="s">
        <v>110</v>
      </c>
      <c r="CC1193">
        <v>174000</v>
      </c>
    </row>
    <row r="1194" spans="1:81" x14ac:dyDescent="0.3">
      <c r="A1194">
        <v>1193</v>
      </c>
      <c r="B1194">
        <v>50</v>
      </c>
      <c r="C1194" t="s">
        <v>141</v>
      </c>
      <c r="D1194">
        <v>60</v>
      </c>
      <c r="E1194">
        <v>9600</v>
      </c>
      <c r="F1194" t="s">
        <v>82</v>
      </c>
      <c r="G1194" t="s">
        <v>173</v>
      </c>
      <c r="H1194" t="s">
        <v>83</v>
      </c>
      <c r="I1194" t="s">
        <v>84</v>
      </c>
      <c r="J1194" t="s">
        <v>85</v>
      </c>
      <c r="K1194" t="s">
        <v>86</v>
      </c>
      <c r="L1194" t="s">
        <v>87</v>
      </c>
      <c r="M1194" t="s">
        <v>142</v>
      </c>
      <c r="N1194" t="s">
        <v>89</v>
      </c>
      <c r="O1194" t="s">
        <v>89</v>
      </c>
      <c r="P1194" t="s">
        <v>90</v>
      </c>
      <c r="Q1194" t="s">
        <v>131</v>
      </c>
      <c r="R1194">
        <v>5</v>
      </c>
      <c r="S1194">
        <v>8</v>
      </c>
      <c r="T1194">
        <v>1925</v>
      </c>
      <c r="U1194">
        <v>1994</v>
      </c>
      <c r="V1194" t="s">
        <v>183</v>
      </c>
      <c r="W1194" t="s">
        <v>93</v>
      </c>
      <c r="X1194" t="s">
        <v>94</v>
      </c>
      <c r="Y1194" t="s">
        <v>94</v>
      </c>
      <c r="Z1194" t="s">
        <v>116</v>
      </c>
      <c r="AA1194">
        <v>0</v>
      </c>
      <c r="AB1194" t="s">
        <v>97</v>
      </c>
      <c r="AC1194" t="s">
        <v>97</v>
      </c>
      <c r="AD1194" t="s">
        <v>98</v>
      </c>
      <c r="AE1194" t="s">
        <v>97</v>
      </c>
      <c r="AF1194" t="s">
        <v>97</v>
      </c>
      <c r="AG1194" t="s">
        <v>120</v>
      </c>
      <c r="AH1194" t="s">
        <v>101</v>
      </c>
      <c r="AI1194">
        <v>0</v>
      </c>
      <c r="AJ1194" t="s">
        <v>101</v>
      </c>
      <c r="AK1194">
        <v>0</v>
      </c>
      <c r="AL1194">
        <v>702</v>
      </c>
      <c r="AM1194">
        <v>702</v>
      </c>
      <c r="AN1194" t="s">
        <v>102</v>
      </c>
      <c r="AO1194" t="s">
        <v>96</v>
      </c>
      <c r="AP1194" t="s">
        <v>104</v>
      </c>
      <c r="AQ1194" t="s">
        <v>105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96</v>
      </c>
      <c r="BC1194">
        <v>6</v>
      </c>
      <c r="BD1194" t="s">
        <v>106</v>
      </c>
      <c r="BE1194">
        <v>0</v>
      </c>
      <c r="BG1194" t="s">
        <v>126</v>
      </c>
      <c r="BH1194">
        <v>1925</v>
      </c>
      <c r="BI1194" t="s">
        <v>101</v>
      </c>
      <c r="BJ1194">
        <v>1</v>
      </c>
      <c r="BK1194">
        <v>250</v>
      </c>
      <c r="BL1194" t="s">
        <v>97</v>
      </c>
      <c r="BM1194" t="s">
        <v>146</v>
      </c>
      <c r="BN1194" t="s">
        <v>189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V1194" t="s">
        <v>162</v>
      </c>
      <c r="BX1194">
        <v>0</v>
      </c>
      <c r="BY1194">
        <v>7</v>
      </c>
      <c r="BZ1194">
        <v>2007</v>
      </c>
      <c r="CA1194" t="s">
        <v>109</v>
      </c>
      <c r="CB1194" t="s">
        <v>110</v>
      </c>
      <c r="CC1194">
        <v>125000</v>
      </c>
    </row>
    <row r="1195" spans="1:81" x14ac:dyDescent="0.3">
      <c r="A1195">
        <v>1194</v>
      </c>
      <c r="B1195">
        <v>120</v>
      </c>
      <c r="C1195" t="s">
        <v>141</v>
      </c>
      <c r="E1195">
        <v>4500</v>
      </c>
      <c r="F1195" t="s">
        <v>82</v>
      </c>
      <c r="H1195" t="s">
        <v>83</v>
      </c>
      <c r="I1195" t="s">
        <v>84</v>
      </c>
      <c r="J1195" t="s">
        <v>85</v>
      </c>
      <c r="K1195" t="s">
        <v>111</v>
      </c>
      <c r="L1195" t="s">
        <v>87</v>
      </c>
      <c r="M1195" t="s">
        <v>130</v>
      </c>
      <c r="N1195" t="s">
        <v>89</v>
      </c>
      <c r="O1195" t="s">
        <v>89</v>
      </c>
      <c r="P1195" t="s">
        <v>178</v>
      </c>
      <c r="Q1195" t="s">
        <v>114</v>
      </c>
      <c r="R1195">
        <v>6</v>
      </c>
      <c r="S1195">
        <v>5</v>
      </c>
      <c r="T1195">
        <v>1999</v>
      </c>
      <c r="U1195">
        <v>1999</v>
      </c>
      <c r="V1195" t="s">
        <v>151</v>
      </c>
      <c r="W1195" t="s">
        <v>93</v>
      </c>
      <c r="X1195" t="s">
        <v>94</v>
      </c>
      <c r="Y1195" t="s">
        <v>94</v>
      </c>
      <c r="Z1195" t="s">
        <v>95</v>
      </c>
      <c r="AA1195">
        <v>425</v>
      </c>
      <c r="AB1195" t="s">
        <v>97</v>
      </c>
      <c r="AC1195" t="s">
        <v>97</v>
      </c>
      <c r="AD1195" t="s">
        <v>98</v>
      </c>
      <c r="AE1195" t="s">
        <v>103</v>
      </c>
      <c r="AF1195" t="s">
        <v>97</v>
      </c>
      <c r="AG1195" t="s">
        <v>99</v>
      </c>
      <c r="AH1195" t="s">
        <v>100</v>
      </c>
      <c r="AI1195">
        <v>883</v>
      </c>
      <c r="AJ1195" t="s">
        <v>101</v>
      </c>
      <c r="AK1195">
        <v>0</v>
      </c>
      <c r="AL1195">
        <v>341</v>
      </c>
      <c r="AM1195">
        <v>1224</v>
      </c>
      <c r="AN1195" t="s">
        <v>102</v>
      </c>
      <c r="AO1195" t="s">
        <v>103</v>
      </c>
      <c r="AP1195" t="s">
        <v>104</v>
      </c>
      <c r="AQ1195" t="s">
        <v>105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97</v>
      </c>
      <c r="BC1195">
        <v>5</v>
      </c>
      <c r="BD1195" t="s">
        <v>106</v>
      </c>
      <c r="BE1195">
        <v>0</v>
      </c>
      <c r="BG1195" t="s">
        <v>107</v>
      </c>
      <c r="BH1195">
        <v>1999</v>
      </c>
      <c r="BI1195" t="s">
        <v>156</v>
      </c>
      <c r="BJ1195">
        <v>2</v>
      </c>
      <c r="BK1195">
        <v>402</v>
      </c>
      <c r="BL1195" t="s">
        <v>97</v>
      </c>
      <c r="BM1195" t="s">
        <v>97</v>
      </c>
      <c r="BN1195" t="s">
        <v>104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X1195">
        <v>0</v>
      </c>
      <c r="BY1195">
        <v>6</v>
      </c>
      <c r="BZ1195">
        <v>2009</v>
      </c>
      <c r="CA1195" t="s">
        <v>109</v>
      </c>
      <c r="CB1195" t="s">
        <v>110</v>
      </c>
      <c r="CC1195">
        <v>165000</v>
      </c>
    </row>
    <row r="1196" spans="1:81" x14ac:dyDescent="0.3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H1196" t="s">
        <v>83</v>
      </c>
      <c r="I1196" t="s">
        <v>84</v>
      </c>
      <c r="J1196" t="s">
        <v>85</v>
      </c>
      <c r="K1196" t="s">
        <v>121</v>
      </c>
      <c r="L1196" t="s">
        <v>87</v>
      </c>
      <c r="M1196" t="s">
        <v>150</v>
      </c>
      <c r="N1196" t="s">
        <v>89</v>
      </c>
      <c r="O1196" t="s">
        <v>89</v>
      </c>
      <c r="P1196" t="s">
        <v>90</v>
      </c>
      <c r="Q1196" t="s">
        <v>91</v>
      </c>
      <c r="R1196">
        <v>6</v>
      </c>
      <c r="S1196">
        <v>7</v>
      </c>
      <c r="T1196">
        <v>1969</v>
      </c>
      <c r="U1196">
        <v>1969</v>
      </c>
      <c r="V1196" t="s">
        <v>92</v>
      </c>
      <c r="W1196" t="s">
        <v>93</v>
      </c>
      <c r="X1196" t="s">
        <v>139</v>
      </c>
      <c r="Y1196" t="s">
        <v>139</v>
      </c>
      <c r="Z1196" t="s">
        <v>136</v>
      </c>
      <c r="AA1196">
        <v>143</v>
      </c>
      <c r="AB1196" t="s">
        <v>97</v>
      </c>
      <c r="AC1196" t="s">
        <v>97</v>
      </c>
      <c r="AD1196" t="s">
        <v>117</v>
      </c>
      <c r="AE1196" t="s">
        <v>97</v>
      </c>
      <c r="AF1196" t="s">
        <v>97</v>
      </c>
      <c r="AG1196" t="s">
        <v>99</v>
      </c>
      <c r="AH1196" t="s">
        <v>118</v>
      </c>
      <c r="AI1196">
        <v>371</v>
      </c>
      <c r="AJ1196" t="s">
        <v>101</v>
      </c>
      <c r="AK1196">
        <v>0</v>
      </c>
      <c r="AL1196">
        <v>292</v>
      </c>
      <c r="AM1196">
        <v>663</v>
      </c>
      <c r="AN1196" t="s">
        <v>102</v>
      </c>
      <c r="AO1196" t="s">
        <v>97</v>
      </c>
      <c r="AP1196" t="s">
        <v>104</v>
      </c>
      <c r="AQ1196" t="s">
        <v>105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97</v>
      </c>
      <c r="BC1196">
        <v>7</v>
      </c>
      <c r="BD1196" t="s">
        <v>106</v>
      </c>
      <c r="BE1196">
        <v>0</v>
      </c>
      <c r="BG1196" t="s">
        <v>107</v>
      </c>
      <c r="BH1196">
        <v>1969</v>
      </c>
      <c r="BI1196" t="s">
        <v>156</v>
      </c>
      <c r="BJ1196">
        <v>1</v>
      </c>
      <c r="BK1196">
        <v>299</v>
      </c>
      <c r="BL1196" t="s">
        <v>97</v>
      </c>
      <c r="BM1196" t="s">
        <v>97</v>
      </c>
      <c r="BN1196" t="s">
        <v>104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V1196" t="s">
        <v>133</v>
      </c>
      <c r="BX1196">
        <v>0</v>
      </c>
      <c r="BY1196">
        <v>3</v>
      </c>
      <c r="BZ1196">
        <v>2010</v>
      </c>
      <c r="CA1196" t="s">
        <v>109</v>
      </c>
      <c r="CB1196" t="s">
        <v>110</v>
      </c>
      <c r="CC1196">
        <v>158000</v>
      </c>
    </row>
    <row r="1197" spans="1:81" x14ac:dyDescent="0.3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H1197" t="s">
        <v>119</v>
      </c>
      <c r="I1197" t="s">
        <v>84</v>
      </c>
      <c r="J1197" t="s">
        <v>85</v>
      </c>
      <c r="K1197" t="s">
        <v>86</v>
      </c>
      <c r="L1197" t="s">
        <v>87</v>
      </c>
      <c r="M1197" t="s">
        <v>192</v>
      </c>
      <c r="N1197" t="s">
        <v>89</v>
      </c>
      <c r="O1197" t="s">
        <v>89</v>
      </c>
      <c r="P1197" t="s">
        <v>90</v>
      </c>
      <c r="Q1197" t="s">
        <v>91</v>
      </c>
      <c r="R1197">
        <v>6</v>
      </c>
      <c r="S1197">
        <v>5</v>
      </c>
      <c r="T1197">
        <v>2005</v>
      </c>
      <c r="U1197">
        <v>2005</v>
      </c>
      <c r="V1197" t="s">
        <v>92</v>
      </c>
      <c r="W1197" t="s">
        <v>93</v>
      </c>
      <c r="X1197" t="s">
        <v>94</v>
      </c>
      <c r="Y1197" t="s">
        <v>94</v>
      </c>
      <c r="Z1197" t="s">
        <v>116</v>
      </c>
      <c r="AA1197">
        <v>0</v>
      </c>
      <c r="AB1197" t="s">
        <v>97</v>
      </c>
      <c r="AC1197" t="s">
        <v>97</v>
      </c>
      <c r="AD1197" t="s">
        <v>98</v>
      </c>
      <c r="AE1197" t="s">
        <v>96</v>
      </c>
      <c r="AF1197" t="s">
        <v>97</v>
      </c>
      <c r="AG1197" t="s">
        <v>99</v>
      </c>
      <c r="AH1197" t="s">
        <v>101</v>
      </c>
      <c r="AI1197">
        <v>0</v>
      </c>
      <c r="AJ1197" t="s">
        <v>101</v>
      </c>
      <c r="AK1197">
        <v>0</v>
      </c>
      <c r="AL1197">
        <v>728</v>
      </c>
      <c r="AM1197">
        <v>728</v>
      </c>
      <c r="AN1197" t="s">
        <v>102</v>
      </c>
      <c r="AO1197" t="s">
        <v>103</v>
      </c>
      <c r="AP1197" t="s">
        <v>104</v>
      </c>
      <c r="AQ1197" t="s">
        <v>105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96</v>
      </c>
      <c r="BC1197">
        <v>8</v>
      </c>
      <c r="BD1197" t="s">
        <v>106</v>
      </c>
      <c r="BE1197">
        <v>0</v>
      </c>
      <c r="BG1197" t="s">
        <v>107</v>
      </c>
      <c r="BH1197">
        <v>2005</v>
      </c>
      <c r="BI1197" t="s">
        <v>156</v>
      </c>
      <c r="BJ1197">
        <v>2</v>
      </c>
      <c r="BK1197">
        <v>400</v>
      </c>
      <c r="BL1197" t="s">
        <v>97</v>
      </c>
      <c r="BM1197" t="s">
        <v>97</v>
      </c>
      <c r="BN1197" t="s">
        <v>104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X1197">
        <v>0</v>
      </c>
      <c r="BY1197">
        <v>7</v>
      </c>
      <c r="BZ1197">
        <v>2008</v>
      </c>
      <c r="CA1197" t="s">
        <v>109</v>
      </c>
      <c r="CB1197" t="s">
        <v>110</v>
      </c>
      <c r="CC1197">
        <v>176000</v>
      </c>
    </row>
    <row r="1198" spans="1:81" x14ac:dyDescent="0.3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H1198" t="s">
        <v>119</v>
      </c>
      <c r="I1198" t="s">
        <v>84</v>
      </c>
      <c r="J1198" t="s">
        <v>85</v>
      </c>
      <c r="K1198" t="s">
        <v>86</v>
      </c>
      <c r="L1198" t="s">
        <v>87</v>
      </c>
      <c r="M1198" t="s">
        <v>192</v>
      </c>
      <c r="N1198" t="s">
        <v>89</v>
      </c>
      <c r="O1198" t="s">
        <v>89</v>
      </c>
      <c r="P1198" t="s">
        <v>90</v>
      </c>
      <c r="Q1198" t="s">
        <v>91</v>
      </c>
      <c r="R1198">
        <v>7</v>
      </c>
      <c r="S1198">
        <v>5</v>
      </c>
      <c r="T1198">
        <v>2006</v>
      </c>
      <c r="U1198">
        <v>2006</v>
      </c>
      <c r="V1198" t="s">
        <v>92</v>
      </c>
      <c r="W1198" t="s">
        <v>93</v>
      </c>
      <c r="X1198" t="s">
        <v>94</v>
      </c>
      <c r="Y1198" t="s">
        <v>94</v>
      </c>
      <c r="Z1198" t="s">
        <v>116</v>
      </c>
      <c r="AA1198">
        <v>0</v>
      </c>
      <c r="AB1198" t="s">
        <v>96</v>
      </c>
      <c r="AC1198" t="s">
        <v>97</v>
      </c>
      <c r="AD1198" t="s">
        <v>98</v>
      </c>
      <c r="AE1198" t="s">
        <v>96</v>
      </c>
      <c r="AF1198" t="s">
        <v>97</v>
      </c>
      <c r="AG1198" t="s">
        <v>129</v>
      </c>
      <c r="AH1198" t="s">
        <v>101</v>
      </c>
      <c r="AI1198">
        <v>0</v>
      </c>
      <c r="AJ1198" t="s">
        <v>101</v>
      </c>
      <c r="AK1198">
        <v>0</v>
      </c>
      <c r="AL1198">
        <v>879</v>
      </c>
      <c r="AM1198">
        <v>879</v>
      </c>
      <c r="AN1198" t="s">
        <v>102</v>
      </c>
      <c r="AO1198" t="s">
        <v>103</v>
      </c>
      <c r="AP1198" t="s">
        <v>104</v>
      </c>
      <c r="AQ1198" t="s">
        <v>105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96</v>
      </c>
      <c r="BC1198">
        <v>9</v>
      </c>
      <c r="BD1198" t="s">
        <v>106</v>
      </c>
      <c r="BE1198">
        <v>1</v>
      </c>
      <c r="BF1198" t="s">
        <v>96</v>
      </c>
      <c r="BG1198" t="s">
        <v>155</v>
      </c>
      <c r="BH1198">
        <v>2006</v>
      </c>
      <c r="BI1198" t="s">
        <v>156</v>
      </c>
      <c r="BJ1198">
        <v>3</v>
      </c>
      <c r="BK1198">
        <v>660</v>
      </c>
      <c r="BL1198" t="s">
        <v>97</v>
      </c>
      <c r="BM1198" t="s">
        <v>97</v>
      </c>
      <c r="BN1198" t="s">
        <v>104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X1198">
        <v>0</v>
      </c>
      <c r="BY1198">
        <v>11</v>
      </c>
      <c r="BZ1198">
        <v>2006</v>
      </c>
      <c r="CA1198" t="s">
        <v>157</v>
      </c>
      <c r="CB1198" t="s">
        <v>158</v>
      </c>
      <c r="CC1198">
        <v>219210</v>
      </c>
    </row>
    <row r="1199" spans="1:81" x14ac:dyDescent="0.3">
      <c r="A1199">
        <v>1198</v>
      </c>
      <c r="B1199">
        <v>75</v>
      </c>
      <c r="C1199" t="s">
        <v>141</v>
      </c>
      <c r="D1199">
        <v>65</v>
      </c>
      <c r="E1199">
        <v>8850</v>
      </c>
      <c r="F1199" t="s">
        <v>82</v>
      </c>
      <c r="H1199" t="s">
        <v>119</v>
      </c>
      <c r="I1199" t="s">
        <v>174</v>
      </c>
      <c r="J1199" t="s">
        <v>85</v>
      </c>
      <c r="K1199" t="s">
        <v>121</v>
      </c>
      <c r="L1199" t="s">
        <v>87</v>
      </c>
      <c r="M1199" t="s">
        <v>142</v>
      </c>
      <c r="N1199" t="s">
        <v>89</v>
      </c>
      <c r="O1199" t="s">
        <v>89</v>
      </c>
      <c r="P1199" t="s">
        <v>90</v>
      </c>
      <c r="Q1199" t="s">
        <v>200</v>
      </c>
      <c r="R1199">
        <v>7</v>
      </c>
      <c r="S1199">
        <v>6</v>
      </c>
      <c r="T1199">
        <v>1916</v>
      </c>
      <c r="U1199">
        <v>1950</v>
      </c>
      <c r="V1199" t="s">
        <v>92</v>
      </c>
      <c r="W1199" t="s">
        <v>93</v>
      </c>
      <c r="X1199" t="s">
        <v>115</v>
      </c>
      <c r="Y1199" t="s">
        <v>115</v>
      </c>
      <c r="Z1199" t="s">
        <v>116</v>
      </c>
      <c r="AA1199">
        <v>0</v>
      </c>
      <c r="AB1199" t="s">
        <v>97</v>
      </c>
      <c r="AC1199" t="s">
        <v>97</v>
      </c>
      <c r="AD1199" t="s">
        <v>125</v>
      </c>
      <c r="AE1199" t="s">
        <v>97</v>
      </c>
      <c r="AF1199" t="s">
        <v>97</v>
      </c>
      <c r="AG1199" t="s">
        <v>99</v>
      </c>
      <c r="AH1199" t="s">
        <v>101</v>
      </c>
      <c r="AI1199">
        <v>0</v>
      </c>
      <c r="AJ1199" t="s">
        <v>101</v>
      </c>
      <c r="AK1199">
        <v>0</v>
      </c>
      <c r="AL1199">
        <v>815</v>
      </c>
      <c r="AM1199">
        <v>815</v>
      </c>
      <c r="AN1199" t="s">
        <v>102</v>
      </c>
      <c r="AO1199" t="s">
        <v>103</v>
      </c>
      <c r="AP1199" t="s">
        <v>104</v>
      </c>
      <c r="AQ1199" t="s">
        <v>105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97</v>
      </c>
      <c r="BC1199">
        <v>7</v>
      </c>
      <c r="BD1199" t="s">
        <v>106</v>
      </c>
      <c r="BE1199">
        <v>1</v>
      </c>
      <c r="BF1199" t="s">
        <v>96</v>
      </c>
      <c r="BG1199" t="s">
        <v>126</v>
      </c>
      <c r="BH1199">
        <v>1916</v>
      </c>
      <c r="BI1199" t="s">
        <v>101</v>
      </c>
      <c r="BJ1199">
        <v>1</v>
      </c>
      <c r="BK1199">
        <v>225</v>
      </c>
      <c r="BL1199" t="s">
        <v>97</v>
      </c>
      <c r="BM1199" t="s">
        <v>97</v>
      </c>
      <c r="BN1199" t="s">
        <v>104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X1199">
        <v>0</v>
      </c>
      <c r="BY1199">
        <v>7</v>
      </c>
      <c r="BZ1199">
        <v>2006</v>
      </c>
      <c r="CA1199" t="s">
        <v>234</v>
      </c>
      <c r="CB1199" t="s">
        <v>110</v>
      </c>
      <c r="CC1199">
        <v>144000</v>
      </c>
    </row>
    <row r="1200" spans="1:81" x14ac:dyDescent="0.3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H1200" t="s">
        <v>83</v>
      </c>
      <c r="I1200" t="s">
        <v>84</v>
      </c>
      <c r="J1200" t="s">
        <v>85</v>
      </c>
      <c r="K1200" t="s">
        <v>86</v>
      </c>
      <c r="L1200" t="s">
        <v>87</v>
      </c>
      <c r="M1200" t="s">
        <v>88</v>
      </c>
      <c r="N1200" t="s">
        <v>89</v>
      </c>
      <c r="O1200" t="s">
        <v>89</v>
      </c>
      <c r="P1200" t="s">
        <v>90</v>
      </c>
      <c r="Q1200" t="s">
        <v>114</v>
      </c>
      <c r="R1200">
        <v>7</v>
      </c>
      <c r="S1200">
        <v>5</v>
      </c>
      <c r="T1200">
        <v>2001</v>
      </c>
      <c r="U1200">
        <v>2001</v>
      </c>
      <c r="V1200" t="s">
        <v>92</v>
      </c>
      <c r="W1200" t="s">
        <v>93</v>
      </c>
      <c r="X1200" t="s">
        <v>94</v>
      </c>
      <c r="Y1200" t="s">
        <v>94</v>
      </c>
      <c r="Z1200" t="s">
        <v>116</v>
      </c>
      <c r="AA1200">
        <v>0</v>
      </c>
      <c r="AB1200" t="s">
        <v>96</v>
      </c>
      <c r="AC1200" t="s">
        <v>97</v>
      </c>
      <c r="AD1200" t="s">
        <v>98</v>
      </c>
      <c r="AE1200" t="s">
        <v>96</v>
      </c>
      <c r="AF1200" t="s">
        <v>97</v>
      </c>
      <c r="AG1200" t="s">
        <v>99</v>
      </c>
      <c r="AH1200" t="s">
        <v>101</v>
      </c>
      <c r="AI1200">
        <v>0</v>
      </c>
      <c r="AJ1200" t="s">
        <v>101</v>
      </c>
      <c r="AK1200">
        <v>0</v>
      </c>
      <c r="AL1200">
        <v>1212</v>
      </c>
      <c r="AM1200">
        <v>1212</v>
      </c>
      <c r="AN1200" t="s">
        <v>102</v>
      </c>
      <c r="AO1200" t="s">
        <v>103</v>
      </c>
      <c r="AP1200" t="s">
        <v>104</v>
      </c>
      <c r="AQ1200" t="s">
        <v>105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96</v>
      </c>
      <c r="BC1200">
        <v>6</v>
      </c>
      <c r="BD1200" t="s">
        <v>106</v>
      </c>
      <c r="BE1200">
        <v>0</v>
      </c>
      <c r="BG1200" t="s">
        <v>107</v>
      </c>
      <c r="BH1200">
        <v>2001</v>
      </c>
      <c r="BI1200" t="s">
        <v>108</v>
      </c>
      <c r="BJ1200">
        <v>2</v>
      </c>
      <c r="BK1200">
        <v>573</v>
      </c>
      <c r="BL1200" t="s">
        <v>97</v>
      </c>
      <c r="BM1200" t="s">
        <v>97</v>
      </c>
      <c r="BN1200" t="s">
        <v>104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X1200">
        <v>0</v>
      </c>
      <c r="BY1200">
        <v>6</v>
      </c>
      <c r="BZ1200">
        <v>2009</v>
      </c>
      <c r="CA1200" t="s">
        <v>109</v>
      </c>
      <c r="CB1200" t="s">
        <v>110</v>
      </c>
      <c r="CC1200">
        <v>178000</v>
      </c>
    </row>
    <row r="1201" spans="1:81" x14ac:dyDescent="0.3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H1201" t="s">
        <v>83</v>
      </c>
      <c r="I1201" t="s">
        <v>84</v>
      </c>
      <c r="J1201" t="s">
        <v>85</v>
      </c>
      <c r="K1201" t="s">
        <v>86</v>
      </c>
      <c r="L1201" t="s">
        <v>87</v>
      </c>
      <c r="M1201" t="s">
        <v>150</v>
      </c>
      <c r="N1201" t="s">
        <v>89</v>
      </c>
      <c r="O1201" t="s">
        <v>89</v>
      </c>
      <c r="P1201" t="s">
        <v>90</v>
      </c>
      <c r="Q1201" t="s">
        <v>114</v>
      </c>
      <c r="R1201">
        <v>4</v>
      </c>
      <c r="S1201">
        <v>5</v>
      </c>
      <c r="T1201">
        <v>1963</v>
      </c>
      <c r="U1201">
        <v>1979</v>
      </c>
      <c r="V1201" t="s">
        <v>92</v>
      </c>
      <c r="W1201" t="s">
        <v>93</v>
      </c>
      <c r="X1201" t="s">
        <v>139</v>
      </c>
      <c r="Y1201" t="s">
        <v>139</v>
      </c>
      <c r="Z1201" t="s">
        <v>95</v>
      </c>
      <c r="AA1201">
        <v>51</v>
      </c>
      <c r="AB1201" t="s">
        <v>97</v>
      </c>
      <c r="AC1201" t="s">
        <v>97</v>
      </c>
      <c r="AD1201" t="s">
        <v>117</v>
      </c>
      <c r="AE1201" t="s">
        <v>97</v>
      </c>
      <c r="AF1201" t="s">
        <v>97</v>
      </c>
      <c r="AG1201" t="s">
        <v>99</v>
      </c>
      <c r="AH1201" t="s">
        <v>152</v>
      </c>
      <c r="AI1201">
        <v>547</v>
      </c>
      <c r="AJ1201" t="s">
        <v>101</v>
      </c>
      <c r="AK1201">
        <v>0</v>
      </c>
      <c r="AL1201">
        <v>504</v>
      </c>
      <c r="AM1201">
        <v>1051</v>
      </c>
      <c r="AN1201" t="s">
        <v>102</v>
      </c>
      <c r="AO1201" t="s">
        <v>96</v>
      </c>
      <c r="AP1201" t="s">
        <v>104</v>
      </c>
      <c r="AQ1201" t="s">
        <v>105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97</v>
      </c>
      <c r="BC1201">
        <v>6</v>
      </c>
      <c r="BD1201" t="s">
        <v>106</v>
      </c>
      <c r="BE1201">
        <v>1</v>
      </c>
      <c r="BF1201" t="s">
        <v>211</v>
      </c>
      <c r="BG1201" t="s">
        <v>107</v>
      </c>
      <c r="BH1201">
        <v>1974</v>
      </c>
      <c r="BI1201" t="s">
        <v>101</v>
      </c>
      <c r="BJ1201">
        <v>2</v>
      </c>
      <c r="BK1201">
        <v>459</v>
      </c>
      <c r="BL1201" t="s">
        <v>97</v>
      </c>
      <c r="BM1201" t="s">
        <v>97</v>
      </c>
      <c r="BN1201" t="s">
        <v>104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X1201">
        <v>0</v>
      </c>
      <c r="BY1201">
        <v>10</v>
      </c>
      <c r="BZ1201">
        <v>2006</v>
      </c>
      <c r="CA1201" t="s">
        <v>109</v>
      </c>
      <c r="CB1201" t="s">
        <v>110</v>
      </c>
      <c r="CC1201">
        <v>148000</v>
      </c>
    </row>
    <row r="1202" spans="1:81" x14ac:dyDescent="0.3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H1202" t="s">
        <v>83</v>
      </c>
      <c r="I1202" t="s">
        <v>84</v>
      </c>
      <c r="J1202" t="s">
        <v>85</v>
      </c>
      <c r="K1202" t="s">
        <v>86</v>
      </c>
      <c r="L1202" t="s">
        <v>87</v>
      </c>
      <c r="M1202" t="s">
        <v>270</v>
      </c>
      <c r="N1202" t="s">
        <v>89</v>
      </c>
      <c r="O1202" t="s">
        <v>89</v>
      </c>
      <c r="P1202" t="s">
        <v>90</v>
      </c>
      <c r="Q1202" t="s">
        <v>114</v>
      </c>
      <c r="R1202">
        <v>4</v>
      </c>
      <c r="S1202">
        <v>5</v>
      </c>
      <c r="T1202">
        <v>1970</v>
      </c>
      <c r="U1202">
        <v>1970</v>
      </c>
      <c r="V1202" t="s">
        <v>92</v>
      </c>
      <c r="W1202" t="s">
        <v>93</v>
      </c>
      <c r="X1202" t="s">
        <v>115</v>
      </c>
      <c r="Y1202" t="s">
        <v>115</v>
      </c>
      <c r="Z1202" t="s">
        <v>116</v>
      </c>
      <c r="AA1202">
        <v>0</v>
      </c>
      <c r="AB1202" t="s">
        <v>97</v>
      </c>
      <c r="AC1202" t="s">
        <v>97</v>
      </c>
      <c r="AD1202" t="s">
        <v>117</v>
      </c>
      <c r="AE1202" t="s">
        <v>97</v>
      </c>
      <c r="AF1202" t="s">
        <v>97</v>
      </c>
      <c r="AG1202" t="s">
        <v>99</v>
      </c>
      <c r="AH1202" t="s">
        <v>101</v>
      </c>
      <c r="AI1202">
        <v>0</v>
      </c>
      <c r="AJ1202" t="s">
        <v>101</v>
      </c>
      <c r="AK1202">
        <v>0</v>
      </c>
      <c r="AL1202">
        <v>864</v>
      </c>
      <c r="AM1202">
        <v>864</v>
      </c>
      <c r="AN1202" t="s">
        <v>102</v>
      </c>
      <c r="AO1202" t="s">
        <v>96</v>
      </c>
      <c r="AP1202" t="s">
        <v>104</v>
      </c>
      <c r="AQ1202" t="s">
        <v>105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97</v>
      </c>
      <c r="BC1202">
        <v>5</v>
      </c>
      <c r="BD1202" t="s">
        <v>106</v>
      </c>
      <c r="BE1202">
        <v>0</v>
      </c>
      <c r="BG1202" t="s">
        <v>107</v>
      </c>
      <c r="BH1202">
        <v>1972</v>
      </c>
      <c r="BI1202" t="s">
        <v>101</v>
      </c>
      <c r="BJ1202">
        <v>1</v>
      </c>
      <c r="BK1202">
        <v>280</v>
      </c>
      <c r="BL1202" t="s">
        <v>97</v>
      </c>
      <c r="BM1202" t="s">
        <v>97</v>
      </c>
      <c r="BN1202" t="s">
        <v>104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W1202" t="s">
        <v>134</v>
      </c>
      <c r="BX1202">
        <v>0</v>
      </c>
      <c r="BY1202">
        <v>7</v>
      </c>
      <c r="BZ1202">
        <v>2006</v>
      </c>
      <c r="CA1202" t="s">
        <v>248</v>
      </c>
      <c r="CB1202" t="s">
        <v>127</v>
      </c>
      <c r="CC1202">
        <v>116050</v>
      </c>
    </row>
    <row r="1203" spans="1:81" x14ac:dyDescent="0.3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H1203" t="s">
        <v>83</v>
      </c>
      <c r="I1203" t="s">
        <v>84</v>
      </c>
      <c r="J1203" t="s">
        <v>85</v>
      </c>
      <c r="K1203" t="s">
        <v>121</v>
      </c>
      <c r="L1203" t="s">
        <v>87</v>
      </c>
      <c r="M1203" t="s">
        <v>88</v>
      </c>
      <c r="N1203" t="s">
        <v>89</v>
      </c>
      <c r="O1203" t="s">
        <v>89</v>
      </c>
      <c r="P1203" t="s">
        <v>90</v>
      </c>
      <c r="Q1203" t="s">
        <v>91</v>
      </c>
      <c r="R1203">
        <v>7</v>
      </c>
      <c r="S1203">
        <v>5</v>
      </c>
      <c r="T1203">
        <v>1998</v>
      </c>
      <c r="U1203">
        <v>1998</v>
      </c>
      <c r="V1203" t="s">
        <v>92</v>
      </c>
      <c r="W1203" t="s">
        <v>93</v>
      </c>
      <c r="X1203" t="s">
        <v>94</v>
      </c>
      <c r="Y1203" t="s">
        <v>94</v>
      </c>
      <c r="Z1203" t="s">
        <v>116</v>
      </c>
      <c r="AA1203">
        <v>0</v>
      </c>
      <c r="AB1203" t="s">
        <v>97</v>
      </c>
      <c r="AC1203" t="s">
        <v>97</v>
      </c>
      <c r="AD1203" t="s">
        <v>98</v>
      </c>
      <c r="AE1203" t="s">
        <v>96</v>
      </c>
      <c r="AF1203" t="s">
        <v>97</v>
      </c>
      <c r="AG1203" t="s">
        <v>129</v>
      </c>
      <c r="AH1203" t="s">
        <v>101</v>
      </c>
      <c r="AI1203">
        <v>0</v>
      </c>
      <c r="AJ1203" t="s">
        <v>101</v>
      </c>
      <c r="AK1203">
        <v>0</v>
      </c>
      <c r="AL1203">
        <v>866</v>
      </c>
      <c r="AM1203">
        <v>866</v>
      </c>
      <c r="AN1203" t="s">
        <v>102</v>
      </c>
      <c r="AO1203" t="s">
        <v>103</v>
      </c>
      <c r="AP1203" t="s">
        <v>104</v>
      </c>
      <c r="AQ1203" t="s">
        <v>105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96</v>
      </c>
      <c r="BC1203">
        <v>6</v>
      </c>
      <c r="BD1203" t="s">
        <v>106</v>
      </c>
      <c r="BE1203">
        <v>0</v>
      </c>
      <c r="BG1203" t="s">
        <v>107</v>
      </c>
      <c r="BH1203">
        <v>1998</v>
      </c>
      <c r="BI1203" t="s">
        <v>108</v>
      </c>
      <c r="BJ1203">
        <v>2</v>
      </c>
      <c r="BK1203">
        <v>546</v>
      </c>
      <c r="BL1203" t="s">
        <v>97</v>
      </c>
      <c r="BM1203" t="s">
        <v>97</v>
      </c>
      <c r="BN1203" t="s">
        <v>104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X1203">
        <v>0</v>
      </c>
      <c r="BY1203">
        <v>3</v>
      </c>
      <c r="BZ1203">
        <v>2009</v>
      </c>
      <c r="CA1203" t="s">
        <v>109</v>
      </c>
      <c r="CB1203" t="s">
        <v>110</v>
      </c>
      <c r="CC1203">
        <v>197900</v>
      </c>
    </row>
    <row r="1204" spans="1:81" x14ac:dyDescent="0.3">
      <c r="A1204">
        <v>1203</v>
      </c>
      <c r="B1204">
        <v>50</v>
      </c>
      <c r="C1204" t="s">
        <v>141</v>
      </c>
      <c r="D1204">
        <v>50</v>
      </c>
      <c r="E1204">
        <v>6000</v>
      </c>
      <c r="F1204" t="s">
        <v>82</v>
      </c>
      <c r="H1204" t="s">
        <v>83</v>
      </c>
      <c r="I1204" t="s">
        <v>84</v>
      </c>
      <c r="J1204" t="s">
        <v>85</v>
      </c>
      <c r="K1204" t="s">
        <v>121</v>
      </c>
      <c r="L1204" t="s">
        <v>87</v>
      </c>
      <c r="M1204" t="s">
        <v>147</v>
      </c>
      <c r="N1204" t="s">
        <v>89</v>
      </c>
      <c r="O1204" t="s">
        <v>89</v>
      </c>
      <c r="P1204" t="s">
        <v>90</v>
      </c>
      <c r="Q1204" t="s">
        <v>131</v>
      </c>
      <c r="R1204">
        <v>5</v>
      </c>
      <c r="S1204">
        <v>8</v>
      </c>
      <c r="T1204">
        <v>1925</v>
      </c>
      <c r="U1204">
        <v>1997</v>
      </c>
      <c r="V1204" t="s">
        <v>92</v>
      </c>
      <c r="W1204" t="s">
        <v>93</v>
      </c>
      <c r="X1204" t="s">
        <v>123</v>
      </c>
      <c r="Y1204" t="s">
        <v>123</v>
      </c>
      <c r="Z1204" t="s">
        <v>116</v>
      </c>
      <c r="AA1204">
        <v>0</v>
      </c>
      <c r="AB1204" t="s">
        <v>97</v>
      </c>
      <c r="AC1204" t="s">
        <v>97</v>
      </c>
      <c r="AD1204" t="s">
        <v>125</v>
      </c>
      <c r="AE1204" t="s">
        <v>97</v>
      </c>
      <c r="AF1204" t="s">
        <v>97</v>
      </c>
      <c r="AG1204" t="s">
        <v>99</v>
      </c>
      <c r="AH1204" t="s">
        <v>101</v>
      </c>
      <c r="AI1204">
        <v>0</v>
      </c>
      <c r="AJ1204" t="s">
        <v>101</v>
      </c>
      <c r="AK1204">
        <v>0</v>
      </c>
      <c r="AL1204">
        <v>884</v>
      </c>
      <c r="AM1204">
        <v>884</v>
      </c>
      <c r="AN1204" t="s">
        <v>102</v>
      </c>
      <c r="AO1204" t="s">
        <v>103</v>
      </c>
      <c r="AP1204" t="s">
        <v>104</v>
      </c>
      <c r="AQ1204" t="s">
        <v>105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97</v>
      </c>
      <c r="BC1204">
        <v>5</v>
      </c>
      <c r="BD1204" t="s">
        <v>106</v>
      </c>
      <c r="BE1204">
        <v>1</v>
      </c>
      <c r="BF1204" t="s">
        <v>146</v>
      </c>
      <c r="BG1204" t="s">
        <v>126</v>
      </c>
      <c r="BH1204">
        <v>1960</v>
      </c>
      <c r="BI1204" t="s">
        <v>101</v>
      </c>
      <c r="BJ1204">
        <v>1</v>
      </c>
      <c r="BK1204">
        <v>216</v>
      </c>
      <c r="BL1204" t="s">
        <v>97</v>
      </c>
      <c r="BM1204" t="s">
        <v>97</v>
      </c>
      <c r="BN1204" t="s">
        <v>176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X1204">
        <v>0</v>
      </c>
      <c r="BY1204">
        <v>5</v>
      </c>
      <c r="BZ1204">
        <v>2009</v>
      </c>
      <c r="CA1204" t="s">
        <v>109</v>
      </c>
      <c r="CB1204" t="s">
        <v>110</v>
      </c>
      <c r="CC1204">
        <v>117000</v>
      </c>
    </row>
    <row r="1205" spans="1:81" x14ac:dyDescent="0.3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H1205" t="s">
        <v>83</v>
      </c>
      <c r="I1205" t="s">
        <v>84</v>
      </c>
      <c r="J1205" t="s">
        <v>85</v>
      </c>
      <c r="K1205" t="s">
        <v>86</v>
      </c>
      <c r="L1205" t="s">
        <v>87</v>
      </c>
      <c r="M1205" t="s">
        <v>88</v>
      </c>
      <c r="N1205" t="s">
        <v>89</v>
      </c>
      <c r="O1205" t="s">
        <v>89</v>
      </c>
      <c r="P1205" t="s">
        <v>90</v>
      </c>
      <c r="Q1205" t="s">
        <v>114</v>
      </c>
      <c r="R1205">
        <v>7</v>
      </c>
      <c r="S1205">
        <v>5</v>
      </c>
      <c r="T1205">
        <v>2000</v>
      </c>
      <c r="U1205">
        <v>2001</v>
      </c>
      <c r="V1205" t="s">
        <v>92</v>
      </c>
      <c r="W1205" t="s">
        <v>93</v>
      </c>
      <c r="X1205" t="s">
        <v>94</v>
      </c>
      <c r="Y1205" t="s">
        <v>94</v>
      </c>
      <c r="Z1205" t="s">
        <v>95</v>
      </c>
      <c r="AA1205">
        <v>171</v>
      </c>
      <c r="AB1205" t="s">
        <v>96</v>
      </c>
      <c r="AC1205" t="s">
        <v>97</v>
      </c>
      <c r="AD1205" t="s">
        <v>98</v>
      </c>
      <c r="AE1205" t="s">
        <v>96</v>
      </c>
      <c r="AF1205" t="s">
        <v>97</v>
      </c>
      <c r="AG1205" t="s">
        <v>99</v>
      </c>
      <c r="AH1205" t="s">
        <v>101</v>
      </c>
      <c r="AI1205">
        <v>0</v>
      </c>
      <c r="AJ1205" t="s">
        <v>101</v>
      </c>
      <c r="AK1205">
        <v>0</v>
      </c>
      <c r="AL1205">
        <v>1630</v>
      </c>
      <c r="AM1205">
        <v>1630</v>
      </c>
      <c r="AN1205" t="s">
        <v>102</v>
      </c>
      <c r="AO1205" t="s">
        <v>103</v>
      </c>
      <c r="AP1205" t="s">
        <v>104</v>
      </c>
      <c r="AQ1205" t="s">
        <v>105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96</v>
      </c>
      <c r="BC1205">
        <v>6</v>
      </c>
      <c r="BD1205" t="s">
        <v>106</v>
      </c>
      <c r="BE1205">
        <v>1</v>
      </c>
      <c r="BF1205" t="s">
        <v>97</v>
      </c>
      <c r="BG1205" t="s">
        <v>107</v>
      </c>
      <c r="BH1205">
        <v>2000</v>
      </c>
      <c r="BI1205" t="s">
        <v>101</v>
      </c>
      <c r="BJ1205">
        <v>2</v>
      </c>
      <c r="BK1205">
        <v>451</v>
      </c>
      <c r="BL1205" t="s">
        <v>97</v>
      </c>
      <c r="BM1205" t="s">
        <v>97</v>
      </c>
      <c r="BN1205" t="s">
        <v>104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X1205">
        <v>0</v>
      </c>
      <c r="BY1205">
        <v>10</v>
      </c>
      <c r="BZ1205">
        <v>2009</v>
      </c>
      <c r="CA1205" t="s">
        <v>109</v>
      </c>
      <c r="CB1205" t="s">
        <v>110</v>
      </c>
      <c r="CC1205">
        <v>213000</v>
      </c>
    </row>
    <row r="1206" spans="1:81" x14ac:dyDescent="0.3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H1206" t="s">
        <v>83</v>
      </c>
      <c r="I1206" t="s">
        <v>84</v>
      </c>
      <c r="J1206" t="s">
        <v>85</v>
      </c>
      <c r="K1206" t="s">
        <v>86</v>
      </c>
      <c r="L1206" t="s">
        <v>87</v>
      </c>
      <c r="M1206" t="s">
        <v>137</v>
      </c>
      <c r="N1206" t="s">
        <v>89</v>
      </c>
      <c r="O1206" t="s">
        <v>89</v>
      </c>
      <c r="P1206" t="s">
        <v>90</v>
      </c>
      <c r="Q1206" t="s">
        <v>114</v>
      </c>
      <c r="R1206">
        <v>5</v>
      </c>
      <c r="S1206">
        <v>6</v>
      </c>
      <c r="T1206">
        <v>1975</v>
      </c>
      <c r="U1206">
        <v>1975</v>
      </c>
      <c r="V1206" t="s">
        <v>92</v>
      </c>
      <c r="W1206" t="s">
        <v>93</v>
      </c>
      <c r="X1206" t="s">
        <v>139</v>
      </c>
      <c r="Y1206" t="s">
        <v>139</v>
      </c>
      <c r="Z1206" t="s">
        <v>116</v>
      </c>
      <c r="AA1206">
        <v>0</v>
      </c>
      <c r="AB1206" t="s">
        <v>97</v>
      </c>
      <c r="AC1206" t="s">
        <v>97</v>
      </c>
      <c r="AD1206" t="s">
        <v>117</v>
      </c>
      <c r="AE1206" t="s">
        <v>96</v>
      </c>
      <c r="AF1206" t="s">
        <v>97</v>
      </c>
      <c r="AG1206" t="s">
        <v>99</v>
      </c>
      <c r="AH1206" t="s">
        <v>118</v>
      </c>
      <c r="AI1206">
        <v>788</v>
      </c>
      <c r="AJ1206" t="s">
        <v>101</v>
      </c>
      <c r="AK1206">
        <v>0</v>
      </c>
      <c r="AL1206">
        <v>268</v>
      </c>
      <c r="AM1206">
        <v>1056</v>
      </c>
      <c r="AN1206" t="s">
        <v>102</v>
      </c>
      <c r="AO1206" t="s">
        <v>103</v>
      </c>
      <c r="AP1206" t="s">
        <v>104</v>
      </c>
      <c r="AQ1206" t="s">
        <v>105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97</v>
      </c>
      <c r="BC1206">
        <v>6</v>
      </c>
      <c r="BD1206" t="s">
        <v>106</v>
      </c>
      <c r="BE1206">
        <v>0</v>
      </c>
      <c r="BG1206" t="s">
        <v>107</v>
      </c>
      <c r="BH1206">
        <v>1975</v>
      </c>
      <c r="BI1206" t="s">
        <v>108</v>
      </c>
      <c r="BJ1206">
        <v>2</v>
      </c>
      <c r="BK1206">
        <v>495</v>
      </c>
      <c r="BL1206" t="s">
        <v>97</v>
      </c>
      <c r="BM1206" t="s">
        <v>97</v>
      </c>
      <c r="BN1206" t="s">
        <v>104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V1206" t="s">
        <v>133</v>
      </c>
      <c r="BX1206">
        <v>0</v>
      </c>
      <c r="BY1206">
        <v>7</v>
      </c>
      <c r="BZ1206">
        <v>2006</v>
      </c>
      <c r="CA1206" t="s">
        <v>109</v>
      </c>
      <c r="CB1206" t="s">
        <v>110</v>
      </c>
      <c r="CC1206">
        <v>153500</v>
      </c>
    </row>
    <row r="1207" spans="1:81" x14ac:dyDescent="0.3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H1207" t="s">
        <v>119</v>
      </c>
      <c r="I1207" t="s">
        <v>84</v>
      </c>
      <c r="J1207" t="s">
        <v>85</v>
      </c>
      <c r="K1207" t="s">
        <v>165</v>
      </c>
      <c r="L1207" t="s">
        <v>87</v>
      </c>
      <c r="M1207" t="s">
        <v>169</v>
      </c>
      <c r="N1207" t="s">
        <v>89</v>
      </c>
      <c r="O1207" t="s">
        <v>89</v>
      </c>
      <c r="P1207" t="s">
        <v>90</v>
      </c>
      <c r="Q1207" t="s">
        <v>114</v>
      </c>
      <c r="R1207">
        <v>7</v>
      </c>
      <c r="S1207">
        <v>7</v>
      </c>
      <c r="T1207">
        <v>1990</v>
      </c>
      <c r="U1207">
        <v>1991</v>
      </c>
      <c r="V1207" t="s">
        <v>151</v>
      </c>
      <c r="W1207" t="s">
        <v>93</v>
      </c>
      <c r="X1207" t="s">
        <v>139</v>
      </c>
      <c r="Y1207" t="s">
        <v>139</v>
      </c>
      <c r="Z1207" t="s">
        <v>95</v>
      </c>
      <c r="AA1207">
        <v>234</v>
      </c>
      <c r="AB1207" t="s">
        <v>96</v>
      </c>
      <c r="AC1207" t="s">
        <v>97</v>
      </c>
      <c r="AD1207" t="s">
        <v>117</v>
      </c>
      <c r="AE1207" t="s">
        <v>96</v>
      </c>
      <c r="AF1207" t="s">
        <v>97</v>
      </c>
      <c r="AG1207" t="s">
        <v>120</v>
      </c>
      <c r="AH1207" t="s">
        <v>118</v>
      </c>
      <c r="AI1207">
        <v>485</v>
      </c>
      <c r="AJ1207" t="s">
        <v>140</v>
      </c>
      <c r="AK1207">
        <v>177</v>
      </c>
      <c r="AL1207">
        <v>1496</v>
      </c>
      <c r="AM1207">
        <v>2158</v>
      </c>
      <c r="AN1207" t="s">
        <v>102</v>
      </c>
      <c r="AO1207" t="s">
        <v>96</v>
      </c>
      <c r="AP1207" t="s">
        <v>104</v>
      </c>
      <c r="AQ1207" t="s">
        <v>105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96</v>
      </c>
      <c r="BC1207">
        <v>7</v>
      </c>
      <c r="BD1207" t="s">
        <v>106</v>
      </c>
      <c r="BE1207">
        <v>1</v>
      </c>
      <c r="BF1207" t="s">
        <v>97</v>
      </c>
      <c r="BG1207" t="s">
        <v>107</v>
      </c>
      <c r="BH1207">
        <v>1990</v>
      </c>
      <c r="BI1207" t="s">
        <v>108</v>
      </c>
      <c r="BJ1207">
        <v>3</v>
      </c>
      <c r="BK1207">
        <v>701</v>
      </c>
      <c r="BL1207" t="s">
        <v>97</v>
      </c>
      <c r="BM1207" t="s">
        <v>97</v>
      </c>
      <c r="BN1207" t="s">
        <v>104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X1207">
        <v>0</v>
      </c>
      <c r="BY1207">
        <v>6</v>
      </c>
      <c r="BZ1207">
        <v>2009</v>
      </c>
      <c r="CA1207" t="s">
        <v>109</v>
      </c>
      <c r="CB1207" t="s">
        <v>110</v>
      </c>
      <c r="CC1207">
        <v>271900</v>
      </c>
    </row>
    <row r="1208" spans="1:81" x14ac:dyDescent="0.3">
      <c r="A1208">
        <v>1207</v>
      </c>
      <c r="B1208">
        <v>20</v>
      </c>
      <c r="C1208" t="s">
        <v>238</v>
      </c>
      <c r="E1208">
        <v>8900</v>
      </c>
      <c r="F1208" t="s">
        <v>82</v>
      </c>
      <c r="H1208" t="s">
        <v>83</v>
      </c>
      <c r="I1208" t="s">
        <v>84</v>
      </c>
      <c r="J1208" t="s">
        <v>85</v>
      </c>
      <c r="K1208" t="s">
        <v>86</v>
      </c>
      <c r="L1208" t="s">
        <v>87</v>
      </c>
      <c r="M1208" t="s">
        <v>169</v>
      </c>
      <c r="N1208" t="s">
        <v>89</v>
      </c>
      <c r="O1208" t="s">
        <v>89</v>
      </c>
      <c r="P1208" t="s">
        <v>90</v>
      </c>
      <c r="Q1208" t="s">
        <v>114</v>
      </c>
      <c r="R1208">
        <v>4</v>
      </c>
      <c r="S1208">
        <v>4</v>
      </c>
      <c r="T1208">
        <v>1966</v>
      </c>
      <c r="U1208">
        <v>1966</v>
      </c>
      <c r="V1208" t="s">
        <v>92</v>
      </c>
      <c r="W1208" t="s">
        <v>93</v>
      </c>
      <c r="X1208" t="s">
        <v>139</v>
      </c>
      <c r="Y1208" t="s">
        <v>139</v>
      </c>
      <c r="Z1208" t="s">
        <v>116</v>
      </c>
      <c r="AA1208">
        <v>0</v>
      </c>
      <c r="AB1208" t="s">
        <v>97</v>
      </c>
      <c r="AC1208" t="s">
        <v>97</v>
      </c>
      <c r="AD1208" t="s">
        <v>117</v>
      </c>
      <c r="AE1208" t="s">
        <v>97</v>
      </c>
      <c r="AF1208" t="s">
        <v>97</v>
      </c>
      <c r="AG1208" t="s">
        <v>99</v>
      </c>
      <c r="AH1208" t="s">
        <v>152</v>
      </c>
      <c r="AI1208">
        <v>1056</v>
      </c>
      <c r="AJ1208" t="s">
        <v>101</v>
      </c>
      <c r="AK1208">
        <v>0</v>
      </c>
      <c r="AL1208">
        <v>0</v>
      </c>
      <c r="AM1208">
        <v>1056</v>
      </c>
      <c r="AN1208" t="s">
        <v>102</v>
      </c>
      <c r="AO1208" t="s">
        <v>97</v>
      </c>
      <c r="AP1208" t="s">
        <v>104</v>
      </c>
      <c r="AQ1208" t="s">
        <v>105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97</v>
      </c>
      <c r="BC1208">
        <v>5</v>
      </c>
      <c r="BD1208" t="s">
        <v>106</v>
      </c>
      <c r="BE1208">
        <v>0</v>
      </c>
      <c r="BG1208" t="s">
        <v>126</v>
      </c>
      <c r="BH1208">
        <v>1966</v>
      </c>
      <c r="BI1208" t="s">
        <v>101</v>
      </c>
      <c r="BJ1208">
        <v>1</v>
      </c>
      <c r="BK1208">
        <v>384</v>
      </c>
      <c r="BL1208" t="s">
        <v>97</v>
      </c>
      <c r="BM1208" t="s">
        <v>97</v>
      </c>
      <c r="BN1208" t="s">
        <v>104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V1208" t="s">
        <v>133</v>
      </c>
      <c r="BX1208">
        <v>0</v>
      </c>
      <c r="BY1208">
        <v>11</v>
      </c>
      <c r="BZ1208">
        <v>2006</v>
      </c>
      <c r="CA1208" t="s">
        <v>109</v>
      </c>
      <c r="CB1208" t="s">
        <v>110</v>
      </c>
      <c r="CC1208">
        <v>107000</v>
      </c>
    </row>
    <row r="1209" spans="1:81" x14ac:dyDescent="0.3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H1209" t="s">
        <v>83</v>
      </c>
      <c r="I1209" t="s">
        <v>84</v>
      </c>
      <c r="J1209" t="s">
        <v>85</v>
      </c>
      <c r="K1209" t="s">
        <v>86</v>
      </c>
      <c r="L1209" t="s">
        <v>87</v>
      </c>
      <c r="M1209" t="s">
        <v>88</v>
      </c>
      <c r="N1209" t="s">
        <v>89</v>
      </c>
      <c r="O1209" t="s">
        <v>89</v>
      </c>
      <c r="P1209" t="s">
        <v>90</v>
      </c>
      <c r="Q1209" t="s">
        <v>114</v>
      </c>
      <c r="R1209">
        <v>6</v>
      </c>
      <c r="S1209">
        <v>5</v>
      </c>
      <c r="T1209">
        <v>2003</v>
      </c>
      <c r="U1209">
        <v>2003</v>
      </c>
      <c r="V1209" t="s">
        <v>92</v>
      </c>
      <c r="W1209" t="s">
        <v>93</v>
      </c>
      <c r="X1209" t="s">
        <v>94</v>
      </c>
      <c r="Y1209" t="s">
        <v>94</v>
      </c>
      <c r="Z1209" t="s">
        <v>95</v>
      </c>
      <c r="AA1209">
        <v>120</v>
      </c>
      <c r="AB1209" t="s">
        <v>96</v>
      </c>
      <c r="AC1209" t="s">
        <v>97</v>
      </c>
      <c r="AD1209" t="s">
        <v>98</v>
      </c>
      <c r="AE1209" t="s">
        <v>96</v>
      </c>
      <c r="AF1209" t="s">
        <v>97</v>
      </c>
      <c r="AG1209" t="s">
        <v>129</v>
      </c>
      <c r="AH1209" t="s">
        <v>100</v>
      </c>
      <c r="AI1209">
        <v>340</v>
      </c>
      <c r="AJ1209" t="s">
        <v>101</v>
      </c>
      <c r="AK1209">
        <v>0</v>
      </c>
      <c r="AL1209">
        <v>1342</v>
      </c>
      <c r="AM1209">
        <v>1682</v>
      </c>
      <c r="AN1209" t="s">
        <v>102</v>
      </c>
      <c r="AO1209" t="s">
        <v>103</v>
      </c>
      <c r="AP1209" t="s">
        <v>104</v>
      </c>
      <c r="AQ1209" t="s">
        <v>105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96</v>
      </c>
      <c r="BC1209">
        <v>7</v>
      </c>
      <c r="BD1209" t="s">
        <v>106</v>
      </c>
      <c r="BE1209">
        <v>0</v>
      </c>
      <c r="BG1209" t="s">
        <v>107</v>
      </c>
      <c r="BH1209">
        <v>2003</v>
      </c>
      <c r="BI1209" t="s">
        <v>108</v>
      </c>
      <c r="BJ1209">
        <v>2</v>
      </c>
      <c r="BK1209">
        <v>544</v>
      </c>
      <c r="BL1209" t="s">
        <v>97</v>
      </c>
      <c r="BM1209" t="s">
        <v>97</v>
      </c>
      <c r="BN1209" t="s">
        <v>104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X1209">
        <v>0</v>
      </c>
      <c r="BY1209">
        <v>5</v>
      </c>
      <c r="BZ1209">
        <v>2006</v>
      </c>
      <c r="CA1209" t="s">
        <v>109</v>
      </c>
      <c r="CB1209" t="s">
        <v>110</v>
      </c>
      <c r="CC1209">
        <v>200000</v>
      </c>
    </row>
    <row r="1210" spans="1:81" x14ac:dyDescent="0.3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H1210" t="s">
        <v>83</v>
      </c>
      <c r="I1210" t="s">
        <v>84</v>
      </c>
      <c r="J1210" t="s">
        <v>85</v>
      </c>
      <c r="K1210" t="s">
        <v>86</v>
      </c>
      <c r="L1210" t="s">
        <v>87</v>
      </c>
      <c r="M1210" t="s">
        <v>270</v>
      </c>
      <c r="N1210" t="s">
        <v>89</v>
      </c>
      <c r="O1210" t="s">
        <v>89</v>
      </c>
      <c r="P1210" t="s">
        <v>90</v>
      </c>
      <c r="Q1210" t="s">
        <v>114</v>
      </c>
      <c r="R1210">
        <v>5</v>
      </c>
      <c r="S1210">
        <v>7</v>
      </c>
      <c r="T1210">
        <v>1962</v>
      </c>
      <c r="U1210">
        <v>1980</v>
      </c>
      <c r="V1210" t="s">
        <v>92</v>
      </c>
      <c r="W1210" t="s">
        <v>93</v>
      </c>
      <c r="X1210" t="s">
        <v>115</v>
      </c>
      <c r="Y1210" t="s">
        <v>115</v>
      </c>
      <c r="Z1210" t="s">
        <v>116</v>
      </c>
      <c r="AA1210">
        <v>0</v>
      </c>
      <c r="AB1210" t="s">
        <v>97</v>
      </c>
      <c r="AC1210" t="s">
        <v>96</v>
      </c>
      <c r="AD1210" t="s">
        <v>117</v>
      </c>
      <c r="AE1210" t="s">
        <v>97</v>
      </c>
      <c r="AF1210" t="s">
        <v>97</v>
      </c>
      <c r="AG1210" t="s">
        <v>99</v>
      </c>
      <c r="AH1210" t="s">
        <v>152</v>
      </c>
      <c r="AI1210">
        <v>504</v>
      </c>
      <c r="AJ1210" t="s">
        <v>140</v>
      </c>
      <c r="AK1210">
        <v>108</v>
      </c>
      <c r="AL1210">
        <v>319</v>
      </c>
      <c r="AM1210">
        <v>931</v>
      </c>
      <c r="AN1210" t="s">
        <v>102</v>
      </c>
      <c r="AO1210" t="s">
        <v>97</v>
      </c>
      <c r="AP1210" t="s">
        <v>104</v>
      </c>
      <c r="AQ1210" t="s">
        <v>105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97</v>
      </c>
      <c r="BC1210">
        <v>6</v>
      </c>
      <c r="BD1210" t="s">
        <v>106</v>
      </c>
      <c r="BE1210">
        <v>0</v>
      </c>
      <c r="BG1210" t="s">
        <v>126</v>
      </c>
      <c r="BH1210">
        <v>1980</v>
      </c>
      <c r="BI1210" t="s">
        <v>101</v>
      </c>
      <c r="BJ1210">
        <v>2</v>
      </c>
      <c r="BK1210">
        <v>506</v>
      </c>
      <c r="BL1210" t="s">
        <v>97</v>
      </c>
      <c r="BM1210" t="s">
        <v>97</v>
      </c>
      <c r="BN1210" t="s">
        <v>104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X1210">
        <v>0</v>
      </c>
      <c r="BY1210">
        <v>10</v>
      </c>
      <c r="BZ1210">
        <v>2008</v>
      </c>
      <c r="CA1210" t="s">
        <v>109</v>
      </c>
      <c r="CB1210" t="s">
        <v>110</v>
      </c>
      <c r="CC1210">
        <v>140000</v>
      </c>
    </row>
    <row r="1211" spans="1:81" x14ac:dyDescent="0.3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H1211" t="s">
        <v>119</v>
      </c>
      <c r="I1211" t="s">
        <v>84</v>
      </c>
      <c r="J1211" t="s">
        <v>85</v>
      </c>
      <c r="K1211" t="s">
        <v>165</v>
      </c>
      <c r="L1211" t="s">
        <v>87</v>
      </c>
      <c r="M1211" t="s">
        <v>135</v>
      </c>
      <c r="N1211" t="s">
        <v>181</v>
      </c>
      <c r="O1211" t="s">
        <v>89</v>
      </c>
      <c r="P1211" t="s">
        <v>90</v>
      </c>
      <c r="Q1211" t="s">
        <v>114</v>
      </c>
      <c r="R1211">
        <v>8</v>
      </c>
      <c r="S1211">
        <v>5</v>
      </c>
      <c r="T1211">
        <v>2006</v>
      </c>
      <c r="U1211">
        <v>2006</v>
      </c>
      <c r="V1211" t="s">
        <v>151</v>
      </c>
      <c r="W1211" t="s">
        <v>93</v>
      </c>
      <c r="X1211" t="s">
        <v>94</v>
      </c>
      <c r="Y1211" t="s">
        <v>94</v>
      </c>
      <c r="Z1211" t="s">
        <v>136</v>
      </c>
      <c r="AA1211">
        <v>420</v>
      </c>
      <c r="AB1211" t="s">
        <v>96</v>
      </c>
      <c r="AC1211" t="s">
        <v>97</v>
      </c>
      <c r="AD1211" t="s">
        <v>98</v>
      </c>
      <c r="AE1211" t="s">
        <v>103</v>
      </c>
      <c r="AF1211" t="s">
        <v>97</v>
      </c>
      <c r="AG1211" t="s">
        <v>120</v>
      </c>
      <c r="AH1211" t="s">
        <v>100</v>
      </c>
      <c r="AI1211">
        <v>1220</v>
      </c>
      <c r="AJ1211" t="s">
        <v>101</v>
      </c>
      <c r="AK1211">
        <v>0</v>
      </c>
      <c r="AL1211">
        <v>440</v>
      </c>
      <c r="AM1211">
        <v>1660</v>
      </c>
      <c r="AN1211" t="s">
        <v>102</v>
      </c>
      <c r="AO1211" t="s">
        <v>103</v>
      </c>
      <c r="AP1211" t="s">
        <v>104</v>
      </c>
      <c r="AQ1211" t="s">
        <v>105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96</v>
      </c>
      <c r="BC1211">
        <v>8</v>
      </c>
      <c r="BD1211" t="s">
        <v>106</v>
      </c>
      <c r="BE1211">
        <v>1</v>
      </c>
      <c r="BF1211" t="s">
        <v>96</v>
      </c>
      <c r="BG1211" t="s">
        <v>107</v>
      </c>
      <c r="BH1211">
        <v>2006</v>
      </c>
      <c r="BI1211" t="s">
        <v>108</v>
      </c>
      <c r="BJ1211">
        <v>2</v>
      </c>
      <c r="BK1211">
        <v>500</v>
      </c>
      <c r="BL1211" t="s">
        <v>97</v>
      </c>
      <c r="BM1211" t="s">
        <v>97</v>
      </c>
      <c r="BN1211" t="s">
        <v>104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X1211">
        <v>0</v>
      </c>
      <c r="BY1211">
        <v>5</v>
      </c>
      <c r="BZ1211">
        <v>2006</v>
      </c>
      <c r="CA1211" t="s">
        <v>157</v>
      </c>
      <c r="CB1211" t="s">
        <v>158</v>
      </c>
      <c r="CC1211">
        <v>290000</v>
      </c>
    </row>
    <row r="1212" spans="1:81" x14ac:dyDescent="0.3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H1212" t="s">
        <v>83</v>
      </c>
      <c r="I1212" t="s">
        <v>84</v>
      </c>
      <c r="J1212" t="s">
        <v>85</v>
      </c>
      <c r="K1212" t="s">
        <v>86</v>
      </c>
      <c r="L1212" t="s">
        <v>87</v>
      </c>
      <c r="M1212" t="s">
        <v>169</v>
      </c>
      <c r="N1212" t="s">
        <v>89</v>
      </c>
      <c r="O1212" t="s">
        <v>89</v>
      </c>
      <c r="P1212" t="s">
        <v>90</v>
      </c>
      <c r="Q1212" t="s">
        <v>91</v>
      </c>
      <c r="R1212">
        <v>6</v>
      </c>
      <c r="S1212">
        <v>5</v>
      </c>
      <c r="T1212">
        <v>1992</v>
      </c>
      <c r="U1212">
        <v>1992</v>
      </c>
      <c r="V1212" t="s">
        <v>92</v>
      </c>
      <c r="W1212" t="s">
        <v>93</v>
      </c>
      <c r="X1212" t="s">
        <v>123</v>
      </c>
      <c r="Y1212" t="s">
        <v>123</v>
      </c>
      <c r="Z1212" t="s">
        <v>116</v>
      </c>
      <c r="AA1212">
        <v>0</v>
      </c>
      <c r="AB1212" t="s">
        <v>96</v>
      </c>
      <c r="AC1212" t="s">
        <v>97</v>
      </c>
      <c r="AD1212" t="s">
        <v>98</v>
      </c>
      <c r="AE1212" t="s">
        <v>96</v>
      </c>
      <c r="AF1212" t="s">
        <v>97</v>
      </c>
      <c r="AG1212" t="s">
        <v>99</v>
      </c>
      <c r="AH1212" t="s">
        <v>101</v>
      </c>
      <c r="AI1212">
        <v>0</v>
      </c>
      <c r="AJ1212" t="s">
        <v>101</v>
      </c>
      <c r="AK1212">
        <v>0</v>
      </c>
      <c r="AL1212">
        <v>1055</v>
      </c>
      <c r="AM1212">
        <v>1055</v>
      </c>
      <c r="AN1212" t="s">
        <v>102</v>
      </c>
      <c r="AO1212" t="s">
        <v>103</v>
      </c>
      <c r="AP1212" t="s">
        <v>104</v>
      </c>
      <c r="AQ1212" t="s">
        <v>105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96</v>
      </c>
      <c r="BC1212">
        <v>8</v>
      </c>
      <c r="BD1212" t="s">
        <v>106</v>
      </c>
      <c r="BE1212">
        <v>1</v>
      </c>
      <c r="BF1212" t="s">
        <v>97</v>
      </c>
      <c r="BG1212" t="s">
        <v>107</v>
      </c>
      <c r="BH1212">
        <v>1992</v>
      </c>
      <c r="BI1212" t="s">
        <v>108</v>
      </c>
      <c r="BJ1212">
        <v>2</v>
      </c>
      <c r="BK1212">
        <v>462</v>
      </c>
      <c r="BL1212" t="s">
        <v>97</v>
      </c>
      <c r="BM1212" t="s">
        <v>97</v>
      </c>
      <c r="BN1212" t="s">
        <v>104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V1212" t="s">
        <v>164</v>
      </c>
      <c r="BW1212" t="s">
        <v>134</v>
      </c>
      <c r="BX1212">
        <v>400</v>
      </c>
      <c r="BY1212">
        <v>5</v>
      </c>
      <c r="BZ1212">
        <v>2010</v>
      </c>
      <c r="CA1212" t="s">
        <v>109</v>
      </c>
      <c r="CB1212" t="s">
        <v>110</v>
      </c>
      <c r="CC1212">
        <v>189000</v>
      </c>
    </row>
    <row r="1213" spans="1:81" x14ac:dyDescent="0.3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H1213" t="s">
        <v>119</v>
      </c>
      <c r="I1213" t="s">
        <v>174</v>
      </c>
      <c r="J1213" t="s">
        <v>85</v>
      </c>
      <c r="K1213" t="s">
        <v>86</v>
      </c>
      <c r="L1213" t="s">
        <v>193</v>
      </c>
      <c r="M1213" t="s">
        <v>192</v>
      </c>
      <c r="N1213" t="s">
        <v>89</v>
      </c>
      <c r="O1213" t="s">
        <v>89</v>
      </c>
      <c r="P1213" t="s">
        <v>90</v>
      </c>
      <c r="Q1213" t="s">
        <v>131</v>
      </c>
      <c r="R1213">
        <v>8</v>
      </c>
      <c r="S1213">
        <v>7</v>
      </c>
      <c r="T1213">
        <v>1988</v>
      </c>
      <c r="U1213">
        <v>2005</v>
      </c>
      <c r="V1213" t="s">
        <v>92</v>
      </c>
      <c r="W1213" t="s">
        <v>93</v>
      </c>
      <c r="X1213" t="s">
        <v>123</v>
      </c>
      <c r="Y1213" t="s">
        <v>123</v>
      </c>
      <c r="Z1213" t="s">
        <v>116</v>
      </c>
      <c r="AA1213">
        <v>0</v>
      </c>
      <c r="AB1213" t="s">
        <v>96</v>
      </c>
      <c r="AC1213" t="s">
        <v>97</v>
      </c>
      <c r="AD1213" t="s">
        <v>132</v>
      </c>
      <c r="AE1213" t="s">
        <v>96</v>
      </c>
      <c r="AF1213" t="s">
        <v>97</v>
      </c>
      <c r="AG1213" t="s">
        <v>129</v>
      </c>
      <c r="AH1213" t="s">
        <v>100</v>
      </c>
      <c r="AI1213">
        <v>427</v>
      </c>
      <c r="AJ1213" t="s">
        <v>101</v>
      </c>
      <c r="AK1213">
        <v>0</v>
      </c>
      <c r="AL1213">
        <v>132</v>
      </c>
      <c r="AM1213">
        <v>559</v>
      </c>
      <c r="AN1213" t="s">
        <v>102</v>
      </c>
      <c r="AO1213" t="s">
        <v>96</v>
      </c>
      <c r="AP1213" t="s">
        <v>104</v>
      </c>
      <c r="AQ1213" t="s">
        <v>105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97</v>
      </c>
      <c r="BC1213">
        <v>8</v>
      </c>
      <c r="BD1213" t="s">
        <v>106</v>
      </c>
      <c r="BE1213">
        <v>0</v>
      </c>
      <c r="BG1213" t="s">
        <v>208</v>
      </c>
      <c r="BH1213">
        <v>1988</v>
      </c>
      <c r="BI1213" t="s">
        <v>108</v>
      </c>
      <c r="BJ1213">
        <v>2</v>
      </c>
      <c r="BK1213">
        <v>492</v>
      </c>
      <c r="BL1213" t="s">
        <v>97</v>
      </c>
      <c r="BM1213" t="s">
        <v>97</v>
      </c>
      <c r="BN1213" t="s">
        <v>104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X1213">
        <v>0</v>
      </c>
      <c r="BY1213">
        <v>6</v>
      </c>
      <c r="BZ1213">
        <v>2010</v>
      </c>
      <c r="CA1213" t="s">
        <v>109</v>
      </c>
      <c r="CB1213" t="s">
        <v>110</v>
      </c>
      <c r="CC1213">
        <v>164000</v>
      </c>
    </row>
    <row r="1214" spans="1:81" x14ac:dyDescent="0.3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H1214" t="s">
        <v>83</v>
      </c>
      <c r="I1214" t="s">
        <v>84</v>
      </c>
      <c r="J1214" t="s">
        <v>85</v>
      </c>
      <c r="K1214" t="s">
        <v>86</v>
      </c>
      <c r="L1214" t="s">
        <v>87</v>
      </c>
      <c r="M1214" t="s">
        <v>184</v>
      </c>
      <c r="N1214" t="s">
        <v>89</v>
      </c>
      <c r="O1214" t="s">
        <v>89</v>
      </c>
      <c r="P1214" t="s">
        <v>90</v>
      </c>
      <c r="Q1214" t="s">
        <v>114</v>
      </c>
      <c r="R1214">
        <v>4</v>
      </c>
      <c r="S1214">
        <v>6</v>
      </c>
      <c r="T1214">
        <v>1941</v>
      </c>
      <c r="U1214">
        <v>1950</v>
      </c>
      <c r="V1214" t="s">
        <v>151</v>
      </c>
      <c r="W1214" t="s">
        <v>93</v>
      </c>
      <c r="X1214" t="s">
        <v>115</v>
      </c>
      <c r="Y1214" t="s">
        <v>115</v>
      </c>
      <c r="Z1214" t="s">
        <v>116</v>
      </c>
      <c r="AA1214">
        <v>0</v>
      </c>
      <c r="AB1214" t="s">
        <v>97</v>
      </c>
      <c r="AC1214" t="s">
        <v>97</v>
      </c>
      <c r="AD1214" t="s">
        <v>117</v>
      </c>
      <c r="AE1214" t="s">
        <v>97</v>
      </c>
      <c r="AF1214" t="s">
        <v>97</v>
      </c>
      <c r="AG1214" t="s">
        <v>99</v>
      </c>
      <c r="AH1214" t="s">
        <v>152</v>
      </c>
      <c r="AI1214">
        <v>344</v>
      </c>
      <c r="AJ1214" t="s">
        <v>101</v>
      </c>
      <c r="AK1214">
        <v>0</v>
      </c>
      <c r="AL1214">
        <v>328</v>
      </c>
      <c r="AM1214">
        <v>672</v>
      </c>
      <c r="AN1214" t="s">
        <v>102</v>
      </c>
      <c r="AO1214" t="s">
        <v>97</v>
      </c>
      <c r="AP1214" t="s">
        <v>104</v>
      </c>
      <c r="AQ1214" t="s">
        <v>105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97</v>
      </c>
      <c r="BC1214">
        <v>4</v>
      </c>
      <c r="BD1214" t="s">
        <v>106</v>
      </c>
      <c r="BE1214">
        <v>0</v>
      </c>
      <c r="BG1214" t="s">
        <v>107</v>
      </c>
      <c r="BH1214">
        <v>1941</v>
      </c>
      <c r="BI1214" t="s">
        <v>101</v>
      </c>
      <c r="BJ1214">
        <v>1</v>
      </c>
      <c r="BK1214">
        <v>234</v>
      </c>
      <c r="BL1214" t="s">
        <v>97</v>
      </c>
      <c r="BM1214" t="s">
        <v>97</v>
      </c>
      <c r="BN1214" t="s">
        <v>176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X1214">
        <v>0</v>
      </c>
      <c r="BY1214">
        <v>8</v>
      </c>
      <c r="BZ1214">
        <v>2009</v>
      </c>
      <c r="CA1214" t="s">
        <v>109</v>
      </c>
      <c r="CB1214" t="s">
        <v>110</v>
      </c>
      <c r="CC1214">
        <v>113000</v>
      </c>
    </row>
    <row r="1215" spans="1:81" x14ac:dyDescent="0.3">
      <c r="A1215">
        <v>1214</v>
      </c>
      <c r="B1215">
        <v>80</v>
      </c>
      <c r="C1215" t="s">
        <v>81</v>
      </c>
      <c r="E1215">
        <v>10246</v>
      </c>
      <c r="F1215" t="s">
        <v>82</v>
      </c>
      <c r="H1215" t="s">
        <v>119</v>
      </c>
      <c r="I1215" t="s">
        <v>84</v>
      </c>
      <c r="J1215" t="s">
        <v>85</v>
      </c>
      <c r="K1215" t="s">
        <v>165</v>
      </c>
      <c r="L1215" t="s">
        <v>87</v>
      </c>
      <c r="M1215" t="s">
        <v>150</v>
      </c>
      <c r="N1215" t="s">
        <v>89</v>
      </c>
      <c r="O1215" t="s">
        <v>89</v>
      </c>
      <c r="P1215" t="s">
        <v>90</v>
      </c>
      <c r="Q1215" t="s">
        <v>196</v>
      </c>
      <c r="R1215">
        <v>4</v>
      </c>
      <c r="S1215">
        <v>9</v>
      </c>
      <c r="T1215">
        <v>1965</v>
      </c>
      <c r="U1215">
        <v>2001</v>
      </c>
      <c r="V1215" t="s">
        <v>92</v>
      </c>
      <c r="W1215" t="s">
        <v>93</v>
      </c>
      <c r="X1215" t="s">
        <v>94</v>
      </c>
      <c r="Y1215" t="s">
        <v>94</v>
      </c>
      <c r="Z1215" t="s">
        <v>116</v>
      </c>
      <c r="AA1215">
        <v>0</v>
      </c>
      <c r="AB1215" t="s">
        <v>97</v>
      </c>
      <c r="AC1215" t="s">
        <v>96</v>
      </c>
      <c r="AD1215" t="s">
        <v>117</v>
      </c>
      <c r="AE1215" t="s">
        <v>97</v>
      </c>
      <c r="AF1215" t="s">
        <v>96</v>
      </c>
      <c r="AG1215" t="s">
        <v>129</v>
      </c>
      <c r="AH1215" t="s">
        <v>100</v>
      </c>
      <c r="AI1215">
        <v>648</v>
      </c>
      <c r="AJ1215" t="s">
        <v>101</v>
      </c>
      <c r="AK1215">
        <v>0</v>
      </c>
      <c r="AL1215">
        <v>0</v>
      </c>
      <c r="AM1215">
        <v>648</v>
      </c>
      <c r="AN1215" t="s">
        <v>102</v>
      </c>
      <c r="AO1215" t="s">
        <v>103</v>
      </c>
      <c r="AP1215" t="s">
        <v>104</v>
      </c>
      <c r="AQ1215" t="s">
        <v>105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97</v>
      </c>
      <c r="BC1215">
        <v>3</v>
      </c>
      <c r="BD1215" t="s">
        <v>106</v>
      </c>
      <c r="BE1215">
        <v>0</v>
      </c>
      <c r="BG1215" t="s">
        <v>107</v>
      </c>
      <c r="BH1215">
        <v>1965</v>
      </c>
      <c r="BI1215" t="s">
        <v>101</v>
      </c>
      <c r="BJ1215">
        <v>1</v>
      </c>
      <c r="BK1215">
        <v>364</v>
      </c>
      <c r="BL1215" t="s">
        <v>97</v>
      </c>
      <c r="BM1215" t="s">
        <v>97</v>
      </c>
      <c r="BN1215" t="s">
        <v>104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X1215">
        <v>0</v>
      </c>
      <c r="BY1215">
        <v>5</v>
      </c>
      <c r="BZ1215">
        <v>2006</v>
      </c>
      <c r="CA1215" t="s">
        <v>109</v>
      </c>
      <c r="CB1215" t="s">
        <v>110</v>
      </c>
      <c r="CC1215">
        <v>145000</v>
      </c>
    </row>
    <row r="1216" spans="1:81" x14ac:dyDescent="0.3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H1216" t="s">
        <v>119</v>
      </c>
      <c r="I1216" t="s">
        <v>84</v>
      </c>
      <c r="J1216" t="s">
        <v>85</v>
      </c>
      <c r="K1216" t="s">
        <v>86</v>
      </c>
      <c r="L1216" t="s">
        <v>87</v>
      </c>
      <c r="M1216" t="s">
        <v>270</v>
      </c>
      <c r="N1216" t="s">
        <v>89</v>
      </c>
      <c r="O1216" t="s">
        <v>89</v>
      </c>
      <c r="P1216" t="s">
        <v>90</v>
      </c>
      <c r="Q1216" t="s">
        <v>190</v>
      </c>
      <c r="R1216">
        <v>5</v>
      </c>
      <c r="S1216">
        <v>5</v>
      </c>
      <c r="T1216">
        <v>1962</v>
      </c>
      <c r="U1216">
        <v>1962</v>
      </c>
      <c r="V1216" t="s">
        <v>92</v>
      </c>
      <c r="W1216" t="s">
        <v>93</v>
      </c>
      <c r="X1216" t="s">
        <v>115</v>
      </c>
      <c r="Y1216" t="s">
        <v>115</v>
      </c>
      <c r="Z1216" t="s">
        <v>116</v>
      </c>
      <c r="AA1216">
        <v>0</v>
      </c>
      <c r="AB1216" t="s">
        <v>97</v>
      </c>
      <c r="AC1216" t="s">
        <v>97</v>
      </c>
      <c r="AD1216" t="s">
        <v>117</v>
      </c>
      <c r="AE1216" t="s">
        <v>97</v>
      </c>
      <c r="AF1216" t="s">
        <v>97</v>
      </c>
      <c r="AG1216" t="s">
        <v>129</v>
      </c>
      <c r="AH1216" t="s">
        <v>140</v>
      </c>
      <c r="AI1216">
        <v>784</v>
      </c>
      <c r="AJ1216" t="s">
        <v>101</v>
      </c>
      <c r="AK1216">
        <v>0</v>
      </c>
      <c r="AL1216">
        <v>141</v>
      </c>
      <c r="AM1216">
        <v>925</v>
      </c>
      <c r="AN1216" t="s">
        <v>102</v>
      </c>
      <c r="AO1216" t="s">
        <v>97</v>
      </c>
      <c r="AP1216" t="s">
        <v>104</v>
      </c>
      <c r="AQ1216" t="s">
        <v>105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97</v>
      </c>
      <c r="BC1216">
        <v>6</v>
      </c>
      <c r="BD1216" t="s">
        <v>106</v>
      </c>
      <c r="BE1216">
        <v>0</v>
      </c>
      <c r="BG1216" t="s">
        <v>107</v>
      </c>
      <c r="BH1216">
        <v>1962</v>
      </c>
      <c r="BI1216" t="s">
        <v>101</v>
      </c>
      <c r="BJ1216">
        <v>1</v>
      </c>
      <c r="BK1216">
        <v>300</v>
      </c>
      <c r="BL1216" t="s">
        <v>97</v>
      </c>
      <c r="BM1216" t="s">
        <v>97</v>
      </c>
      <c r="BN1216" t="s">
        <v>104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X1216">
        <v>0</v>
      </c>
      <c r="BY1216">
        <v>5</v>
      </c>
      <c r="BZ1216">
        <v>2006</v>
      </c>
      <c r="CA1216" t="s">
        <v>109</v>
      </c>
      <c r="CB1216" t="s">
        <v>110</v>
      </c>
      <c r="CC1216">
        <v>134500</v>
      </c>
    </row>
    <row r="1217" spans="1:81" x14ac:dyDescent="0.3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H1217" t="s">
        <v>119</v>
      </c>
      <c r="I1217" t="s">
        <v>84</v>
      </c>
      <c r="J1217" t="s">
        <v>85</v>
      </c>
      <c r="K1217" t="s">
        <v>86</v>
      </c>
      <c r="L1217" t="s">
        <v>87</v>
      </c>
      <c r="M1217" t="s">
        <v>150</v>
      </c>
      <c r="N1217" t="s">
        <v>89</v>
      </c>
      <c r="O1217" t="s">
        <v>89</v>
      </c>
      <c r="P1217" t="s">
        <v>90</v>
      </c>
      <c r="Q1217" t="s">
        <v>114</v>
      </c>
      <c r="R1217">
        <v>5</v>
      </c>
      <c r="S1217">
        <v>5</v>
      </c>
      <c r="T1217">
        <v>1966</v>
      </c>
      <c r="U1217">
        <v>1966</v>
      </c>
      <c r="V1217" t="s">
        <v>92</v>
      </c>
      <c r="W1217" t="s">
        <v>93</v>
      </c>
      <c r="X1217" t="s">
        <v>94</v>
      </c>
      <c r="Y1217" t="s">
        <v>94</v>
      </c>
      <c r="Z1217" t="s">
        <v>116</v>
      </c>
      <c r="AA1217">
        <v>0</v>
      </c>
      <c r="AB1217" t="s">
        <v>97</v>
      </c>
      <c r="AC1217" t="s">
        <v>97</v>
      </c>
      <c r="AD1217" t="s">
        <v>117</v>
      </c>
      <c r="AE1217" t="s">
        <v>97</v>
      </c>
      <c r="AF1217" t="s">
        <v>97</v>
      </c>
      <c r="AG1217" t="s">
        <v>99</v>
      </c>
      <c r="AH1217" t="s">
        <v>152</v>
      </c>
      <c r="AI1217">
        <v>180</v>
      </c>
      <c r="AJ1217" t="s">
        <v>171</v>
      </c>
      <c r="AK1217">
        <v>374</v>
      </c>
      <c r="AL1217">
        <v>340</v>
      </c>
      <c r="AM1217">
        <v>894</v>
      </c>
      <c r="AN1217" t="s">
        <v>102</v>
      </c>
      <c r="AO1217" t="s">
        <v>97</v>
      </c>
      <c r="AP1217" t="s">
        <v>104</v>
      </c>
      <c r="AQ1217" t="s">
        <v>105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97</v>
      </c>
      <c r="BC1217">
        <v>5</v>
      </c>
      <c r="BD1217" t="s">
        <v>106</v>
      </c>
      <c r="BE1217">
        <v>0</v>
      </c>
      <c r="BG1217" t="s">
        <v>126</v>
      </c>
      <c r="BH1217">
        <v>1966</v>
      </c>
      <c r="BI1217" t="s">
        <v>108</v>
      </c>
      <c r="BJ1217">
        <v>1</v>
      </c>
      <c r="BK1217">
        <v>384</v>
      </c>
      <c r="BL1217" t="s">
        <v>97</v>
      </c>
      <c r="BM1217" t="s">
        <v>97</v>
      </c>
      <c r="BN1217" t="s">
        <v>104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V1217" t="s">
        <v>133</v>
      </c>
      <c r="BX1217">
        <v>0</v>
      </c>
      <c r="BY1217">
        <v>5</v>
      </c>
      <c r="BZ1217">
        <v>2007</v>
      </c>
      <c r="CA1217" t="s">
        <v>109</v>
      </c>
      <c r="CB1217" t="s">
        <v>110</v>
      </c>
      <c r="CC1217">
        <v>125000</v>
      </c>
    </row>
    <row r="1218" spans="1:81" x14ac:dyDescent="0.3">
      <c r="A1218">
        <v>1217</v>
      </c>
      <c r="B1218">
        <v>90</v>
      </c>
      <c r="C1218" t="s">
        <v>141</v>
      </c>
      <c r="D1218">
        <v>68</v>
      </c>
      <c r="E1218">
        <v>8930</v>
      </c>
      <c r="F1218" t="s">
        <v>82</v>
      </c>
      <c r="H1218" t="s">
        <v>83</v>
      </c>
      <c r="I1218" t="s">
        <v>84</v>
      </c>
      <c r="J1218" t="s">
        <v>85</v>
      </c>
      <c r="K1218" t="s">
        <v>86</v>
      </c>
      <c r="L1218" t="s">
        <v>87</v>
      </c>
      <c r="M1218" t="s">
        <v>150</v>
      </c>
      <c r="N1218" t="s">
        <v>170</v>
      </c>
      <c r="O1218" t="s">
        <v>89</v>
      </c>
      <c r="P1218" t="s">
        <v>166</v>
      </c>
      <c r="Q1218" t="s">
        <v>131</v>
      </c>
      <c r="R1218">
        <v>6</v>
      </c>
      <c r="S1218">
        <v>5</v>
      </c>
      <c r="T1218">
        <v>1978</v>
      </c>
      <c r="U1218">
        <v>1978</v>
      </c>
      <c r="V1218" t="s">
        <v>92</v>
      </c>
      <c r="W1218" t="s">
        <v>93</v>
      </c>
      <c r="X1218" t="s">
        <v>94</v>
      </c>
      <c r="Y1218" t="s">
        <v>94</v>
      </c>
      <c r="Z1218" t="s">
        <v>116</v>
      </c>
      <c r="AA1218">
        <v>0</v>
      </c>
      <c r="AB1218" t="s">
        <v>97</v>
      </c>
      <c r="AC1218" t="s">
        <v>97</v>
      </c>
      <c r="AD1218" t="s">
        <v>167</v>
      </c>
      <c r="AI1218">
        <v>0</v>
      </c>
      <c r="AK1218">
        <v>0</v>
      </c>
      <c r="AL1218">
        <v>0</v>
      </c>
      <c r="AM1218">
        <v>0</v>
      </c>
      <c r="AN1218" t="s">
        <v>102</v>
      </c>
      <c r="AO1218" t="s">
        <v>97</v>
      </c>
      <c r="AP1218" t="s">
        <v>104</v>
      </c>
      <c r="AQ1218" t="s">
        <v>105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97</v>
      </c>
      <c r="BC1218">
        <v>8</v>
      </c>
      <c r="BD1218" t="s">
        <v>106</v>
      </c>
      <c r="BE1218">
        <v>0</v>
      </c>
      <c r="BG1218" t="s">
        <v>107</v>
      </c>
      <c r="BH1218">
        <v>1978</v>
      </c>
      <c r="BI1218" t="s">
        <v>101</v>
      </c>
      <c r="BJ1218">
        <v>2</v>
      </c>
      <c r="BK1218">
        <v>539</v>
      </c>
      <c r="BL1218" t="s">
        <v>97</v>
      </c>
      <c r="BM1218" t="s">
        <v>97</v>
      </c>
      <c r="BN1218" t="s">
        <v>104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X1218">
        <v>0</v>
      </c>
      <c r="BY1218">
        <v>4</v>
      </c>
      <c r="BZ1218">
        <v>2010</v>
      </c>
      <c r="CA1218" t="s">
        <v>109</v>
      </c>
      <c r="CB1218" t="s">
        <v>110</v>
      </c>
      <c r="CC1218">
        <v>112000</v>
      </c>
    </row>
    <row r="1219" spans="1:81" x14ac:dyDescent="0.3">
      <c r="A1219">
        <v>1218</v>
      </c>
      <c r="B1219">
        <v>20</v>
      </c>
      <c r="C1219" t="s">
        <v>191</v>
      </c>
      <c r="D1219">
        <v>72</v>
      </c>
      <c r="E1219">
        <v>8640</v>
      </c>
      <c r="F1219" t="s">
        <v>82</v>
      </c>
      <c r="H1219" t="s">
        <v>83</v>
      </c>
      <c r="I1219" t="s">
        <v>84</v>
      </c>
      <c r="J1219" t="s">
        <v>85</v>
      </c>
      <c r="K1219" t="s">
        <v>86</v>
      </c>
      <c r="L1219" t="s">
        <v>87</v>
      </c>
      <c r="M1219" t="s">
        <v>135</v>
      </c>
      <c r="N1219" t="s">
        <v>89</v>
      </c>
      <c r="O1219" t="s">
        <v>89</v>
      </c>
      <c r="P1219" t="s">
        <v>90</v>
      </c>
      <c r="Q1219" t="s">
        <v>114</v>
      </c>
      <c r="R1219">
        <v>8</v>
      </c>
      <c r="S1219">
        <v>5</v>
      </c>
      <c r="T1219">
        <v>2009</v>
      </c>
      <c r="U1219">
        <v>2009</v>
      </c>
      <c r="V1219" t="s">
        <v>92</v>
      </c>
      <c r="W1219" t="s">
        <v>93</v>
      </c>
      <c r="X1219" t="s">
        <v>179</v>
      </c>
      <c r="Y1219" t="s">
        <v>180</v>
      </c>
      <c r="Z1219" t="s">
        <v>136</v>
      </c>
      <c r="AA1219">
        <v>72</v>
      </c>
      <c r="AB1219" t="s">
        <v>96</v>
      </c>
      <c r="AC1219" t="s">
        <v>97</v>
      </c>
      <c r="AD1219" t="s">
        <v>98</v>
      </c>
      <c r="AE1219" t="s">
        <v>96</v>
      </c>
      <c r="AF1219" t="s">
        <v>97</v>
      </c>
      <c r="AG1219" t="s">
        <v>120</v>
      </c>
      <c r="AH1219" t="s">
        <v>100</v>
      </c>
      <c r="AI1219">
        <v>936</v>
      </c>
      <c r="AJ1219" t="s">
        <v>101</v>
      </c>
      <c r="AK1219">
        <v>0</v>
      </c>
      <c r="AL1219">
        <v>364</v>
      </c>
      <c r="AM1219">
        <v>1300</v>
      </c>
      <c r="AN1219" t="s">
        <v>102</v>
      </c>
      <c r="AO1219" t="s">
        <v>103</v>
      </c>
      <c r="AP1219" t="s">
        <v>104</v>
      </c>
      <c r="AQ1219" t="s">
        <v>105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96</v>
      </c>
      <c r="BC1219">
        <v>6</v>
      </c>
      <c r="BD1219" t="s">
        <v>106</v>
      </c>
      <c r="BE1219">
        <v>0</v>
      </c>
      <c r="BG1219" t="s">
        <v>107</v>
      </c>
      <c r="BH1219">
        <v>2009</v>
      </c>
      <c r="BI1219" t="s">
        <v>108</v>
      </c>
      <c r="BJ1219">
        <v>2</v>
      </c>
      <c r="BK1219">
        <v>552</v>
      </c>
      <c r="BL1219" t="s">
        <v>97</v>
      </c>
      <c r="BM1219" t="s">
        <v>97</v>
      </c>
      <c r="BN1219" t="s">
        <v>104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X1219">
        <v>0</v>
      </c>
      <c r="BY1219">
        <v>9</v>
      </c>
      <c r="BZ1219">
        <v>2009</v>
      </c>
      <c r="CA1219" t="s">
        <v>157</v>
      </c>
      <c r="CB1219" t="s">
        <v>158</v>
      </c>
      <c r="CC1219">
        <v>229456</v>
      </c>
    </row>
    <row r="1220" spans="1:81" x14ac:dyDescent="0.3">
      <c r="A1220">
        <v>1219</v>
      </c>
      <c r="B1220">
        <v>50</v>
      </c>
      <c r="C1220" t="s">
        <v>141</v>
      </c>
      <c r="D1220">
        <v>52</v>
      </c>
      <c r="E1220">
        <v>6240</v>
      </c>
      <c r="F1220" t="s">
        <v>82</v>
      </c>
      <c r="H1220" t="s">
        <v>83</v>
      </c>
      <c r="I1220" t="s">
        <v>84</v>
      </c>
      <c r="J1220" t="s">
        <v>85</v>
      </c>
      <c r="K1220" t="s">
        <v>86</v>
      </c>
      <c r="L1220" t="s">
        <v>87</v>
      </c>
      <c r="M1220" t="s">
        <v>147</v>
      </c>
      <c r="N1220" t="s">
        <v>89</v>
      </c>
      <c r="O1220" t="s">
        <v>89</v>
      </c>
      <c r="P1220" t="s">
        <v>90</v>
      </c>
      <c r="Q1220" t="s">
        <v>131</v>
      </c>
      <c r="R1220">
        <v>4</v>
      </c>
      <c r="S1220">
        <v>5</v>
      </c>
      <c r="T1220">
        <v>1947</v>
      </c>
      <c r="U1220">
        <v>1950</v>
      </c>
      <c r="V1220" t="s">
        <v>92</v>
      </c>
      <c r="W1220" t="s">
        <v>93</v>
      </c>
      <c r="X1220" t="s">
        <v>185</v>
      </c>
      <c r="Y1220" t="s">
        <v>185</v>
      </c>
      <c r="Z1220" t="s">
        <v>116</v>
      </c>
      <c r="AA1220">
        <v>0</v>
      </c>
      <c r="AB1220" t="s">
        <v>97</v>
      </c>
      <c r="AC1220" t="s">
        <v>97</v>
      </c>
      <c r="AD1220" t="s">
        <v>167</v>
      </c>
      <c r="AI1220">
        <v>0</v>
      </c>
      <c r="AK1220">
        <v>0</v>
      </c>
      <c r="AL1220">
        <v>0</v>
      </c>
      <c r="AM1220">
        <v>0</v>
      </c>
      <c r="AN1220" t="s">
        <v>102</v>
      </c>
      <c r="AO1220" t="s">
        <v>96</v>
      </c>
      <c r="AP1220" t="s">
        <v>176</v>
      </c>
      <c r="AQ1220" t="s">
        <v>105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97</v>
      </c>
      <c r="BC1220">
        <v>3</v>
      </c>
      <c r="BD1220" t="s">
        <v>106</v>
      </c>
      <c r="BE1220">
        <v>0</v>
      </c>
      <c r="BJ1220">
        <v>0</v>
      </c>
      <c r="BK1220">
        <v>0</v>
      </c>
      <c r="BN1220" t="s">
        <v>176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X1220">
        <v>0</v>
      </c>
      <c r="BY1220">
        <v>7</v>
      </c>
      <c r="BZ1220">
        <v>2006</v>
      </c>
      <c r="CA1220" t="s">
        <v>109</v>
      </c>
      <c r="CB1220" t="s">
        <v>110</v>
      </c>
      <c r="CC1220">
        <v>80500</v>
      </c>
    </row>
    <row r="1221" spans="1:81" x14ac:dyDescent="0.3">
      <c r="A1221">
        <v>1220</v>
      </c>
      <c r="B1221">
        <v>160</v>
      </c>
      <c r="C1221" t="s">
        <v>141</v>
      </c>
      <c r="D1221">
        <v>21</v>
      </c>
      <c r="E1221">
        <v>1680</v>
      </c>
      <c r="F1221" t="s">
        <v>82</v>
      </c>
      <c r="H1221" t="s">
        <v>83</v>
      </c>
      <c r="I1221" t="s">
        <v>84</v>
      </c>
      <c r="J1221" t="s">
        <v>85</v>
      </c>
      <c r="K1221" t="s">
        <v>86</v>
      </c>
      <c r="L1221" t="s">
        <v>87</v>
      </c>
      <c r="M1221" t="s">
        <v>227</v>
      </c>
      <c r="N1221" t="s">
        <v>89</v>
      </c>
      <c r="O1221" t="s">
        <v>89</v>
      </c>
      <c r="P1221" t="s">
        <v>197</v>
      </c>
      <c r="Q1221" t="s">
        <v>91</v>
      </c>
      <c r="R1221">
        <v>6</v>
      </c>
      <c r="S1221">
        <v>5</v>
      </c>
      <c r="T1221">
        <v>1971</v>
      </c>
      <c r="U1221">
        <v>1971</v>
      </c>
      <c r="V1221" t="s">
        <v>92</v>
      </c>
      <c r="W1221" t="s">
        <v>93</v>
      </c>
      <c r="X1221" t="s">
        <v>179</v>
      </c>
      <c r="Y1221" t="s">
        <v>180</v>
      </c>
      <c r="Z1221" t="s">
        <v>95</v>
      </c>
      <c r="AA1221">
        <v>236</v>
      </c>
      <c r="AB1221" t="s">
        <v>97</v>
      </c>
      <c r="AC1221" t="s">
        <v>97</v>
      </c>
      <c r="AD1221" t="s">
        <v>117</v>
      </c>
      <c r="AE1221" t="s">
        <v>97</v>
      </c>
      <c r="AF1221" t="s">
        <v>97</v>
      </c>
      <c r="AG1221" t="s">
        <v>99</v>
      </c>
      <c r="AH1221" t="s">
        <v>101</v>
      </c>
      <c r="AI1221">
        <v>0</v>
      </c>
      <c r="AJ1221" t="s">
        <v>101</v>
      </c>
      <c r="AK1221">
        <v>0</v>
      </c>
      <c r="AL1221">
        <v>672</v>
      </c>
      <c r="AM1221">
        <v>672</v>
      </c>
      <c r="AN1221" t="s">
        <v>102</v>
      </c>
      <c r="AO1221" t="s">
        <v>97</v>
      </c>
      <c r="AP1221" t="s">
        <v>104</v>
      </c>
      <c r="AQ1221" t="s">
        <v>105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97</v>
      </c>
      <c r="BC1221">
        <v>7</v>
      </c>
      <c r="BD1221" t="s">
        <v>106</v>
      </c>
      <c r="BE1221">
        <v>0</v>
      </c>
      <c r="BJ1221">
        <v>0</v>
      </c>
      <c r="BK1221">
        <v>0</v>
      </c>
      <c r="BN1221" t="s">
        <v>176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X1221">
        <v>0</v>
      </c>
      <c r="BY1221">
        <v>4</v>
      </c>
      <c r="BZ1221">
        <v>2006</v>
      </c>
      <c r="CA1221" t="s">
        <v>109</v>
      </c>
      <c r="CB1221" t="s">
        <v>127</v>
      </c>
      <c r="CC1221">
        <v>91500</v>
      </c>
    </row>
    <row r="1222" spans="1:81" x14ac:dyDescent="0.3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H1222" t="s">
        <v>119</v>
      </c>
      <c r="I1222" t="s">
        <v>84</v>
      </c>
      <c r="J1222" t="s">
        <v>85</v>
      </c>
      <c r="K1222" t="s">
        <v>86</v>
      </c>
      <c r="L1222" t="s">
        <v>87</v>
      </c>
      <c r="M1222" t="s">
        <v>270</v>
      </c>
      <c r="N1222" t="s">
        <v>89</v>
      </c>
      <c r="O1222" t="s">
        <v>89</v>
      </c>
      <c r="P1222" t="s">
        <v>90</v>
      </c>
      <c r="Q1222" t="s">
        <v>114</v>
      </c>
      <c r="R1222">
        <v>5</v>
      </c>
      <c r="S1222">
        <v>5</v>
      </c>
      <c r="T1222">
        <v>1964</v>
      </c>
      <c r="U1222">
        <v>1964</v>
      </c>
      <c r="V1222" t="s">
        <v>92</v>
      </c>
      <c r="W1222" t="s">
        <v>93</v>
      </c>
      <c r="X1222" t="s">
        <v>123</v>
      </c>
      <c r="Y1222" t="s">
        <v>123</v>
      </c>
      <c r="Z1222" t="s">
        <v>116</v>
      </c>
      <c r="AA1222">
        <v>0</v>
      </c>
      <c r="AB1222" t="s">
        <v>97</v>
      </c>
      <c r="AC1222" t="s">
        <v>97</v>
      </c>
      <c r="AD1222" t="s">
        <v>117</v>
      </c>
      <c r="AE1222" t="s">
        <v>97</v>
      </c>
      <c r="AF1222" t="s">
        <v>97</v>
      </c>
      <c r="AG1222" t="s">
        <v>99</v>
      </c>
      <c r="AH1222" t="s">
        <v>152</v>
      </c>
      <c r="AI1222">
        <v>312</v>
      </c>
      <c r="AJ1222" t="s">
        <v>171</v>
      </c>
      <c r="AK1222">
        <v>600</v>
      </c>
      <c r="AL1222">
        <v>0</v>
      </c>
      <c r="AM1222">
        <v>912</v>
      </c>
      <c r="AN1222" t="s">
        <v>102</v>
      </c>
      <c r="AO1222" t="s">
        <v>97</v>
      </c>
      <c r="AP1222" t="s">
        <v>104</v>
      </c>
      <c r="AQ1222" t="s">
        <v>105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97</v>
      </c>
      <c r="BC1222">
        <v>5</v>
      </c>
      <c r="BD1222" t="s">
        <v>106</v>
      </c>
      <c r="BE1222">
        <v>0</v>
      </c>
      <c r="BG1222" t="s">
        <v>107</v>
      </c>
      <c r="BH1222">
        <v>1964</v>
      </c>
      <c r="BI1222" t="s">
        <v>101</v>
      </c>
      <c r="BJ1222">
        <v>1</v>
      </c>
      <c r="BK1222">
        <v>288</v>
      </c>
      <c r="BL1222" t="s">
        <v>97</v>
      </c>
      <c r="BM1222" t="s">
        <v>97</v>
      </c>
      <c r="BN1222" t="s">
        <v>104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X1222">
        <v>0</v>
      </c>
      <c r="BY1222">
        <v>11</v>
      </c>
      <c r="BZ1222">
        <v>2006</v>
      </c>
      <c r="CA1222" t="s">
        <v>109</v>
      </c>
      <c r="CB1222" t="s">
        <v>127</v>
      </c>
      <c r="CC1222">
        <v>115000</v>
      </c>
    </row>
    <row r="1223" spans="1:81" x14ac:dyDescent="0.3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H1223" t="s">
        <v>83</v>
      </c>
      <c r="I1223" t="s">
        <v>84</v>
      </c>
      <c r="J1223" t="s">
        <v>85</v>
      </c>
      <c r="K1223" t="s">
        <v>86</v>
      </c>
      <c r="L1223" t="s">
        <v>87</v>
      </c>
      <c r="M1223" t="s">
        <v>150</v>
      </c>
      <c r="N1223" t="s">
        <v>113</v>
      </c>
      <c r="O1223" t="s">
        <v>89</v>
      </c>
      <c r="P1223" t="s">
        <v>90</v>
      </c>
      <c r="Q1223" t="s">
        <v>114</v>
      </c>
      <c r="R1223">
        <v>5</v>
      </c>
      <c r="S1223">
        <v>5</v>
      </c>
      <c r="T1223">
        <v>1968</v>
      </c>
      <c r="U1223">
        <v>1968</v>
      </c>
      <c r="V1223" t="s">
        <v>151</v>
      </c>
      <c r="W1223" t="s">
        <v>93</v>
      </c>
      <c r="X1223" t="s">
        <v>139</v>
      </c>
      <c r="Y1223" t="s">
        <v>139</v>
      </c>
      <c r="Z1223" t="s">
        <v>116</v>
      </c>
      <c r="AA1223">
        <v>0</v>
      </c>
      <c r="AB1223" t="s">
        <v>97</v>
      </c>
      <c r="AC1223" t="s">
        <v>97</v>
      </c>
      <c r="AD1223" t="s">
        <v>117</v>
      </c>
      <c r="AE1223" t="s">
        <v>97</v>
      </c>
      <c r="AF1223" t="s">
        <v>97</v>
      </c>
      <c r="AG1223" t="s">
        <v>99</v>
      </c>
      <c r="AH1223" t="s">
        <v>140</v>
      </c>
      <c r="AI1223">
        <v>250</v>
      </c>
      <c r="AJ1223" t="s">
        <v>171</v>
      </c>
      <c r="AK1223">
        <v>492</v>
      </c>
      <c r="AL1223">
        <v>210</v>
      </c>
      <c r="AM1223">
        <v>952</v>
      </c>
      <c r="AN1223" t="s">
        <v>102</v>
      </c>
      <c r="AO1223" t="s">
        <v>103</v>
      </c>
      <c r="AP1223" t="s">
        <v>104</v>
      </c>
      <c r="AQ1223" t="s">
        <v>105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97</v>
      </c>
      <c r="BC1223">
        <v>5</v>
      </c>
      <c r="BD1223" t="s">
        <v>106</v>
      </c>
      <c r="BE1223">
        <v>1</v>
      </c>
      <c r="BF1223" t="s">
        <v>97</v>
      </c>
      <c r="BG1223" t="s">
        <v>107</v>
      </c>
      <c r="BH1223">
        <v>1968</v>
      </c>
      <c r="BI1223" t="s">
        <v>101</v>
      </c>
      <c r="BJ1223">
        <v>1</v>
      </c>
      <c r="BK1223">
        <v>322</v>
      </c>
      <c r="BL1223" t="s">
        <v>97</v>
      </c>
      <c r="BM1223" t="s">
        <v>97</v>
      </c>
      <c r="BN1223" t="s">
        <v>104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X1223">
        <v>0</v>
      </c>
      <c r="BY1223">
        <v>8</v>
      </c>
      <c r="BZ1223">
        <v>2008</v>
      </c>
      <c r="CA1223" t="s">
        <v>109</v>
      </c>
      <c r="CB1223" t="s">
        <v>110</v>
      </c>
      <c r="CC1223">
        <v>134000</v>
      </c>
    </row>
    <row r="1224" spans="1:81" x14ac:dyDescent="0.3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H1224" t="s">
        <v>83</v>
      </c>
      <c r="I1224" t="s">
        <v>84</v>
      </c>
      <c r="J1224" t="s">
        <v>85</v>
      </c>
      <c r="K1224" t="s">
        <v>86</v>
      </c>
      <c r="L1224" t="s">
        <v>87</v>
      </c>
      <c r="M1224" t="s">
        <v>270</v>
      </c>
      <c r="N1224" t="s">
        <v>143</v>
      </c>
      <c r="O1224" t="s">
        <v>89</v>
      </c>
      <c r="P1224" t="s">
        <v>90</v>
      </c>
      <c r="Q1224" t="s">
        <v>131</v>
      </c>
      <c r="R1224">
        <v>6</v>
      </c>
      <c r="S1224">
        <v>6</v>
      </c>
      <c r="T1224">
        <v>1949</v>
      </c>
      <c r="U1224">
        <v>1950</v>
      </c>
      <c r="V1224" t="s">
        <v>92</v>
      </c>
      <c r="W1224" t="s">
        <v>93</v>
      </c>
      <c r="X1224" t="s">
        <v>123</v>
      </c>
      <c r="Y1224" t="s">
        <v>123</v>
      </c>
      <c r="Z1224" t="s">
        <v>95</v>
      </c>
      <c r="AA1224">
        <v>320</v>
      </c>
      <c r="AB1224" t="s">
        <v>97</v>
      </c>
      <c r="AC1224" t="s">
        <v>97</v>
      </c>
      <c r="AD1224" t="s">
        <v>117</v>
      </c>
      <c r="AE1224" t="s">
        <v>97</v>
      </c>
      <c r="AF1224" t="s">
        <v>97</v>
      </c>
      <c r="AG1224" t="s">
        <v>120</v>
      </c>
      <c r="AH1224" t="s">
        <v>152</v>
      </c>
      <c r="AI1224">
        <v>196</v>
      </c>
      <c r="AJ1224" t="s">
        <v>101</v>
      </c>
      <c r="AK1224">
        <v>0</v>
      </c>
      <c r="AL1224">
        <v>844</v>
      </c>
      <c r="AM1224">
        <v>1040</v>
      </c>
      <c r="AN1224" t="s">
        <v>102</v>
      </c>
      <c r="AO1224" t="s">
        <v>103</v>
      </c>
      <c r="AP1224" t="s">
        <v>104</v>
      </c>
      <c r="AQ1224" t="s">
        <v>105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97</v>
      </c>
      <c r="BC1224">
        <v>7</v>
      </c>
      <c r="BD1224" t="s">
        <v>106</v>
      </c>
      <c r="BE1224">
        <v>1</v>
      </c>
      <c r="BF1224" t="s">
        <v>96</v>
      </c>
      <c r="BG1224" t="s">
        <v>107</v>
      </c>
      <c r="BH1224">
        <v>1949</v>
      </c>
      <c r="BI1224" t="s">
        <v>101</v>
      </c>
      <c r="BJ1224">
        <v>1</v>
      </c>
      <c r="BK1224">
        <v>315</v>
      </c>
      <c r="BL1224" t="s">
        <v>97</v>
      </c>
      <c r="BM1224" t="s">
        <v>97</v>
      </c>
      <c r="BN1224" t="s">
        <v>104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V1224" t="s">
        <v>162</v>
      </c>
      <c r="BX1224">
        <v>0</v>
      </c>
      <c r="BY1224">
        <v>1</v>
      </c>
      <c r="BZ1224">
        <v>2007</v>
      </c>
      <c r="CA1224" t="s">
        <v>109</v>
      </c>
      <c r="CB1224" t="s">
        <v>110</v>
      </c>
      <c r="CC1224">
        <v>143000</v>
      </c>
    </row>
    <row r="1225" spans="1:81" x14ac:dyDescent="0.3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H1225" t="s">
        <v>83</v>
      </c>
      <c r="I1225" t="s">
        <v>84</v>
      </c>
      <c r="J1225" t="s">
        <v>85</v>
      </c>
      <c r="K1225" t="s">
        <v>86</v>
      </c>
      <c r="L1225" t="s">
        <v>87</v>
      </c>
      <c r="M1225" t="s">
        <v>270</v>
      </c>
      <c r="N1225" t="s">
        <v>89</v>
      </c>
      <c r="O1225" t="s">
        <v>89</v>
      </c>
      <c r="P1225" t="s">
        <v>90</v>
      </c>
      <c r="Q1225" t="s">
        <v>114</v>
      </c>
      <c r="R1225">
        <v>5</v>
      </c>
      <c r="S1225">
        <v>3</v>
      </c>
      <c r="T1225">
        <v>1951</v>
      </c>
      <c r="U1225">
        <v>1951</v>
      </c>
      <c r="V1225" t="s">
        <v>151</v>
      </c>
      <c r="W1225" t="s">
        <v>93</v>
      </c>
      <c r="X1225" t="s">
        <v>123</v>
      </c>
      <c r="Y1225" t="s">
        <v>123</v>
      </c>
      <c r="Z1225" t="s">
        <v>95</v>
      </c>
      <c r="AA1225">
        <v>44</v>
      </c>
      <c r="AB1225" t="s">
        <v>97</v>
      </c>
      <c r="AC1225" t="s">
        <v>97</v>
      </c>
      <c r="AD1225" t="s">
        <v>117</v>
      </c>
      <c r="AE1225" t="s">
        <v>97</v>
      </c>
      <c r="AF1225" t="s">
        <v>146</v>
      </c>
      <c r="AG1225" t="s">
        <v>99</v>
      </c>
      <c r="AH1225" t="s">
        <v>171</v>
      </c>
      <c r="AI1225">
        <v>756</v>
      </c>
      <c r="AJ1225" t="s">
        <v>101</v>
      </c>
      <c r="AK1225">
        <v>0</v>
      </c>
      <c r="AL1225">
        <v>1380</v>
      </c>
      <c r="AM1225">
        <v>2136</v>
      </c>
      <c r="AN1225" t="s">
        <v>102</v>
      </c>
      <c r="AO1225" t="s">
        <v>97</v>
      </c>
      <c r="AP1225" t="s">
        <v>176</v>
      </c>
      <c r="AQ1225" t="s">
        <v>163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97</v>
      </c>
      <c r="BC1225">
        <v>7</v>
      </c>
      <c r="BD1225" t="s">
        <v>193</v>
      </c>
      <c r="BE1225">
        <v>0</v>
      </c>
      <c r="BG1225" t="s">
        <v>126</v>
      </c>
      <c r="BH1225">
        <v>1951</v>
      </c>
      <c r="BI1225" t="s">
        <v>101</v>
      </c>
      <c r="BJ1225">
        <v>2</v>
      </c>
      <c r="BK1225">
        <v>528</v>
      </c>
      <c r="BL1225" t="s">
        <v>97</v>
      </c>
      <c r="BM1225" t="s">
        <v>97</v>
      </c>
      <c r="BN1225" t="s">
        <v>104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V1225" t="s">
        <v>133</v>
      </c>
      <c r="BX1225">
        <v>0</v>
      </c>
      <c r="BY1225">
        <v>10</v>
      </c>
      <c r="BZ1225">
        <v>2006</v>
      </c>
      <c r="CA1225" t="s">
        <v>109</v>
      </c>
      <c r="CB1225" t="s">
        <v>110</v>
      </c>
      <c r="CC1225">
        <v>137900</v>
      </c>
    </row>
    <row r="1226" spans="1:81" x14ac:dyDescent="0.3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H1226" t="s">
        <v>119</v>
      </c>
      <c r="I1226" t="s">
        <v>84</v>
      </c>
      <c r="J1226" t="s">
        <v>85</v>
      </c>
      <c r="K1226" t="s">
        <v>86</v>
      </c>
      <c r="L1226" t="s">
        <v>87</v>
      </c>
      <c r="M1226" t="s">
        <v>192</v>
      </c>
      <c r="N1226" t="s">
        <v>201</v>
      </c>
      <c r="O1226" t="s">
        <v>89</v>
      </c>
      <c r="P1226" t="s">
        <v>90</v>
      </c>
      <c r="Q1226" t="s">
        <v>91</v>
      </c>
      <c r="R1226">
        <v>7</v>
      </c>
      <c r="S1226">
        <v>5</v>
      </c>
      <c r="T1226">
        <v>2004</v>
      </c>
      <c r="U1226">
        <v>2005</v>
      </c>
      <c r="V1226" t="s">
        <v>92</v>
      </c>
      <c r="W1226" t="s">
        <v>93</v>
      </c>
      <c r="X1226" t="s">
        <v>94</v>
      </c>
      <c r="Y1226" t="s">
        <v>94</v>
      </c>
      <c r="Z1226" t="s">
        <v>116</v>
      </c>
      <c r="AA1226">
        <v>0</v>
      </c>
      <c r="AB1226" t="s">
        <v>96</v>
      </c>
      <c r="AC1226" t="s">
        <v>97</v>
      </c>
      <c r="AD1226" t="s">
        <v>98</v>
      </c>
      <c r="AE1226" t="s">
        <v>96</v>
      </c>
      <c r="AF1226" t="s">
        <v>97</v>
      </c>
      <c r="AG1226" t="s">
        <v>129</v>
      </c>
      <c r="AH1226" t="s">
        <v>100</v>
      </c>
      <c r="AI1226">
        <v>724</v>
      </c>
      <c r="AJ1226" t="s">
        <v>101</v>
      </c>
      <c r="AK1226">
        <v>0</v>
      </c>
      <c r="AL1226">
        <v>64</v>
      </c>
      <c r="AM1226">
        <v>788</v>
      </c>
      <c r="AN1226" t="s">
        <v>102</v>
      </c>
      <c r="AO1226" t="s">
        <v>103</v>
      </c>
      <c r="AP1226" t="s">
        <v>104</v>
      </c>
      <c r="AQ1226" t="s">
        <v>105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96</v>
      </c>
      <c r="BC1226">
        <v>8</v>
      </c>
      <c r="BD1226" t="s">
        <v>106</v>
      </c>
      <c r="BE1226">
        <v>1</v>
      </c>
      <c r="BF1226" t="s">
        <v>96</v>
      </c>
      <c r="BG1226" t="s">
        <v>107</v>
      </c>
      <c r="BH1226">
        <v>2004</v>
      </c>
      <c r="BI1226" t="s">
        <v>156</v>
      </c>
      <c r="BJ1226">
        <v>2</v>
      </c>
      <c r="BK1226">
        <v>388</v>
      </c>
      <c r="BL1226" t="s">
        <v>97</v>
      </c>
      <c r="BM1226" t="s">
        <v>97</v>
      </c>
      <c r="BN1226" t="s">
        <v>104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X1226">
        <v>0</v>
      </c>
      <c r="BY1226">
        <v>2</v>
      </c>
      <c r="BZ1226">
        <v>2008</v>
      </c>
      <c r="CA1226" t="s">
        <v>109</v>
      </c>
      <c r="CB1226" t="s">
        <v>110</v>
      </c>
      <c r="CC1226">
        <v>184000</v>
      </c>
    </row>
    <row r="1227" spans="1:81" x14ac:dyDescent="0.3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H1227" t="s">
        <v>83</v>
      </c>
      <c r="I1227" t="s">
        <v>84</v>
      </c>
      <c r="J1227" t="s">
        <v>85</v>
      </c>
      <c r="K1227" t="s">
        <v>86</v>
      </c>
      <c r="L1227" t="s">
        <v>87</v>
      </c>
      <c r="M1227" t="s">
        <v>270</v>
      </c>
      <c r="N1227" t="s">
        <v>89</v>
      </c>
      <c r="O1227" t="s">
        <v>89</v>
      </c>
      <c r="P1227" t="s">
        <v>90</v>
      </c>
      <c r="Q1227" t="s">
        <v>196</v>
      </c>
      <c r="R1227">
        <v>6</v>
      </c>
      <c r="S1227">
        <v>8</v>
      </c>
      <c r="T1227">
        <v>1958</v>
      </c>
      <c r="U1227">
        <v>1958</v>
      </c>
      <c r="V1227" t="s">
        <v>151</v>
      </c>
      <c r="W1227" t="s">
        <v>93</v>
      </c>
      <c r="X1227" t="s">
        <v>94</v>
      </c>
      <c r="Y1227" t="s">
        <v>94</v>
      </c>
      <c r="Z1227" t="s">
        <v>95</v>
      </c>
      <c r="AA1227">
        <v>63</v>
      </c>
      <c r="AB1227" t="s">
        <v>97</v>
      </c>
      <c r="AC1227" t="s">
        <v>96</v>
      </c>
      <c r="AD1227" t="s">
        <v>117</v>
      </c>
      <c r="AE1227" t="s">
        <v>97</v>
      </c>
      <c r="AF1227" t="s">
        <v>97</v>
      </c>
      <c r="AG1227" t="s">
        <v>129</v>
      </c>
      <c r="AH1227" t="s">
        <v>100</v>
      </c>
      <c r="AI1227">
        <v>507</v>
      </c>
      <c r="AJ1227" t="s">
        <v>101</v>
      </c>
      <c r="AK1227">
        <v>0</v>
      </c>
      <c r="AL1227">
        <v>81</v>
      </c>
      <c r="AM1227">
        <v>588</v>
      </c>
      <c r="AN1227" t="s">
        <v>102</v>
      </c>
      <c r="AO1227" t="s">
        <v>103</v>
      </c>
      <c r="AP1227" t="s">
        <v>104</v>
      </c>
      <c r="AQ1227" t="s">
        <v>105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97</v>
      </c>
      <c r="BC1227">
        <v>6</v>
      </c>
      <c r="BD1227" t="s">
        <v>106</v>
      </c>
      <c r="BE1227">
        <v>0</v>
      </c>
      <c r="BG1227" t="s">
        <v>107</v>
      </c>
      <c r="BH1227">
        <v>1958</v>
      </c>
      <c r="BI1227" t="s">
        <v>108</v>
      </c>
      <c r="BJ1227">
        <v>1</v>
      </c>
      <c r="BK1227">
        <v>264</v>
      </c>
      <c r="BL1227" t="s">
        <v>97</v>
      </c>
      <c r="BM1227" t="s">
        <v>97</v>
      </c>
      <c r="BN1227" t="s">
        <v>104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V1227" t="s">
        <v>217</v>
      </c>
      <c r="BX1227">
        <v>0</v>
      </c>
      <c r="BY1227">
        <v>6</v>
      </c>
      <c r="BZ1227">
        <v>2007</v>
      </c>
      <c r="CA1227" t="s">
        <v>109</v>
      </c>
      <c r="CB1227" t="s">
        <v>110</v>
      </c>
      <c r="CC1227">
        <v>145000</v>
      </c>
    </row>
    <row r="1228" spans="1:81" x14ac:dyDescent="0.3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H1228" t="s">
        <v>119</v>
      </c>
      <c r="I1228" t="s">
        <v>84</v>
      </c>
      <c r="J1228" t="s">
        <v>85</v>
      </c>
      <c r="K1228" t="s">
        <v>165</v>
      </c>
      <c r="L1228" t="s">
        <v>87</v>
      </c>
      <c r="M1228" t="s">
        <v>135</v>
      </c>
      <c r="N1228" t="s">
        <v>113</v>
      </c>
      <c r="O1228" t="s">
        <v>89</v>
      </c>
      <c r="P1228" t="s">
        <v>90</v>
      </c>
      <c r="Q1228" t="s">
        <v>91</v>
      </c>
      <c r="R1228">
        <v>6</v>
      </c>
      <c r="S1228">
        <v>5</v>
      </c>
      <c r="T1228">
        <v>2007</v>
      </c>
      <c r="U1228">
        <v>2007</v>
      </c>
      <c r="V1228" t="s">
        <v>92</v>
      </c>
      <c r="W1228" t="s">
        <v>93</v>
      </c>
      <c r="X1228" t="s">
        <v>94</v>
      </c>
      <c r="Y1228" t="s">
        <v>94</v>
      </c>
      <c r="Z1228" t="s">
        <v>136</v>
      </c>
      <c r="AA1228">
        <v>74</v>
      </c>
      <c r="AB1228" t="s">
        <v>96</v>
      </c>
      <c r="AC1228" t="s">
        <v>97</v>
      </c>
      <c r="AD1228" t="s">
        <v>98</v>
      </c>
      <c r="AE1228" t="s">
        <v>96</v>
      </c>
      <c r="AF1228" t="s">
        <v>97</v>
      </c>
      <c r="AG1228" t="s">
        <v>120</v>
      </c>
      <c r="AH1228" t="s">
        <v>101</v>
      </c>
      <c r="AI1228">
        <v>0</v>
      </c>
      <c r="AJ1228" t="s">
        <v>101</v>
      </c>
      <c r="AK1228">
        <v>0</v>
      </c>
      <c r="AL1228">
        <v>894</v>
      </c>
      <c r="AM1228">
        <v>894</v>
      </c>
      <c r="AN1228" t="s">
        <v>102</v>
      </c>
      <c r="AO1228" t="s">
        <v>103</v>
      </c>
      <c r="AP1228" t="s">
        <v>104</v>
      </c>
      <c r="AQ1228" t="s">
        <v>105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96</v>
      </c>
      <c r="BC1228">
        <v>9</v>
      </c>
      <c r="BD1228" t="s">
        <v>106</v>
      </c>
      <c r="BE1228">
        <v>1</v>
      </c>
      <c r="BF1228" t="s">
        <v>96</v>
      </c>
      <c r="BG1228" t="s">
        <v>155</v>
      </c>
      <c r="BH1228">
        <v>2007</v>
      </c>
      <c r="BI1228" t="s">
        <v>156</v>
      </c>
      <c r="BJ1228">
        <v>3</v>
      </c>
      <c r="BK1228">
        <v>668</v>
      </c>
      <c r="BL1228" t="s">
        <v>97</v>
      </c>
      <c r="BM1228" t="s">
        <v>97</v>
      </c>
      <c r="BN1228" t="s">
        <v>104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X1228">
        <v>0</v>
      </c>
      <c r="BY1228">
        <v>1</v>
      </c>
      <c r="BZ1228">
        <v>2008</v>
      </c>
      <c r="CA1228" t="s">
        <v>109</v>
      </c>
      <c r="CB1228" t="s">
        <v>110</v>
      </c>
      <c r="CC1228">
        <v>214000</v>
      </c>
    </row>
    <row r="1229" spans="1:81" x14ac:dyDescent="0.3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H1229" t="s">
        <v>83</v>
      </c>
      <c r="I1229" t="s">
        <v>84</v>
      </c>
      <c r="J1229" t="s">
        <v>85</v>
      </c>
      <c r="K1229" t="s">
        <v>121</v>
      </c>
      <c r="L1229" t="s">
        <v>87</v>
      </c>
      <c r="M1229" t="s">
        <v>270</v>
      </c>
      <c r="N1229" t="s">
        <v>89</v>
      </c>
      <c r="O1229" t="s">
        <v>89</v>
      </c>
      <c r="P1229" t="s">
        <v>90</v>
      </c>
      <c r="Q1229" t="s">
        <v>114</v>
      </c>
      <c r="R1229">
        <v>5</v>
      </c>
      <c r="S1229">
        <v>8</v>
      </c>
      <c r="T1229">
        <v>1965</v>
      </c>
      <c r="U1229">
        <v>2008</v>
      </c>
      <c r="V1229" t="s">
        <v>92</v>
      </c>
      <c r="W1229" t="s">
        <v>93</v>
      </c>
      <c r="X1229" t="s">
        <v>94</v>
      </c>
      <c r="Y1229" t="s">
        <v>94</v>
      </c>
      <c r="Z1229" t="s">
        <v>95</v>
      </c>
      <c r="AA1229">
        <v>300</v>
      </c>
      <c r="AB1229" t="s">
        <v>97</v>
      </c>
      <c r="AC1229" t="s">
        <v>97</v>
      </c>
      <c r="AD1229" t="s">
        <v>117</v>
      </c>
      <c r="AE1229" t="s">
        <v>97</v>
      </c>
      <c r="AF1229" t="s">
        <v>97</v>
      </c>
      <c r="AG1229" t="s">
        <v>99</v>
      </c>
      <c r="AH1229" t="s">
        <v>118</v>
      </c>
      <c r="AI1229">
        <v>595</v>
      </c>
      <c r="AJ1229" t="s">
        <v>101</v>
      </c>
      <c r="AK1229">
        <v>0</v>
      </c>
      <c r="AL1229">
        <v>317</v>
      </c>
      <c r="AM1229">
        <v>912</v>
      </c>
      <c r="AN1229" t="s">
        <v>102</v>
      </c>
      <c r="AO1229" t="s">
        <v>103</v>
      </c>
      <c r="AP1229" t="s">
        <v>104</v>
      </c>
      <c r="AQ1229" t="s">
        <v>105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96</v>
      </c>
      <c r="BC1229">
        <v>5</v>
      </c>
      <c r="BD1229" t="s">
        <v>106</v>
      </c>
      <c r="BE1229">
        <v>0</v>
      </c>
      <c r="BG1229" t="s">
        <v>126</v>
      </c>
      <c r="BH1229">
        <v>1992</v>
      </c>
      <c r="BI1229" t="s">
        <v>101</v>
      </c>
      <c r="BJ1229">
        <v>2</v>
      </c>
      <c r="BK1229">
        <v>576</v>
      </c>
      <c r="BL1229" t="s">
        <v>97</v>
      </c>
      <c r="BM1229" t="s">
        <v>97</v>
      </c>
      <c r="BN1229" t="s">
        <v>104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X1229">
        <v>0</v>
      </c>
      <c r="BY1229">
        <v>12</v>
      </c>
      <c r="BZ1229">
        <v>2008</v>
      </c>
      <c r="CA1229" t="s">
        <v>109</v>
      </c>
      <c r="CB1229" t="s">
        <v>110</v>
      </c>
      <c r="CC1229">
        <v>147000</v>
      </c>
    </row>
    <row r="1230" spans="1:81" x14ac:dyDescent="0.3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H1230" t="s">
        <v>83</v>
      </c>
      <c r="I1230" t="s">
        <v>84</v>
      </c>
      <c r="J1230" t="s">
        <v>85</v>
      </c>
      <c r="K1230" t="s">
        <v>121</v>
      </c>
      <c r="L1230" t="s">
        <v>87</v>
      </c>
      <c r="M1230" t="s">
        <v>153</v>
      </c>
      <c r="N1230" t="s">
        <v>89</v>
      </c>
      <c r="O1230" t="s">
        <v>89</v>
      </c>
      <c r="P1230" t="s">
        <v>178</v>
      </c>
      <c r="Q1230" t="s">
        <v>114</v>
      </c>
      <c r="R1230">
        <v>9</v>
      </c>
      <c r="S1230">
        <v>5</v>
      </c>
      <c r="T1230">
        <v>2008</v>
      </c>
      <c r="U1230">
        <v>2008</v>
      </c>
      <c r="V1230" t="s">
        <v>151</v>
      </c>
      <c r="W1230" t="s">
        <v>93</v>
      </c>
      <c r="X1230" t="s">
        <v>115</v>
      </c>
      <c r="Y1230" t="s">
        <v>115</v>
      </c>
      <c r="Z1230" t="s">
        <v>95</v>
      </c>
      <c r="AA1230">
        <v>766</v>
      </c>
      <c r="AB1230" t="s">
        <v>103</v>
      </c>
      <c r="AC1230" t="s">
        <v>97</v>
      </c>
      <c r="AD1230" t="s">
        <v>98</v>
      </c>
      <c r="AE1230" t="s">
        <v>103</v>
      </c>
      <c r="AF1230" t="s">
        <v>97</v>
      </c>
      <c r="AG1230" t="s">
        <v>99</v>
      </c>
      <c r="AH1230" t="s">
        <v>100</v>
      </c>
      <c r="AI1230">
        <v>1540</v>
      </c>
      <c r="AJ1230" t="s">
        <v>101</v>
      </c>
      <c r="AK1230">
        <v>0</v>
      </c>
      <c r="AL1230">
        <v>162</v>
      </c>
      <c r="AM1230">
        <v>1702</v>
      </c>
      <c r="AN1230" t="s">
        <v>102</v>
      </c>
      <c r="AO1230" t="s">
        <v>103</v>
      </c>
      <c r="AP1230" t="s">
        <v>104</v>
      </c>
      <c r="AQ1230" t="s">
        <v>105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103</v>
      </c>
      <c r="BC1230">
        <v>7</v>
      </c>
      <c r="BD1230" t="s">
        <v>106</v>
      </c>
      <c r="BE1230">
        <v>1</v>
      </c>
      <c r="BF1230" t="s">
        <v>96</v>
      </c>
      <c r="BG1230" t="s">
        <v>107</v>
      </c>
      <c r="BH1230">
        <v>2008</v>
      </c>
      <c r="BI1230" t="s">
        <v>156</v>
      </c>
      <c r="BJ1230">
        <v>3</v>
      </c>
      <c r="BK1230">
        <v>1052</v>
      </c>
      <c r="BL1230" t="s">
        <v>97</v>
      </c>
      <c r="BM1230" t="s">
        <v>97</v>
      </c>
      <c r="BN1230" t="s">
        <v>104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X1230">
        <v>0</v>
      </c>
      <c r="BY1230">
        <v>10</v>
      </c>
      <c r="BZ1230">
        <v>2008</v>
      </c>
      <c r="CA1230" t="s">
        <v>157</v>
      </c>
      <c r="CB1230" t="s">
        <v>158</v>
      </c>
      <c r="CC1230">
        <v>367294</v>
      </c>
    </row>
    <row r="1231" spans="1:81" x14ac:dyDescent="0.3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H1231" t="s">
        <v>83</v>
      </c>
      <c r="I1231" t="s">
        <v>84</v>
      </c>
      <c r="J1231" t="s">
        <v>85</v>
      </c>
      <c r="K1231" t="s">
        <v>86</v>
      </c>
      <c r="L1231" t="s">
        <v>87</v>
      </c>
      <c r="M1231" t="s">
        <v>270</v>
      </c>
      <c r="N1231" t="s">
        <v>89</v>
      </c>
      <c r="O1231" t="s">
        <v>89</v>
      </c>
      <c r="P1231" t="s">
        <v>90</v>
      </c>
      <c r="Q1231" t="s">
        <v>196</v>
      </c>
      <c r="R1231">
        <v>5</v>
      </c>
      <c r="S1231">
        <v>5</v>
      </c>
      <c r="T1231">
        <v>1960</v>
      </c>
      <c r="U1231">
        <v>1960</v>
      </c>
      <c r="V1231" t="s">
        <v>151</v>
      </c>
      <c r="W1231" t="s">
        <v>93</v>
      </c>
      <c r="X1231" t="s">
        <v>95</v>
      </c>
      <c r="Y1231" t="s">
        <v>139</v>
      </c>
      <c r="Z1231" t="s">
        <v>116</v>
      </c>
      <c r="AA1231">
        <v>0</v>
      </c>
      <c r="AB1231" t="s">
        <v>97</v>
      </c>
      <c r="AC1231" t="s">
        <v>97</v>
      </c>
      <c r="AD1231" t="s">
        <v>117</v>
      </c>
      <c r="AE1231" t="s">
        <v>97</v>
      </c>
      <c r="AF1231" t="s">
        <v>97</v>
      </c>
      <c r="AG1231" t="s">
        <v>99</v>
      </c>
      <c r="AH1231" t="s">
        <v>118</v>
      </c>
      <c r="AI1231">
        <v>666</v>
      </c>
      <c r="AJ1231" t="s">
        <v>101</v>
      </c>
      <c r="AK1231">
        <v>0</v>
      </c>
      <c r="AL1231">
        <v>409</v>
      </c>
      <c r="AM1231">
        <v>1075</v>
      </c>
      <c r="AN1231" t="s">
        <v>102</v>
      </c>
      <c r="AO1231" t="s">
        <v>96</v>
      </c>
      <c r="AP1231" t="s">
        <v>104</v>
      </c>
      <c r="AQ1231" t="s">
        <v>105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97</v>
      </c>
      <c r="BC1231">
        <v>7</v>
      </c>
      <c r="BD1231" t="s">
        <v>220</v>
      </c>
      <c r="BE1231">
        <v>0</v>
      </c>
      <c r="BG1231" t="s">
        <v>208</v>
      </c>
      <c r="BH1231">
        <v>1960</v>
      </c>
      <c r="BI1231" t="s">
        <v>101</v>
      </c>
      <c r="BJ1231">
        <v>1</v>
      </c>
      <c r="BK1231">
        <v>404</v>
      </c>
      <c r="BL1231" t="s">
        <v>97</v>
      </c>
      <c r="BM1231" t="s">
        <v>97</v>
      </c>
      <c r="BN1231" t="s">
        <v>104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V1231" t="s">
        <v>162</v>
      </c>
      <c r="BX1231">
        <v>0</v>
      </c>
      <c r="BY1231">
        <v>8</v>
      </c>
      <c r="BZ1231">
        <v>2008</v>
      </c>
      <c r="CA1231" t="s">
        <v>109</v>
      </c>
      <c r="CB1231" t="s">
        <v>110</v>
      </c>
      <c r="CC1231">
        <v>127000</v>
      </c>
    </row>
    <row r="1232" spans="1:81" x14ac:dyDescent="0.3">
      <c r="A1232">
        <v>1231</v>
      </c>
      <c r="B1232">
        <v>90</v>
      </c>
      <c r="C1232" t="s">
        <v>81</v>
      </c>
      <c r="E1232">
        <v>18890</v>
      </c>
      <c r="F1232" t="s">
        <v>82</v>
      </c>
      <c r="H1232" t="s">
        <v>119</v>
      </c>
      <c r="I1232" t="s">
        <v>84</v>
      </c>
      <c r="J1232" t="s">
        <v>85</v>
      </c>
      <c r="K1232" t="s">
        <v>86</v>
      </c>
      <c r="L1232" t="s">
        <v>87</v>
      </c>
      <c r="M1232" t="s">
        <v>150</v>
      </c>
      <c r="N1232" t="s">
        <v>113</v>
      </c>
      <c r="O1232" t="s">
        <v>170</v>
      </c>
      <c r="P1232" t="s">
        <v>166</v>
      </c>
      <c r="Q1232" t="s">
        <v>131</v>
      </c>
      <c r="R1232">
        <v>5</v>
      </c>
      <c r="S1232">
        <v>5</v>
      </c>
      <c r="T1232">
        <v>1977</v>
      </c>
      <c r="U1232">
        <v>1977</v>
      </c>
      <c r="V1232" t="s">
        <v>134</v>
      </c>
      <c r="W1232" t="s">
        <v>93</v>
      </c>
      <c r="X1232" t="s">
        <v>160</v>
      </c>
      <c r="Y1232" t="s">
        <v>160</v>
      </c>
      <c r="Z1232" t="s">
        <v>116</v>
      </c>
      <c r="AA1232">
        <v>1</v>
      </c>
      <c r="AB1232" t="s">
        <v>97</v>
      </c>
      <c r="AC1232" t="s">
        <v>97</v>
      </c>
      <c r="AD1232" t="s">
        <v>117</v>
      </c>
      <c r="AE1232" t="s">
        <v>96</v>
      </c>
      <c r="AF1232" t="s">
        <v>97</v>
      </c>
      <c r="AG1232" t="s">
        <v>99</v>
      </c>
      <c r="AH1232" t="s">
        <v>100</v>
      </c>
      <c r="AI1232">
        <v>498</v>
      </c>
      <c r="AJ1232" t="s">
        <v>152</v>
      </c>
      <c r="AK1232">
        <v>211</v>
      </c>
      <c r="AL1232">
        <v>652</v>
      </c>
      <c r="AM1232">
        <v>1361</v>
      </c>
      <c r="AN1232" t="s">
        <v>102</v>
      </c>
      <c r="AO1232" t="s">
        <v>103</v>
      </c>
      <c r="AP1232" t="s">
        <v>104</v>
      </c>
      <c r="AQ1232" t="s">
        <v>105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97</v>
      </c>
      <c r="BC1232">
        <v>12</v>
      </c>
      <c r="BD1232" t="s">
        <v>106</v>
      </c>
      <c r="BE1232">
        <v>1</v>
      </c>
      <c r="BF1232" t="s">
        <v>97</v>
      </c>
      <c r="BG1232" t="s">
        <v>155</v>
      </c>
      <c r="BH1232">
        <v>1977</v>
      </c>
      <c r="BI1232" t="s">
        <v>108</v>
      </c>
      <c r="BJ1232">
        <v>2</v>
      </c>
      <c r="BK1232">
        <v>600</v>
      </c>
      <c r="BL1232" t="s">
        <v>97</v>
      </c>
      <c r="BM1232" t="s">
        <v>97</v>
      </c>
      <c r="BN1232" t="s">
        <v>176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W1232" t="s">
        <v>240</v>
      </c>
      <c r="BX1232">
        <v>8300</v>
      </c>
      <c r="BY1232">
        <v>8</v>
      </c>
      <c r="BZ1232">
        <v>2007</v>
      </c>
      <c r="CA1232" t="s">
        <v>109</v>
      </c>
      <c r="CB1232" t="s">
        <v>110</v>
      </c>
      <c r="CC1232">
        <v>190000</v>
      </c>
    </row>
    <row r="1233" spans="1:81" x14ac:dyDescent="0.3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H1233" t="s">
        <v>83</v>
      </c>
      <c r="I1233" t="s">
        <v>84</v>
      </c>
      <c r="J1233" t="s">
        <v>85</v>
      </c>
      <c r="K1233" t="s">
        <v>86</v>
      </c>
      <c r="L1233" t="s">
        <v>87</v>
      </c>
      <c r="M1233" t="s">
        <v>270</v>
      </c>
      <c r="N1233" t="s">
        <v>89</v>
      </c>
      <c r="O1233" t="s">
        <v>89</v>
      </c>
      <c r="P1233" t="s">
        <v>166</v>
      </c>
      <c r="Q1233" t="s">
        <v>196</v>
      </c>
      <c r="R1233">
        <v>5</v>
      </c>
      <c r="S1233">
        <v>6</v>
      </c>
      <c r="T1233">
        <v>1962</v>
      </c>
      <c r="U1233">
        <v>1962</v>
      </c>
      <c r="V1233" t="s">
        <v>151</v>
      </c>
      <c r="W1233" t="s">
        <v>93</v>
      </c>
      <c r="X1233" t="s">
        <v>123</v>
      </c>
      <c r="Y1233" t="s">
        <v>123</v>
      </c>
      <c r="Z1233" t="s">
        <v>95</v>
      </c>
      <c r="AA1233">
        <v>120</v>
      </c>
      <c r="AB1233" t="s">
        <v>97</v>
      </c>
      <c r="AC1233" t="s">
        <v>97</v>
      </c>
      <c r="AD1233" t="s">
        <v>117</v>
      </c>
      <c r="AE1233" t="s">
        <v>97</v>
      </c>
      <c r="AF1233" t="s">
        <v>97</v>
      </c>
      <c r="AG1233" t="s">
        <v>129</v>
      </c>
      <c r="AH1233" t="s">
        <v>118</v>
      </c>
      <c r="AI1233">
        <v>803</v>
      </c>
      <c r="AJ1233" t="s">
        <v>101</v>
      </c>
      <c r="AK1233">
        <v>0</v>
      </c>
      <c r="AL1233">
        <v>303</v>
      </c>
      <c r="AM1233">
        <v>1106</v>
      </c>
      <c r="AN1233" t="s">
        <v>102</v>
      </c>
      <c r="AO1233" t="s">
        <v>97</v>
      </c>
      <c r="AP1233" t="s">
        <v>104</v>
      </c>
      <c r="AQ1233" t="s">
        <v>105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97</v>
      </c>
      <c r="BC1233">
        <v>6</v>
      </c>
      <c r="BD1233" t="s">
        <v>106</v>
      </c>
      <c r="BE1233">
        <v>0</v>
      </c>
      <c r="BG1233" t="s">
        <v>107</v>
      </c>
      <c r="BH1233">
        <v>1962</v>
      </c>
      <c r="BI1233" t="s">
        <v>101</v>
      </c>
      <c r="BJ1233">
        <v>2</v>
      </c>
      <c r="BK1233">
        <v>540</v>
      </c>
      <c r="BL1233" t="s">
        <v>97</v>
      </c>
      <c r="BM1233" t="s">
        <v>97</v>
      </c>
      <c r="BN1233" t="s">
        <v>104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V1233" t="s">
        <v>162</v>
      </c>
      <c r="BX1233">
        <v>0</v>
      </c>
      <c r="BY1233">
        <v>5</v>
      </c>
      <c r="BZ1233">
        <v>2006</v>
      </c>
      <c r="CA1233" t="s">
        <v>109</v>
      </c>
      <c r="CB1233" t="s">
        <v>110</v>
      </c>
      <c r="CC1233">
        <v>132500</v>
      </c>
    </row>
    <row r="1234" spans="1:81" x14ac:dyDescent="0.3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H1234" t="s">
        <v>83</v>
      </c>
      <c r="I1234" t="s">
        <v>84</v>
      </c>
      <c r="J1234" t="s">
        <v>85</v>
      </c>
      <c r="K1234" t="s">
        <v>111</v>
      </c>
      <c r="L1234" t="s">
        <v>87</v>
      </c>
      <c r="M1234" t="s">
        <v>270</v>
      </c>
      <c r="N1234" t="s">
        <v>89</v>
      </c>
      <c r="O1234" t="s">
        <v>89</v>
      </c>
      <c r="P1234" t="s">
        <v>166</v>
      </c>
      <c r="Q1234" t="s">
        <v>114</v>
      </c>
      <c r="R1234">
        <v>4</v>
      </c>
      <c r="S1234">
        <v>5</v>
      </c>
      <c r="T1234">
        <v>1962</v>
      </c>
      <c r="U1234">
        <v>1962</v>
      </c>
      <c r="V1234" t="s">
        <v>92</v>
      </c>
      <c r="W1234" t="s">
        <v>93</v>
      </c>
      <c r="X1234" t="s">
        <v>139</v>
      </c>
      <c r="Y1234" t="s">
        <v>139</v>
      </c>
      <c r="Z1234" t="s">
        <v>116</v>
      </c>
      <c r="AA1234">
        <v>0</v>
      </c>
      <c r="AB1234" t="s">
        <v>97</v>
      </c>
      <c r="AC1234" t="s">
        <v>97</v>
      </c>
      <c r="AD1234" t="s">
        <v>167</v>
      </c>
      <c r="AI1234">
        <v>0</v>
      </c>
      <c r="AK1234">
        <v>0</v>
      </c>
      <c r="AL1234">
        <v>0</v>
      </c>
      <c r="AM1234">
        <v>0</v>
      </c>
      <c r="AN1234" t="s">
        <v>102</v>
      </c>
      <c r="AO1234" t="s">
        <v>97</v>
      </c>
      <c r="AP1234" t="s">
        <v>104</v>
      </c>
      <c r="AQ1234" t="s">
        <v>105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97</v>
      </c>
      <c r="BC1234">
        <v>6</v>
      </c>
      <c r="BD1234" t="s">
        <v>106</v>
      </c>
      <c r="BE1234">
        <v>0</v>
      </c>
      <c r="BG1234" t="s">
        <v>168</v>
      </c>
      <c r="BH1234">
        <v>1962</v>
      </c>
      <c r="BI1234" t="s">
        <v>101</v>
      </c>
      <c r="BJ1234">
        <v>2</v>
      </c>
      <c r="BK1234">
        <v>462</v>
      </c>
      <c r="BL1234" t="s">
        <v>97</v>
      </c>
      <c r="BM1234" t="s">
        <v>97</v>
      </c>
      <c r="BN1234" t="s">
        <v>104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X1234">
        <v>0</v>
      </c>
      <c r="BY1234">
        <v>3</v>
      </c>
      <c r="BZ1234">
        <v>2007</v>
      </c>
      <c r="CA1234" t="s">
        <v>109</v>
      </c>
      <c r="CB1234" t="s">
        <v>110</v>
      </c>
      <c r="CC1234">
        <v>101800</v>
      </c>
    </row>
    <row r="1235" spans="1:81" x14ac:dyDescent="0.3">
      <c r="A1235">
        <v>1234</v>
      </c>
      <c r="B1235">
        <v>20</v>
      </c>
      <c r="C1235" t="s">
        <v>81</v>
      </c>
      <c r="E1235">
        <v>12160</v>
      </c>
      <c r="F1235" t="s">
        <v>82</v>
      </c>
      <c r="H1235" t="s">
        <v>119</v>
      </c>
      <c r="I1235" t="s">
        <v>84</v>
      </c>
      <c r="J1235" t="s">
        <v>85</v>
      </c>
      <c r="K1235" t="s">
        <v>86</v>
      </c>
      <c r="L1235" t="s">
        <v>87</v>
      </c>
      <c r="M1235" t="s">
        <v>270</v>
      </c>
      <c r="N1235" t="s">
        <v>89</v>
      </c>
      <c r="O1235" t="s">
        <v>89</v>
      </c>
      <c r="P1235" t="s">
        <v>90</v>
      </c>
      <c r="Q1235" t="s">
        <v>114</v>
      </c>
      <c r="R1235">
        <v>5</v>
      </c>
      <c r="S1235">
        <v>5</v>
      </c>
      <c r="T1235">
        <v>1959</v>
      </c>
      <c r="U1235">
        <v>1959</v>
      </c>
      <c r="V1235" t="s">
        <v>151</v>
      </c>
      <c r="W1235" t="s">
        <v>93</v>
      </c>
      <c r="X1235" t="s">
        <v>160</v>
      </c>
      <c r="Y1235" t="s">
        <v>160</v>
      </c>
      <c r="Z1235" t="s">
        <v>95</v>
      </c>
      <c r="AA1235">
        <v>180</v>
      </c>
      <c r="AB1235" t="s">
        <v>97</v>
      </c>
      <c r="AC1235" t="s">
        <v>97</v>
      </c>
      <c r="AD1235" t="s">
        <v>117</v>
      </c>
      <c r="AE1235" t="s">
        <v>97</v>
      </c>
      <c r="AF1235" t="s">
        <v>97</v>
      </c>
      <c r="AG1235" t="s">
        <v>99</v>
      </c>
      <c r="AH1235" t="s">
        <v>152</v>
      </c>
      <c r="AI1235">
        <v>1000</v>
      </c>
      <c r="AJ1235" t="s">
        <v>101</v>
      </c>
      <c r="AK1235">
        <v>0</v>
      </c>
      <c r="AL1235">
        <v>188</v>
      </c>
      <c r="AM1235">
        <v>1188</v>
      </c>
      <c r="AN1235" t="s">
        <v>102</v>
      </c>
      <c r="AO1235" t="s">
        <v>146</v>
      </c>
      <c r="AP1235" t="s">
        <v>104</v>
      </c>
      <c r="AQ1235" t="s">
        <v>105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97</v>
      </c>
      <c r="BC1235">
        <v>6</v>
      </c>
      <c r="BD1235" t="s">
        <v>106</v>
      </c>
      <c r="BE1235">
        <v>0</v>
      </c>
      <c r="BG1235" t="s">
        <v>107</v>
      </c>
      <c r="BH1235">
        <v>1959</v>
      </c>
      <c r="BI1235" t="s">
        <v>108</v>
      </c>
      <c r="BJ1235">
        <v>2</v>
      </c>
      <c r="BK1235">
        <v>531</v>
      </c>
      <c r="BL1235" t="s">
        <v>97</v>
      </c>
      <c r="BM1235" t="s">
        <v>97</v>
      </c>
      <c r="BN1235" t="s">
        <v>104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V1235" t="s">
        <v>133</v>
      </c>
      <c r="BX1235">
        <v>0</v>
      </c>
      <c r="BY1235">
        <v>5</v>
      </c>
      <c r="BZ1235">
        <v>2010</v>
      </c>
      <c r="CA1235" t="s">
        <v>172</v>
      </c>
      <c r="CB1235" t="s">
        <v>127</v>
      </c>
      <c r="CC1235">
        <v>142000</v>
      </c>
    </row>
    <row r="1236" spans="1:81" x14ac:dyDescent="0.3">
      <c r="A1236">
        <v>1235</v>
      </c>
      <c r="B1236">
        <v>70</v>
      </c>
      <c r="C1236" t="s">
        <v>238</v>
      </c>
      <c r="D1236">
        <v>55</v>
      </c>
      <c r="E1236">
        <v>8525</v>
      </c>
      <c r="F1236" t="s">
        <v>82</v>
      </c>
      <c r="H1236" t="s">
        <v>83</v>
      </c>
      <c r="I1236" t="s">
        <v>174</v>
      </c>
      <c r="J1236" t="s">
        <v>85</v>
      </c>
      <c r="K1236" t="s">
        <v>86</v>
      </c>
      <c r="L1236" t="s">
        <v>87</v>
      </c>
      <c r="M1236" t="s">
        <v>231</v>
      </c>
      <c r="N1236" t="s">
        <v>89</v>
      </c>
      <c r="O1236" t="s">
        <v>89</v>
      </c>
      <c r="P1236" t="s">
        <v>90</v>
      </c>
      <c r="Q1236" t="s">
        <v>91</v>
      </c>
      <c r="R1236">
        <v>5</v>
      </c>
      <c r="S1236">
        <v>6</v>
      </c>
      <c r="T1236">
        <v>1911</v>
      </c>
      <c r="U1236">
        <v>1950</v>
      </c>
      <c r="V1236" t="s">
        <v>92</v>
      </c>
      <c r="W1236" t="s">
        <v>93</v>
      </c>
      <c r="X1236" t="s">
        <v>115</v>
      </c>
      <c r="Y1236" t="s">
        <v>115</v>
      </c>
      <c r="Z1236" t="s">
        <v>116</v>
      </c>
      <c r="AA1236">
        <v>0</v>
      </c>
      <c r="AB1236" t="s">
        <v>97</v>
      </c>
      <c r="AC1236" t="s">
        <v>97</v>
      </c>
      <c r="AD1236" t="s">
        <v>98</v>
      </c>
      <c r="AE1236" t="s">
        <v>97</v>
      </c>
      <c r="AF1236" t="s">
        <v>97</v>
      </c>
      <c r="AG1236" t="s">
        <v>129</v>
      </c>
      <c r="AH1236" t="s">
        <v>101</v>
      </c>
      <c r="AI1236">
        <v>0</v>
      </c>
      <c r="AJ1236" t="s">
        <v>101</v>
      </c>
      <c r="AK1236">
        <v>0</v>
      </c>
      <c r="AL1236">
        <v>940</v>
      </c>
      <c r="AM1236">
        <v>940</v>
      </c>
      <c r="AN1236" t="s">
        <v>102</v>
      </c>
      <c r="AO1236" t="s">
        <v>97</v>
      </c>
      <c r="AP1236" t="s">
        <v>176</v>
      </c>
      <c r="AQ1236" t="s">
        <v>163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97</v>
      </c>
      <c r="BC1236">
        <v>7</v>
      </c>
      <c r="BD1236" t="s">
        <v>106</v>
      </c>
      <c r="BE1236">
        <v>0</v>
      </c>
      <c r="BJ1236">
        <v>0</v>
      </c>
      <c r="BK1236">
        <v>0</v>
      </c>
      <c r="BN1236" t="s">
        <v>176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X1236">
        <v>0</v>
      </c>
      <c r="BY1236">
        <v>11</v>
      </c>
      <c r="BZ1236">
        <v>2008</v>
      </c>
      <c r="CA1236" t="s">
        <v>109</v>
      </c>
      <c r="CB1236" t="s">
        <v>127</v>
      </c>
      <c r="CC1236">
        <v>130000</v>
      </c>
    </row>
    <row r="1237" spans="1:81" x14ac:dyDescent="0.3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H1237" t="s">
        <v>83</v>
      </c>
      <c r="I1237" t="s">
        <v>84</v>
      </c>
      <c r="J1237" t="s">
        <v>85</v>
      </c>
      <c r="K1237" t="s">
        <v>86</v>
      </c>
      <c r="L1237" t="s">
        <v>87</v>
      </c>
      <c r="M1237" t="s">
        <v>122</v>
      </c>
      <c r="N1237" t="s">
        <v>89</v>
      </c>
      <c r="O1237" t="s">
        <v>89</v>
      </c>
      <c r="P1237" t="s">
        <v>90</v>
      </c>
      <c r="Q1237" t="s">
        <v>91</v>
      </c>
      <c r="R1237">
        <v>5</v>
      </c>
      <c r="S1237">
        <v>5</v>
      </c>
      <c r="T1237">
        <v>1914</v>
      </c>
      <c r="U1237">
        <v>1950</v>
      </c>
      <c r="V1237" t="s">
        <v>92</v>
      </c>
      <c r="W1237" t="s">
        <v>93</v>
      </c>
      <c r="X1237" t="s">
        <v>123</v>
      </c>
      <c r="Y1237" t="s">
        <v>123</v>
      </c>
      <c r="Z1237" t="s">
        <v>116</v>
      </c>
      <c r="AA1237">
        <v>0</v>
      </c>
      <c r="AB1237" t="s">
        <v>97</v>
      </c>
      <c r="AC1237" t="s">
        <v>97</v>
      </c>
      <c r="AD1237" t="s">
        <v>125</v>
      </c>
      <c r="AE1237" t="s">
        <v>96</v>
      </c>
      <c r="AF1237" t="s">
        <v>97</v>
      </c>
      <c r="AG1237" t="s">
        <v>120</v>
      </c>
      <c r="AH1237" t="s">
        <v>101</v>
      </c>
      <c r="AI1237">
        <v>0</v>
      </c>
      <c r="AJ1237" t="s">
        <v>101</v>
      </c>
      <c r="AK1237">
        <v>0</v>
      </c>
      <c r="AL1237">
        <v>747</v>
      </c>
      <c r="AM1237">
        <v>747</v>
      </c>
      <c r="AN1237" t="s">
        <v>102</v>
      </c>
      <c r="AO1237" t="s">
        <v>96</v>
      </c>
      <c r="AP1237" t="s">
        <v>104</v>
      </c>
      <c r="AQ1237" t="s">
        <v>144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97</v>
      </c>
      <c r="BC1237">
        <v>9</v>
      </c>
      <c r="BD1237" t="s">
        <v>106</v>
      </c>
      <c r="BE1237">
        <v>0</v>
      </c>
      <c r="BG1237" t="s">
        <v>126</v>
      </c>
      <c r="BH1237">
        <v>1914</v>
      </c>
      <c r="BI1237" t="s">
        <v>101</v>
      </c>
      <c r="BJ1237">
        <v>1</v>
      </c>
      <c r="BK1237">
        <v>180</v>
      </c>
      <c r="BL1237" t="s">
        <v>146</v>
      </c>
      <c r="BM1237" t="s">
        <v>146</v>
      </c>
      <c r="BN1237" t="s">
        <v>176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X1237">
        <v>0</v>
      </c>
      <c r="BY1237">
        <v>7</v>
      </c>
      <c r="BZ1237">
        <v>2006</v>
      </c>
      <c r="CA1237" t="s">
        <v>109</v>
      </c>
      <c r="CB1237" t="s">
        <v>110</v>
      </c>
      <c r="CC1237">
        <v>138887</v>
      </c>
    </row>
    <row r="1238" spans="1:81" x14ac:dyDescent="0.3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H1238" t="s">
        <v>83</v>
      </c>
      <c r="I1238" t="s">
        <v>84</v>
      </c>
      <c r="J1238" t="s">
        <v>85</v>
      </c>
      <c r="K1238" t="s">
        <v>86</v>
      </c>
      <c r="L1238" t="s">
        <v>87</v>
      </c>
      <c r="M1238" t="s">
        <v>153</v>
      </c>
      <c r="N1238" t="s">
        <v>89</v>
      </c>
      <c r="O1238" t="s">
        <v>89</v>
      </c>
      <c r="P1238" t="s">
        <v>197</v>
      </c>
      <c r="Q1238" t="s">
        <v>91</v>
      </c>
      <c r="R1238">
        <v>7</v>
      </c>
      <c r="S1238">
        <v>5</v>
      </c>
      <c r="T1238">
        <v>2003</v>
      </c>
      <c r="U1238">
        <v>2003</v>
      </c>
      <c r="V1238" t="s">
        <v>92</v>
      </c>
      <c r="W1238" t="s">
        <v>93</v>
      </c>
      <c r="X1238" t="s">
        <v>94</v>
      </c>
      <c r="Y1238" t="s">
        <v>124</v>
      </c>
      <c r="Z1238" t="s">
        <v>136</v>
      </c>
      <c r="AA1238">
        <v>106</v>
      </c>
      <c r="AB1238" t="s">
        <v>96</v>
      </c>
      <c r="AC1238" t="s">
        <v>97</v>
      </c>
      <c r="AD1238" t="s">
        <v>98</v>
      </c>
      <c r="AE1238" t="s">
        <v>96</v>
      </c>
      <c r="AF1238" t="s">
        <v>97</v>
      </c>
      <c r="AG1238" t="s">
        <v>99</v>
      </c>
      <c r="AH1238" t="s">
        <v>101</v>
      </c>
      <c r="AI1238">
        <v>0</v>
      </c>
      <c r="AJ1238" t="s">
        <v>101</v>
      </c>
      <c r="AK1238">
        <v>0</v>
      </c>
      <c r="AL1238">
        <v>764</v>
      </c>
      <c r="AM1238">
        <v>764</v>
      </c>
      <c r="AN1238" t="s">
        <v>102</v>
      </c>
      <c r="AO1238" t="s">
        <v>103</v>
      </c>
      <c r="AP1238" t="s">
        <v>104</v>
      </c>
      <c r="AQ1238" t="s">
        <v>105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96</v>
      </c>
      <c r="BC1238">
        <v>6</v>
      </c>
      <c r="BD1238" t="s">
        <v>106</v>
      </c>
      <c r="BE1238">
        <v>0</v>
      </c>
      <c r="BG1238" t="s">
        <v>155</v>
      </c>
      <c r="BH1238">
        <v>2003</v>
      </c>
      <c r="BI1238" t="s">
        <v>108</v>
      </c>
      <c r="BJ1238">
        <v>2</v>
      </c>
      <c r="BK1238">
        <v>474</v>
      </c>
      <c r="BL1238" t="s">
        <v>97</v>
      </c>
      <c r="BM1238" t="s">
        <v>97</v>
      </c>
      <c r="BN1238" t="s">
        <v>104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X1238">
        <v>0</v>
      </c>
      <c r="BY1238">
        <v>6</v>
      </c>
      <c r="BZ1238">
        <v>2010</v>
      </c>
      <c r="CA1238" t="s">
        <v>109</v>
      </c>
      <c r="CB1238" t="s">
        <v>110</v>
      </c>
      <c r="CC1238">
        <v>175500</v>
      </c>
    </row>
    <row r="1239" spans="1:81" x14ac:dyDescent="0.3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H1239" t="s">
        <v>159</v>
      </c>
      <c r="I1239" t="s">
        <v>84</v>
      </c>
      <c r="J1239" t="s">
        <v>85</v>
      </c>
      <c r="K1239" t="s">
        <v>111</v>
      </c>
      <c r="L1239" t="s">
        <v>87</v>
      </c>
      <c r="M1239" t="s">
        <v>88</v>
      </c>
      <c r="N1239" t="s">
        <v>89</v>
      </c>
      <c r="O1239" t="s">
        <v>89</v>
      </c>
      <c r="P1239" t="s">
        <v>90</v>
      </c>
      <c r="Q1239" t="s">
        <v>91</v>
      </c>
      <c r="R1239">
        <v>7</v>
      </c>
      <c r="S1239">
        <v>5</v>
      </c>
      <c r="T1239">
        <v>2004</v>
      </c>
      <c r="U1239">
        <v>2005</v>
      </c>
      <c r="V1239" t="s">
        <v>92</v>
      </c>
      <c r="W1239" t="s">
        <v>93</v>
      </c>
      <c r="X1239" t="s">
        <v>94</v>
      </c>
      <c r="Y1239" t="s">
        <v>94</v>
      </c>
      <c r="Z1239" t="s">
        <v>116</v>
      </c>
      <c r="AA1239">
        <v>0</v>
      </c>
      <c r="AB1239" t="s">
        <v>96</v>
      </c>
      <c r="AC1239" t="s">
        <v>97</v>
      </c>
      <c r="AD1239" t="s">
        <v>98</v>
      </c>
      <c r="AE1239" t="s">
        <v>96</v>
      </c>
      <c r="AF1239" t="s">
        <v>97</v>
      </c>
      <c r="AG1239" t="s">
        <v>99</v>
      </c>
      <c r="AH1239" t="s">
        <v>101</v>
      </c>
      <c r="AI1239">
        <v>0</v>
      </c>
      <c r="AJ1239" t="s">
        <v>101</v>
      </c>
      <c r="AK1239">
        <v>0</v>
      </c>
      <c r="AL1239">
        <v>847</v>
      </c>
      <c r="AM1239">
        <v>847</v>
      </c>
      <c r="AN1239" t="s">
        <v>102</v>
      </c>
      <c r="AO1239" t="s">
        <v>103</v>
      </c>
      <c r="AP1239" t="s">
        <v>104</v>
      </c>
      <c r="AQ1239" t="s">
        <v>105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96</v>
      </c>
      <c r="BC1239">
        <v>8</v>
      </c>
      <c r="BD1239" t="s">
        <v>106</v>
      </c>
      <c r="BE1239">
        <v>1</v>
      </c>
      <c r="BF1239" t="s">
        <v>96</v>
      </c>
      <c r="BG1239" t="s">
        <v>155</v>
      </c>
      <c r="BH1239">
        <v>2004</v>
      </c>
      <c r="BI1239" t="s">
        <v>156</v>
      </c>
      <c r="BJ1239">
        <v>2</v>
      </c>
      <c r="BK1239">
        <v>434</v>
      </c>
      <c r="BL1239" t="s">
        <v>97</v>
      </c>
      <c r="BM1239" t="s">
        <v>97</v>
      </c>
      <c r="BN1239" t="s">
        <v>104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X1239">
        <v>0</v>
      </c>
      <c r="BY1239">
        <v>9</v>
      </c>
      <c r="BZ1239">
        <v>2006</v>
      </c>
      <c r="CA1239" t="s">
        <v>109</v>
      </c>
      <c r="CB1239" t="s">
        <v>110</v>
      </c>
      <c r="CC1239">
        <v>195000</v>
      </c>
    </row>
    <row r="1240" spans="1:81" x14ac:dyDescent="0.3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H1240" t="s">
        <v>83</v>
      </c>
      <c r="I1240" t="s">
        <v>84</v>
      </c>
      <c r="J1240" t="s">
        <v>85</v>
      </c>
      <c r="K1240" t="s">
        <v>86</v>
      </c>
      <c r="L1240" t="s">
        <v>87</v>
      </c>
      <c r="M1240" t="s">
        <v>169</v>
      </c>
      <c r="N1240" t="s">
        <v>170</v>
      </c>
      <c r="O1240" t="s">
        <v>89</v>
      </c>
      <c r="P1240" t="s">
        <v>90</v>
      </c>
      <c r="Q1240" t="s">
        <v>114</v>
      </c>
      <c r="R1240">
        <v>6</v>
      </c>
      <c r="S1240">
        <v>5</v>
      </c>
      <c r="T1240">
        <v>2005</v>
      </c>
      <c r="U1240">
        <v>2005</v>
      </c>
      <c r="V1240" t="s">
        <v>92</v>
      </c>
      <c r="W1240" t="s">
        <v>93</v>
      </c>
      <c r="X1240" t="s">
        <v>94</v>
      </c>
      <c r="Y1240" t="s">
        <v>94</v>
      </c>
      <c r="Z1240" t="s">
        <v>116</v>
      </c>
      <c r="AA1240">
        <v>0</v>
      </c>
      <c r="AB1240" t="s">
        <v>96</v>
      </c>
      <c r="AC1240" t="s">
        <v>97</v>
      </c>
      <c r="AD1240" t="s">
        <v>98</v>
      </c>
      <c r="AE1240" t="s">
        <v>96</v>
      </c>
      <c r="AF1240" t="s">
        <v>97</v>
      </c>
      <c r="AG1240" t="s">
        <v>99</v>
      </c>
      <c r="AH1240" t="s">
        <v>101</v>
      </c>
      <c r="AI1240">
        <v>0</v>
      </c>
      <c r="AJ1240" t="s">
        <v>101</v>
      </c>
      <c r="AK1240">
        <v>0</v>
      </c>
      <c r="AL1240">
        <v>1141</v>
      </c>
      <c r="AM1240">
        <v>1141</v>
      </c>
      <c r="AN1240" t="s">
        <v>102</v>
      </c>
      <c r="AO1240" t="s">
        <v>103</v>
      </c>
      <c r="AP1240" t="s">
        <v>104</v>
      </c>
      <c r="AQ1240" t="s">
        <v>105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97</v>
      </c>
      <c r="BC1240">
        <v>6</v>
      </c>
      <c r="BD1240" t="s">
        <v>106</v>
      </c>
      <c r="BE1240">
        <v>0</v>
      </c>
      <c r="BG1240" t="s">
        <v>126</v>
      </c>
      <c r="BH1240">
        <v>2005</v>
      </c>
      <c r="BI1240" t="s">
        <v>101</v>
      </c>
      <c r="BJ1240">
        <v>2</v>
      </c>
      <c r="BK1240">
        <v>484</v>
      </c>
      <c r="BL1240" t="s">
        <v>97</v>
      </c>
      <c r="BM1240" t="s">
        <v>97</v>
      </c>
      <c r="BN1240" t="s">
        <v>104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X1240">
        <v>0</v>
      </c>
      <c r="BY1240">
        <v>3</v>
      </c>
      <c r="BZ1240">
        <v>2006</v>
      </c>
      <c r="CA1240" t="s">
        <v>109</v>
      </c>
      <c r="CB1240" t="s">
        <v>127</v>
      </c>
      <c r="CC1240">
        <v>142500</v>
      </c>
    </row>
    <row r="1241" spans="1:81" x14ac:dyDescent="0.3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H1241" t="s">
        <v>119</v>
      </c>
      <c r="I1241" t="s">
        <v>198</v>
      </c>
      <c r="J1241" t="s">
        <v>85</v>
      </c>
      <c r="K1241" t="s">
        <v>86</v>
      </c>
      <c r="L1241" t="s">
        <v>87</v>
      </c>
      <c r="M1241" t="s">
        <v>188</v>
      </c>
      <c r="N1241" t="s">
        <v>89</v>
      </c>
      <c r="O1241" t="s">
        <v>89</v>
      </c>
      <c r="P1241" t="s">
        <v>90</v>
      </c>
      <c r="Q1241" t="s">
        <v>114</v>
      </c>
      <c r="R1241">
        <v>8</v>
      </c>
      <c r="S1241">
        <v>5</v>
      </c>
      <c r="T1241">
        <v>2006</v>
      </c>
      <c r="U1241">
        <v>2006</v>
      </c>
      <c r="V1241" t="s">
        <v>151</v>
      </c>
      <c r="W1241" t="s">
        <v>93</v>
      </c>
      <c r="X1241" t="s">
        <v>94</v>
      </c>
      <c r="Y1241" t="s">
        <v>94</v>
      </c>
      <c r="Z1241" t="s">
        <v>95</v>
      </c>
      <c r="AA1241">
        <v>32</v>
      </c>
      <c r="AB1241" t="s">
        <v>96</v>
      </c>
      <c r="AC1241" t="s">
        <v>97</v>
      </c>
      <c r="AD1241" t="s">
        <v>98</v>
      </c>
      <c r="AE1241" t="s">
        <v>96</v>
      </c>
      <c r="AF1241" t="s">
        <v>97</v>
      </c>
      <c r="AG1241" t="s">
        <v>129</v>
      </c>
      <c r="AH1241" t="s">
        <v>100</v>
      </c>
      <c r="AI1241">
        <v>428</v>
      </c>
      <c r="AJ1241" t="s">
        <v>101</v>
      </c>
      <c r="AK1241">
        <v>0</v>
      </c>
      <c r="AL1241">
        <v>1048</v>
      </c>
      <c r="AM1241">
        <v>1476</v>
      </c>
      <c r="AN1241" t="s">
        <v>102</v>
      </c>
      <c r="AO1241" t="s">
        <v>103</v>
      </c>
      <c r="AP1241" t="s">
        <v>104</v>
      </c>
      <c r="AQ1241" t="s">
        <v>105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103</v>
      </c>
      <c r="BC1241">
        <v>6</v>
      </c>
      <c r="BD1241" t="s">
        <v>106</v>
      </c>
      <c r="BE1241">
        <v>1</v>
      </c>
      <c r="BF1241" t="s">
        <v>96</v>
      </c>
      <c r="BG1241" t="s">
        <v>107</v>
      </c>
      <c r="BH1241">
        <v>2006</v>
      </c>
      <c r="BI1241" t="s">
        <v>108</v>
      </c>
      <c r="BJ1241">
        <v>2</v>
      </c>
      <c r="BK1241">
        <v>472</v>
      </c>
      <c r="BL1241" t="s">
        <v>97</v>
      </c>
      <c r="BM1241" t="s">
        <v>97</v>
      </c>
      <c r="BN1241" t="s">
        <v>104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X1241">
        <v>0</v>
      </c>
      <c r="BY1241">
        <v>12</v>
      </c>
      <c r="BZ1241">
        <v>2007</v>
      </c>
      <c r="CA1241" t="s">
        <v>109</v>
      </c>
      <c r="CB1241" t="s">
        <v>110</v>
      </c>
      <c r="CC1241">
        <v>265900</v>
      </c>
    </row>
    <row r="1242" spans="1:81" x14ac:dyDescent="0.3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H1242" t="s">
        <v>83</v>
      </c>
      <c r="I1242" t="s">
        <v>84</v>
      </c>
      <c r="J1242" t="s">
        <v>85</v>
      </c>
      <c r="K1242" t="s">
        <v>86</v>
      </c>
      <c r="L1242" t="s">
        <v>87</v>
      </c>
      <c r="M1242" t="s">
        <v>88</v>
      </c>
      <c r="N1242" t="s">
        <v>89</v>
      </c>
      <c r="O1242" t="s">
        <v>89</v>
      </c>
      <c r="P1242" t="s">
        <v>90</v>
      </c>
      <c r="Q1242" t="s">
        <v>91</v>
      </c>
      <c r="R1242">
        <v>7</v>
      </c>
      <c r="S1242">
        <v>5</v>
      </c>
      <c r="T1242">
        <v>2003</v>
      </c>
      <c r="U1242">
        <v>2003</v>
      </c>
      <c r="V1242" t="s">
        <v>92</v>
      </c>
      <c r="W1242" t="s">
        <v>93</v>
      </c>
      <c r="X1242" t="s">
        <v>94</v>
      </c>
      <c r="Y1242" t="s">
        <v>94</v>
      </c>
      <c r="Z1242" t="s">
        <v>95</v>
      </c>
      <c r="AA1242">
        <v>252</v>
      </c>
      <c r="AB1242" t="s">
        <v>96</v>
      </c>
      <c r="AC1242" t="s">
        <v>97</v>
      </c>
      <c r="AD1242" t="s">
        <v>98</v>
      </c>
      <c r="AE1242" t="s">
        <v>96</v>
      </c>
      <c r="AF1242" t="s">
        <v>97</v>
      </c>
      <c r="AG1242" t="s">
        <v>99</v>
      </c>
      <c r="AH1242" t="s">
        <v>100</v>
      </c>
      <c r="AI1242">
        <v>550</v>
      </c>
      <c r="AJ1242" t="s">
        <v>101</v>
      </c>
      <c r="AK1242">
        <v>0</v>
      </c>
      <c r="AL1242">
        <v>334</v>
      </c>
      <c r="AM1242">
        <v>884</v>
      </c>
      <c r="AN1242" t="s">
        <v>102</v>
      </c>
      <c r="AO1242" t="s">
        <v>103</v>
      </c>
      <c r="AP1242" t="s">
        <v>104</v>
      </c>
      <c r="AQ1242" t="s">
        <v>105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96</v>
      </c>
      <c r="BC1242">
        <v>8</v>
      </c>
      <c r="BD1242" t="s">
        <v>106</v>
      </c>
      <c r="BE1242">
        <v>0</v>
      </c>
      <c r="BG1242" t="s">
        <v>107</v>
      </c>
      <c r="BH1242">
        <v>2003</v>
      </c>
      <c r="BI1242" t="s">
        <v>108</v>
      </c>
      <c r="BJ1242">
        <v>2</v>
      </c>
      <c r="BK1242">
        <v>543</v>
      </c>
      <c r="BL1242" t="s">
        <v>97</v>
      </c>
      <c r="BM1242" t="s">
        <v>97</v>
      </c>
      <c r="BN1242" t="s">
        <v>104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X1242">
        <v>0</v>
      </c>
      <c r="BY1242">
        <v>7</v>
      </c>
      <c r="BZ1242">
        <v>2008</v>
      </c>
      <c r="CA1242" t="s">
        <v>109</v>
      </c>
      <c r="CB1242" t="s">
        <v>110</v>
      </c>
      <c r="CC1242">
        <v>224900</v>
      </c>
    </row>
    <row r="1243" spans="1:81" x14ac:dyDescent="0.3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H1243" t="s">
        <v>83</v>
      </c>
      <c r="I1243" t="s">
        <v>84</v>
      </c>
      <c r="J1243" t="s">
        <v>85</v>
      </c>
      <c r="K1243" t="s">
        <v>86</v>
      </c>
      <c r="L1243" t="s">
        <v>87</v>
      </c>
      <c r="M1243" t="s">
        <v>135</v>
      </c>
      <c r="N1243" t="s">
        <v>89</v>
      </c>
      <c r="O1243" t="s">
        <v>89</v>
      </c>
      <c r="P1243" t="s">
        <v>90</v>
      </c>
      <c r="Q1243" t="s">
        <v>114</v>
      </c>
      <c r="R1243">
        <v>7</v>
      </c>
      <c r="S1243">
        <v>6</v>
      </c>
      <c r="T1243">
        <v>2007</v>
      </c>
      <c r="U1243">
        <v>2007</v>
      </c>
      <c r="V1243" t="s">
        <v>151</v>
      </c>
      <c r="W1243" t="s">
        <v>93</v>
      </c>
      <c r="X1243" t="s">
        <v>94</v>
      </c>
      <c r="Y1243" t="s">
        <v>94</v>
      </c>
      <c r="Z1243" t="s">
        <v>136</v>
      </c>
      <c r="AA1243">
        <v>0</v>
      </c>
      <c r="AB1243" t="s">
        <v>96</v>
      </c>
      <c r="AC1243" t="s">
        <v>97</v>
      </c>
      <c r="AD1243" t="s">
        <v>98</v>
      </c>
      <c r="AE1243" t="s">
        <v>96</v>
      </c>
      <c r="AF1243" t="s">
        <v>97</v>
      </c>
      <c r="AG1243" t="s">
        <v>129</v>
      </c>
      <c r="AH1243" t="s">
        <v>101</v>
      </c>
      <c r="AI1243">
        <v>0</v>
      </c>
      <c r="AJ1243" t="s">
        <v>101</v>
      </c>
      <c r="AK1243">
        <v>0</v>
      </c>
      <c r="AL1243">
        <v>1689</v>
      </c>
      <c r="AM1243">
        <v>1689</v>
      </c>
      <c r="AN1243" t="s">
        <v>102</v>
      </c>
      <c r="AO1243" t="s">
        <v>103</v>
      </c>
      <c r="AP1243" t="s">
        <v>104</v>
      </c>
      <c r="AQ1243" t="s">
        <v>105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96</v>
      </c>
      <c r="BC1243">
        <v>7</v>
      </c>
      <c r="BD1243" t="s">
        <v>106</v>
      </c>
      <c r="BE1243">
        <v>0</v>
      </c>
      <c r="BG1243" t="s">
        <v>107</v>
      </c>
      <c r="BH1243">
        <v>2007</v>
      </c>
      <c r="BI1243" t="s">
        <v>108</v>
      </c>
      <c r="BJ1243">
        <v>3</v>
      </c>
      <c r="BK1243">
        <v>954</v>
      </c>
      <c r="BL1243" t="s">
        <v>97</v>
      </c>
      <c r="BM1243" t="s">
        <v>97</v>
      </c>
      <c r="BN1243" t="s">
        <v>104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X1243">
        <v>0</v>
      </c>
      <c r="BY1243">
        <v>6</v>
      </c>
      <c r="BZ1243">
        <v>2007</v>
      </c>
      <c r="CA1243" t="s">
        <v>157</v>
      </c>
      <c r="CB1243" t="s">
        <v>158</v>
      </c>
      <c r="CC1243">
        <v>248328</v>
      </c>
    </row>
    <row r="1244" spans="1:81" x14ac:dyDescent="0.3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H1244" t="s">
        <v>83</v>
      </c>
      <c r="I1244" t="s">
        <v>84</v>
      </c>
      <c r="J1244" t="s">
        <v>85</v>
      </c>
      <c r="K1244" t="s">
        <v>86</v>
      </c>
      <c r="L1244" t="s">
        <v>87</v>
      </c>
      <c r="M1244" t="s">
        <v>137</v>
      </c>
      <c r="N1244" t="s">
        <v>89</v>
      </c>
      <c r="O1244" t="s">
        <v>89</v>
      </c>
      <c r="P1244" t="s">
        <v>90</v>
      </c>
      <c r="Q1244" t="s">
        <v>190</v>
      </c>
      <c r="R1244">
        <v>7</v>
      </c>
      <c r="S1244">
        <v>6</v>
      </c>
      <c r="T1244">
        <v>1974</v>
      </c>
      <c r="U1244">
        <v>1974</v>
      </c>
      <c r="V1244" t="s">
        <v>92</v>
      </c>
      <c r="W1244" t="s">
        <v>93</v>
      </c>
      <c r="X1244" t="s">
        <v>160</v>
      </c>
      <c r="Y1244" t="s">
        <v>160</v>
      </c>
      <c r="Z1244" t="s">
        <v>95</v>
      </c>
      <c r="AA1244">
        <v>81</v>
      </c>
      <c r="AB1244" t="s">
        <v>97</v>
      </c>
      <c r="AC1244" t="s">
        <v>97</v>
      </c>
      <c r="AD1244" t="s">
        <v>117</v>
      </c>
      <c r="AE1244" t="s">
        <v>96</v>
      </c>
      <c r="AF1244" t="s">
        <v>97</v>
      </c>
      <c r="AG1244" t="s">
        <v>96</v>
      </c>
      <c r="AH1244" t="s">
        <v>100</v>
      </c>
      <c r="AI1244">
        <v>885</v>
      </c>
      <c r="AJ1244" t="s">
        <v>171</v>
      </c>
      <c r="AK1244">
        <v>168</v>
      </c>
      <c r="AL1244">
        <v>0</v>
      </c>
      <c r="AM1244">
        <v>1053</v>
      </c>
      <c r="AN1244" t="s">
        <v>102</v>
      </c>
      <c r="AO1244" t="s">
        <v>97</v>
      </c>
      <c r="AP1244" t="s">
        <v>104</v>
      </c>
      <c r="AQ1244" t="s">
        <v>105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96</v>
      </c>
      <c r="BC1244">
        <v>6</v>
      </c>
      <c r="BD1244" t="s">
        <v>106</v>
      </c>
      <c r="BE1244">
        <v>2</v>
      </c>
      <c r="BF1244" t="s">
        <v>97</v>
      </c>
      <c r="BG1244" t="s">
        <v>107</v>
      </c>
      <c r="BH1244">
        <v>1974</v>
      </c>
      <c r="BI1244" t="s">
        <v>108</v>
      </c>
      <c r="BJ1244">
        <v>2</v>
      </c>
      <c r="BK1244">
        <v>528</v>
      </c>
      <c r="BL1244" t="s">
        <v>97</v>
      </c>
      <c r="BM1244" t="s">
        <v>97</v>
      </c>
      <c r="BN1244" t="s">
        <v>104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V1244" t="s">
        <v>133</v>
      </c>
      <c r="BX1244">
        <v>0</v>
      </c>
      <c r="BY1244">
        <v>1</v>
      </c>
      <c r="BZ1244">
        <v>2010</v>
      </c>
      <c r="CA1244" t="s">
        <v>109</v>
      </c>
      <c r="CB1244" t="s">
        <v>218</v>
      </c>
      <c r="CC1244">
        <v>170000</v>
      </c>
    </row>
    <row r="1245" spans="1:81" x14ac:dyDescent="0.3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H1245" t="s">
        <v>83</v>
      </c>
      <c r="I1245" t="s">
        <v>84</v>
      </c>
      <c r="J1245" t="s">
        <v>85</v>
      </c>
      <c r="K1245" t="s">
        <v>86</v>
      </c>
      <c r="L1245" t="s">
        <v>87</v>
      </c>
      <c r="M1245" t="s">
        <v>153</v>
      </c>
      <c r="N1245" t="s">
        <v>89</v>
      </c>
      <c r="O1245" t="s">
        <v>89</v>
      </c>
      <c r="P1245" t="s">
        <v>90</v>
      </c>
      <c r="Q1245" t="s">
        <v>114</v>
      </c>
      <c r="R1245">
        <v>10</v>
      </c>
      <c r="S1245">
        <v>5</v>
      </c>
      <c r="T1245">
        <v>2006</v>
      </c>
      <c r="U1245">
        <v>2006</v>
      </c>
      <c r="V1245" t="s">
        <v>92</v>
      </c>
      <c r="W1245" t="s">
        <v>93</v>
      </c>
      <c r="X1245" t="s">
        <v>94</v>
      </c>
      <c r="Y1245" t="s">
        <v>94</v>
      </c>
      <c r="AB1245" t="s">
        <v>103</v>
      </c>
      <c r="AC1245" t="s">
        <v>97</v>
      </c>
      <c r="AD1245" t="s">
        <v>98</v>
      </c>
      <c r="AE1245" t="s">
        <v>103</v>
      </c>
      <c r="AF1245" t="s">
        <v>96</v>
      </c>
      <c r="AG1245" t="s">
        <v>96</v>
      </c>
      <c r="AH1245" t="s">
        <v>100</v>
      </c>
      <c r="AI1245">
        <v>1386</v>
      </c>
      <c r="AJ1245" t="s">
        <v>101</v>
      </c>
      <c r="AK1245">
        <v>0</v>
      </c>
      <c r="AL1245">
        <v>690</v>
      </c>
      <c r="AM1245">
        <v>2076</v>
      </c>
      <c r="AN1245" t="s">
        <v>102</v>
      </c>
      <c r="AO1245" t="s">
        <v>103</v>
      </c>
      <c r="AP1245" t="s">
        <v>104</v>
      </c>
      <c r="AQ1245" t="s">
        <v>105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103</v>
      </c>
      <c r="BC1245">
        <v>7</v>
      </c>
      <c r="BD1245" t="s">
        <v>106</v>
      </c>
      <c r="BE1245">
        <v>1</v>
      </c>
      <c r="BF1245" t="s">
        <v>96</v>
      </c>
      <c r="BG1245" t="s">
        <v>107</v>
      </c>
      <c r="BH1245">
        <v>2006</v>
      </c>
      <c r="BI1245" t="s">
        <v>156</v>
      </c>
      <c r="BJ1245">
        <v>3</v>
      </c>
      <c r="BK1245">
        <v>850</v>
      </c>
      <c r="BL1245" t="s">
        <v>97</v>
      </c>
      <c r="BM1245" t="s">
        <v>97</v>
      </c>
      <c r="BN1245" t="s">
        <v>104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X1245">
        <v>0</v>
      </c>
      <c r="BY1245">
        <v>9</v>
      </c>
      <c r="BZ1245">
        <v>2006</v>
      </c>
      <c r="CA1245" t="s">
        <v>157</v>
      </c>
      <c r="CB1245" t="s">
        <v>158</v>
      </c>
      <c r="CC1245">
        <v>465000</v>
      </c>
    </row>
    <row r="1246" spans="1:81" x14ac:dyDescent="0.3">
      <c r="A1246">
        <v>1245</v>
      </c>
      <c r="B1246">
        <v>70</v>
      </c>
      <c r="C1246" t="s">
        <v>81</v>
      </c>
      <c r="E1246">
        <v>11435</v>
      </c>
      <c r="F1246" t="s">
        <v>82</v>
      </c>
      <c r="H1246" t="s">
        <v>119</v>
      </c>
      <c r="I1246" t="s">
        <v>198</v>
      </c>
      <c r="J1246" t="s">
        <v>85</v>
      </c>
      <c r="K1246" t="s">
        <v>121</v>
      </c>
      <c r="L1246" t="s">
        <v>193</v>
      </c>
      <c r="M1246" t="s">
        <v>122</v>
      </c>
      <c r="N1246" t="s">
        <v>89</v>
      </c>
      <c r="O1246" t="s">
        <v>89</v>
      </c>
      <c r="P1246" t="s">
        <v>90</v>
      </c>
      <c r="Q1246" t="s">
        <v>91</v>
      </c>
      <c r="R1246">
        <v>8</v>
      </c>
      <c r="S1246">
        <v>7</v>
      </c>
      <c r="T1246">
        <v>1929</v>
      </c>
      <c r="U1246">
        <v>1950</v>
      </c>
      <c r="V1246" t="s">
        <v>92</v>
      </c>
      <c r="W1246" t="s">
        <v>93</v>
      </c>
      <c r="X1246" t="s">
        <v>95</v>
      </c>
      <c r="Y1246" t="s">
        <v>202</v>
      </c>
      <c r="Z1246" t="s">
        <v>116</v>
      </c>
      <c r="AA1246">
        <v>0</v>
      </c>
      <c r="AB1246" t="s">
        <v>97</v>
      </c>
      <c r="AC1246" t="s">
        <v>97</v>
      </c>
      <c r="AD1246" t="s">
        <v>98</v>
      </c>
      <c r="AE1246" t="s">
        <v>96</v>
      </c>
      <c r="AF1246" t="s">
        <v>97</v>
      </c>
      <c r="AG1246" t="s">
        <v>99</v>
      </c>
      <c r="AH1246" t="s">
        <v>101</v>
      </c>
      <c r="AI1246">
        <v>0</v>
      </c>
      <c r="AJ1246" t="s">
        <v>101</v>
      </c>
      <c r="AK1246">
        <v>0</v>
      </c>
      <c r="AL1246">
        <v>792</v>
      </c>
      <c r="AM1246">
        <v>792</v>
      </c>
      <c r="AN1246" t="s">
        <v>102</v>
      </c>
      <c r="AO1246" t="s">
        <v>146</v>
      </c>
      <c r="AP1246" t="s">
        <v>104</v>
      </c>
      <c r="AQ1246" t="s">
        <v>105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96</v>
      </c>
      <c r="BC1246">
        <v>7</v>
      </c>
      <c r="BD1246" t="s">
        <v>106</v>
      </c>
      <c r="BE1246">
        <v>2</v>
      </c>
      <c r="BF1246" t="s">
        <v>96</v>
      </c>
      <c r="BG1246" t="s">
        <v>126</v>
      </c>
      <c r="BH1246">
        <v>1931</v>
      </c>
      <c r="BI1246" t="s">
        <v>101</v>
      </c>
      <c r="BJ1246">
        <v>2</v>
      </c>
      <c r="BK1246">
        <v>400</v>
      </c>
      <c r="BL1246" t="s">
        <v>97</v>
      </c>
      <c r="BM1246" t="s">
        <v>97</v>
      </c>
      <c r="BN1246" t="s">
        <v>104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X1246">
        <v>0</v>
      </c>
      <c r="BY1246">
        <v>6</v>
      </c>
      <c r="BZ1246">
        <v>2006</v>
      </c>
      <c r="CA1246" t="s">
        <v>109</v>
      </c>
      <c r="CB1246" t="s">
        <v>110</v>
      </c>
      <c r="CC1246">
        <v>230000</v>
      </c>
    </row>
    <row r="1247" spans="1:81" x14ac:dyDescent="0.3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H1247" t="s">
        <v>83</v>
      </c>
      <c r="I1247" t="s">
        <v>84</v>
      </c>
      <c r="J1247" t="s">
        <v>85</v>
      </c>
      <c r="K1247" t="s">
        <v>86</v>
      </c>
      <c r="L1247" t="s">
        <v>87</v>
      </c>
      <c r="M1247" t="s">
        <v>137</v>
      </c>
      <c r="N1247" t="s">
        <v>89</v>
      </c>
      <c r="O1247" t="s">
        <v>89</v>
      </c>
      <c r="P1247" t="s">
        <v>90</v>
      </c>
      <c r="Q1247" t="s">
        <v>196</v>
      </c>
      <c r="R1247">
        <v>6</v>
      </c>
      <c r="S1247">
        <v>7</v>
      </c>
      <c r="T1247">
        <v>1984</v>
      </c>
      <c r="U1247">
        <v>2003</v>
      </c>
      <c r="V1247" t="s">
        <v>151</v>
      </c>
      <c r="W1247" t="s">
        <v>93</v>
      </c>
      <c r="X1247" t="s">
        <v>94</v>
      </c>
      <c r="Y1247" t="s">
        <v>94</v>
      </c>
      <c r="Z1247" t="s">
        <v>95</v>
      </c>
      <c r="AA1247">
        <v>74</v>
      </c>
      <c r="AB1247" t="s">
        <v>97</v>
      </c>
      <c r="AC1247" t="s">
        <v>97</v>
      </c>
      <c r="AD1247" t="s">
        <v>117</v>
      </c>
      <c r="AE1247" t="s">
        <v>96</v>
      </c>
      <c r="AF1247" t="s">
        <v>97</v>
      </c>
      <c r="AG1247" t="s">
        <v>99</v>
      </c>
      <c r="AH1247" t="s">
        <v>101</v>
      </c>
      <c r="AI1247">
        <v>0</v>
      </c>
      <c r="AJ1247" t="s">
        <v>101</v>
      </c>
      <c r="AK1247">
        <v>0</v>
      </c>
      <c r="AL1247">
        <v>585</v>
      </c>
      <c r="AM1247">
        <v>585</v>
      </c>
      <c r="AN1247" t="s">
        <v>102</v>
      </c>
      <c r="AO1247" t="s">
        <v>103</v>
      </c>
      <c r="AP1247" t="s">
        <v>104</v>
      </c>
      <c r="AQ1247" t="s">
        <v>105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97</v>
      </c>
      <c r="BC1247">
        <v>7</v>
      </c>
      <c r="BD1247" t="s">
        <v>106</v>
      </c>
      <c r="BE1247">
        <v>1</v>
      </c>
      <c r="BF1247" t="s">
        <v>97</v>
      </c>
      <c r="BG1247" t="s">
        <v>155</v>
      </c>
      <c r="BH1247">
        <v>1984</v>
      </c>
      <c r="BI1247" t="s">
        <v>156</v>
      </c>
      <c r="BJ1247">
        <v>2</v>
      </c>
      <c r="BK1247">
        <v>477</v>
      </c>
      <c r="BL1247" t="s">
        <v>97</v>
      </c>
      <c r="BM1247" t="s">
        <v>97</v>
      </c>
      <c r="BN1247" t="s">
        <v>104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X1247">
        <v>0</v>
      </c>
      <c r="BY1247">
        <v>1</v>
      </c>
      <c r="BZ1247">
        <v>2007</v>
      </c>
      <c r="CA1247" t="s">
        <v>109</v>
      </c>
      <c r="CB1247" t="s">
        <v>127</v>
      </c>
      <c r="CC1247">
        <v>178000</v>
      </c>
    </row>
    <row r="1248" spans="1:81" x14ac:dyDescent="0.3">
      <c r="A1248">
        <v>1247</v>
      </c>
      <c r="B1248">
        <v>60</v>
      </c>
      <c r="C1248" t="s">
        <v>191</v>
      </c>
      <c r="D1248">
        <v>65</v>
      </c>
      <c r="E1248">
        <v>8125</v>
      </c>
      <c r="F1248" t="s">
        <v>82</v>
      </c>
      <c r="H1248" t="s">
        <v>83</v>
      </c>
      <c r="I1248" t="s">
        <v>84</v>
      </c>
      <c r="J1248" t="s">
        <v>85</v>
      </c>
      <c r="K1248" t="s">
        <v>86</v>
      </c>
      <c r="L1248" t="s">
        <v>87</v>
      </c>
      <c r="M1248" t="s">
        <v>135</v>
      </c>
      <c r="N1248" t="s">
        <v>89</v>
      </c>
      <c r="O1248" t="s">
        <v>89</v>
      </c>
      <c r="P1248" t="s">
        <v>90</v>
      </c>
      <c r="Q1248" t="s">
        <v>91</v>
      </c>
      <c r="R1248">
        <v>7</v>
      </c>
      <c r="S1248">
        <v>5</v>
      </c>
      <c r="T1248">
        <v>2005</v>
      </c>
      <c r="U1248">
        <v>2006</v>
      </c>
      <c r="V1248" t="s">
        <v>92</v>
      </c>
      <c r="W1248" t="s">
        <v>93</v>
      </c>
      <c r="X1248" t="s">
        <v>94</v>
      </c>
      <c r="Y1248" t="s">
        <v>94</v>
      </c>
      <c r="Z1248" t="s">
        <v>116</v>
      </c>
      <c r="AA1248">
        <v>0</v>
      </c>
      <c r="AB1248" t="s">
        <v>96</v>
      </c>
      <c r="AC1248" t="s">
        <v>97</v>
      </c>
      <c r="AD1248" t="s">
        <v>98</v>
      </c>
      <c r="AE1248" t="s">
        <v>96</v>
      </c>
      <c r="AF1248" t="s">
        <v>97</v>
      </c>
      <c r="AG1248" t="s">
        <v>99</v>
      </c>
      <c r="AH1248" t="s">
        <v>101</v>
      </c>
      <c r="AI1248">
        <v>0</v>
      </c>
      <c r="AJ1248" t="s">
        <v>101</v>
      </c>
      <c r="AK1248">
        <v>0</v>
      </c>
      <c r="AL1248">
        <v>756</v>
      </c>
      <c r="AM1248">
        <v>756</v>
      </c>
      <c r="AN1248" t="s">
        <v>102</v>
      </c>
      <c r="AO1248" t="s">
        <v>103</v>
      </c>
      <c r="AP1248" t="s">
        <v>104</v>
      </c>
      <c r="AQ1248" t="s">
        <v>105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96</v>
      </c>
      <c r="BC1248">
        <v>6</v>
      </c>
      <c r="BD1248" t="s">
        <v>106</v>
      </c>
      <c r="BE1248">
        <v>0</v>
      </c>
      <c r="BG1248" t="s">
        <v>107</v>
      </c>
      <c r="BH1248">
        <v>2005</v>
      </c>
      <c r="BI1248" t="s">
        <v>108</v>
      </c>
      <c r="BJ1248">
        <v>2</v>
      </c>
      <c r="BK1248">
        <v>615</v>
      </c>
      <c r="BL1248" t="s">
        <v>97</v>
      </c>
      <c r="BM1248" t="s">
        <v>97</v>
      </c>
      <c r="BN1248" t="s">
        <v>104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X1248">
        <v>0</v>
      </c>
      <c r="BY1248">
        <v>3</v>
      </c>
      <c r="BZ1248">
        <v>2006</v>
      </c>
      <c r="CA1248" t="s">
        <v>157</v>
      </c>
      <c r="CB1248" t="s">
        <v>158</v>
      </c>
      <c r="CC1248">
        <v>186500</v>
      </c>
    </row>
    <row r="1249" spans="1:81" x14ac:dyDescent="0.3">
      <c r="A1249">
        <v>1248</v>
      </c>
      <c r="B1249">
        <v>80</v>
      </c>
      <c r="C1249" t="s">
        <v>81</v>
      </c>
      <c r="E1249">
        <v>12328</v>
      </c>
      <c r="F1249" t="s">
        <v>82</v>
      </c>
      <c r="H1249" t="s">
        <v>119</v>
      </c>
      <c r="I1249" t="s">
        <v>84</v>
      </c>
      <c r="J1249" t="s">
        <v>85</v>
      </c>
      <c r="K1249" t="s">
        <v>86</v>
      </c>
      <c r="L1249" t="s">
        <v>87</v>
      </c>
      <c r="M1249" t="s">
        <v>130</v>
      </c>
      <c r="N1249" t="s">
        <v>89</v>
      </c>
      <c r="O1249" t="s">
        <v>89</v>
      </c>
      <c r="P1249" t="s">
        <v>90</v>
      </c>
      <c r="Q1249" t="s">
        <v>196</v>
      </c>
      <c r="R1249">
        <v>6</v>
      </c>
      <c r="S1249">
        <v>5</v>
      </c>
      <c r="T1249">
        <v>1976</v>
      </c>
      <c r="U1249">
        <v>1976</v>
      </c>
      <c r="V1249" t="s">
        <v>92</v>
      </c>
      <c r="W1249" t="s">
        <v>93</v>
      </c>
      <c r="X1249" t="s">
        <v>139</v>
      </c>
      <c r="Y1249" t="s">
        <v>139</v>
      </c>
      <c r="Z1249" t="s">
        <v>95</v>
      </c>
      <c r="AA1249">
        <v>335</v>
      </c>
      <c r="AB1249" t="s">
        <v>97</v>
      </c>
      <c r="AC1249" t="s">
        <v>97</v>
      </c>
      <c r="AD1249" t="s">
        <v>117</v>
      </c>
      <c r="AE1249" t="s">
        <v>97</v>
      </c>
      <c r="AF1249" t="s">
        <v>97</v>
      </c>
      <c r="AG1249" t="s">
        <v>129</v>
      </c>
      <c r="AH1249" t="s">
        <v>100</v>
      </c>
      <c r="AI1249">
        <v>539</v>
      </c>
      <c r="AJ1249" t="s">
        <v>101</v>
      </c>
      <c r="AK1249">
        <v>0</v>
      </c>
      <c r="AL1249">
        <v>473</v>
      </c>
      <c r="AM1249">
        <v>1012</v>
      </c>
      <c r="AN1249" t="s">
        <v>102</v>
      </c>
      <c r="AO1249" t="s">
        <v>97</v>
      </c>
      <c r="AP1249" t="s">
        <v>104</v>
      </c>
      <c r="AQ1249" t="s">
        <v>105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97</v>
      </c>
      <c r="BC1249">
        <v>6</v>
      </c>
      <c r="BD1249" t="s">
        <v>106</v>
      </c>
      <c r="BE1249">
        <v>0</v>
      </c>
      <c r="BG1249" t="s">
        <v>107</v>
      </c>
      <c r="BH1249">
        <v>1976</v>
      </c>
      <c r="BI1249" t="s">
        <v>101</v>
      </c>
      <c r="BJ1249">
        <v>3</v>
      </c>
      <c r="BK1249">
        <v>888</v>
      </c>
      <c r="BL1249" t="s">
        <v>97</v>
      </c>
      <c r="BM1249" t="s">
        <v>97</v>
      </c>
      <c r="BN1249" t="s">
        <v>104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X1249">
        <v>0</v>
      </c>
      <c r="BY1249">
        <v>5</v>
      </c>
      <c r="BZ1249">
        <v>2010</v>
      </c>
      <c r="CA1249" t="s">
        <v>109</v>
      </c>
      <c r="CB1249" t="s">
        <v>110</v>
      </c>
      <c r="CC1249">
        <v>169900</v>
      </c>
    </row>
    <row r="1250" spans="1:81" x14ac:dyDescent="0.3">
      <c r="A1250">
        <v>1249</v>
      </c>
      <c r="B1250">
        <v>75</v>
      </c>
      <c r="C1250" t="s">
        <v>141</v>
      </c>
      <c r="D1250">
        <v>60</v>
      </c>
      <c r="E1250">
        <v>9600</v>
      </c>
      <c r="F1250" t="s">
        <v>82</v>
      </c>
      <c r="G1250" t="s">
        <v>173</v>
      </c>
      <c r="H1250" t="s">
        <v>83</v>
      </c>
      <c r="I1250" t="s">
        <v>84</v>
      </c>
      <c r="J1250" t="s">
        <v>85</v>
      </c>
      <c r="K1250" t="s">
        <v>86</v>
      </c>
      <c r="L1250" t="s">
        <v>87</v>
      </c>
      <c r="M1250" t="s">
        <v>142</v>
      </c>
      <c r="N1250" t="s">
        <v>89</v>
      </c>
      <c r="O1250" t="s">
        <v>89</v>
      </c>
      <c r="P1250" t="s">
        <v>90</v>
      </c>
      <c r="Q1250" t="s">
        <v>200</v>
      </c>
      <c r="R1250">
        <v>6</v>
      </c>
      <c r="S1250">
        <v>5</v>
      </c>
      <c r="T1250">
        <v>1917</v>
      </c>
      <c r="U1250">
        <v>1950</v>
      </c>
      <c r="V1250" t="s">
        <v>92</v>
      </c>
      <c r="W1250" t="s">
        <v>93</v>
      </c>
      <c r="X1250" t="s">
        <v>185</v>
      </c>
      <c r="Y1250" t="s">
        <v>185</v>
      </c>
      <c r="Z1250" t="s">
        <v>116</v>
      </c>
      <c r="AA1250">
        <v>0</v>
      </c>
      <c r="AB1250" t="s">
        <v>97</v>
      </c>
      <c r="AC1250" t="s">
        <v>97</v>
      </c>
      <c r="AD1250" t="s">
        <v>125</v>
      </c>
      <c r="AE1250" t="s">
        <v>96</v>
      </c>
      <c r="AF1250" t="s">
        <v>97</v>
      </c>
      <c r="AG1250" t="s">
        <v>99</v>
      </c>
      <c r="AH1250" t="s">
        <v>152</v>
      </c>
      <c r="AI1250">
        <v>319</v>
      </c>
      <c r="AJ1250" t="s">
        <v>101</v>
      </c>
      <c r="AK1250">
        <v>0</v>
      </c>
      <c r="AL1250">
        <v>416</v>
      </c>
      <c r="AM1250">
        <v>735</v>
      </c>
      <c r="AN1250" t="s">
        <v>250</v>
      </c>
      <c r="AO1250" t="s">
        <v>146</v>
      </c>
      <c r="AP1250" t="s">
        <v>176</v>
      </c>
      <c r="AQ1250" t="s">
        <v>105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97</v>
      </c>
      <c r="BC1250">
        <v>8</v>
      </c>
      <c r="BD1250" t="s">
        <v>106</v>
      </c>
      <c r="BE1250">
        <v>1</v>
      </c>
      <c r="BF1250" t="s">
        <v>96</v>
      </c>
      <c r="BG1250" t="s">
        <v>126</v>
      </c>
      <c r="BH1250">
        <v>1950</v>
      </c>
      <c r="BI1250" t="s">
        <v>101</v>
      </c>
      <c r="BJ1250">
        <v>2</v>
      </c>
      <c r="BK1250">
        <v>396</v>
      </c>
      <c r="BL1250" t="s">
        <v>146</v>
      </c>
      <c r="BM1250" t="s">
        <v>146</v>
      </c>
      <c r="BN1250" t="s">
        <v>189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X1250">
        <v>0</v>
      </c>
      <c r="BY1250">
        <v>4</v>
      </c>
      <c r="BZ1250">
        <v>2008</v>
      </c>
      <c r="CA1250" t="s">
        <v>109</v>
      </c>
      <c r="CB1250" t="s">
        <v>110</v>
      </c>
      <c r="CC1250">
        <v>129500</v>
      </c>
    </row>
    <row r="1251" spans="1:81" x14ac:dyDescent="0.3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H1251" t="s">
        <v>83</v>
      </c>
      <c r="I1251" t="s">
        <v>84</v>
      </c>
      <c r="J1251" t="s">
        <v>85</v>
      </c>
      <c r="K1251" t="s">
        <v>86</v>
      </c>
      <c r="L1251" t="s">
        <v>87</v>
      </c>
      <c r="M1251" t="s">
        <v>270</v>
      </c>
      <c r="N1251" t="s">
        <v>89</v>
      </c>
      <c r="O1251" t="s">
        <v>89</v>
      </c>
      <c r="P1251" t="s">
        <v>90</v>
      </c>
      <c r="Q1251" t="s">
        <v>114</v>
      </c>
      <c r="R1251">
        <v>5</v>
      </c>
      <c r="S1251">
        <v>7</v>
      </c>
      <c r="T1251">
        <v>1950</v>
      </c>
      <c r="U1251">
        <v>1950</v>
      </c>
      <c r="V1251" t="s">
        <v>92</v>
      </c>
      <c r="W1251" t="s">
        <v>93</v>
      </c>
      <c r="X1251" t="s">
        <v>115</v>
      </c>
      <c r="Y1251" t="s">
        <v>115</v>
      </c>
      <c r="Z1251" t="s">
        <v>116</v>
      </c>
      <c r="AA1251">
        <v>0</v>
      </c>
      <c r="AB1251" t="s">
        <v>97</v>
      </c>
      <c r="AC1251" t="s">
        <v>97</v>
      </c>
      <c r="AD1251" t="s">
        <v>117</v>
      </c>
      <c r="AE1251" t="s">
        <v>97</v>
      </c>
      <c r="AF1251" t="s">
        <v>97</v>
      </c>
      <c r="AG1251" t="s">
        <v>99</v>
      </c>
      <c r="AH1251" t="s">
        <v>140</v>
      </c>
      <c r="AI1251">
        <v>534</v>
      </c>
      <c r="AJ1251" t="s">
        <v>152</v>
      </c>
      <c r="AK1251">
        <v>96</v>
      </c>
      <c r="AL1251">
        <v>246</v>
      </c>
      <c r="AM1251">
        <v>876</v>
      </c>
      <c r="AN1251" t="s">
        <v>102</v>
      </c>
      <c r="AO1251" t="s">
        <v>97</v>
      </c>
      <c r="AP1251" t="s">
        <v>104</v>
      </c>
      <c r="AQ1251" t="s">
        <v>105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97</v>
      </c>
      <c r="BC1251">
        <v>6</v>
      </c>
      <c r="BD1251" t="s">
        <v>106</v>
      </c>
      <c r="BE1251">
        <v>0</v>
      </c>
      <c r="BG1251" t="s">
        <v>107</v>
      </c>
      <c r="BH1251">
        <v>1950</v>
      </c>
      <c r="BI1251" t="s">
        <v>101</v>
      </c>
      <c r="BJ1251">
        <v>1</v>
      </c>
      <c r="BK1251">
        <v>276</v>
      </c>
      <c r="BL1251" t="s">
        <v>97</v>
      </c>
      <c r="BM1251" t="s">
        <v>97</v>
      </c>
      <c r="BN1251" t="s">
        <v>104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X1251">
        <v>0</v>
      </c>
      <c r="BY1251">
        <v>5</v>
      </c>
      <c r="BZ1251">
        <v>2007</v>
      </c>
      <c r="CA1251" t="s">
        <v>109</v>
      </c>
      <c r="CB1251" t="s">
        <v>110</v>
      </c>
      <c r="CC1251">
        <v>119000</v>
      </c>
    </row>
    <row r="1252" spans="1:81" x14ac:dyDescent="0.3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H1252" t="s">
        <v>83</v>
      </c>
      <c r="I1252" t="s">
        <v>84</v>
      </c>
      <c r="J1252" t="s">
        <v>85</v>
      </c>
      <c r="K1252" t="s">
        <v>121</v>
      </c>
      <c r="L1252" t="s">
        <v>87</v>
      </c>
      <c r="M1252" t="s">
        <v>270</v>
      </c>
      <c r="N1252" t="s">
        <v>89</v>
      </c>
      <c r="O1252" t="s">
        <v>89</v>
      </c>
      <c r="P1252" t="s">
        <v>90</v>
      </c>
      <c r="Q1252" t="s">
        <v>114</v>
      </c>
      <c r="R1252">
        <v>7</v>
      </c>
      <c r="S1252">
        <v>5</v>
      </c>
      <c r="T1252">
        <v>1968</v>
      </c>
      <c r="U1252">
        <v>1968</v>
      </c>
      <c r="V1252" t="s">
        <v>151</v>
      </c>
      <c r="W1252" t="s">
        <v>93</v>
      </c>
      <c r="X1252" t="s">
        <v>95</v>
      </c>
      <c r="Y1252" t="s">
        <v>95</v>
      </c>
      <c r="Z1252" t="s">
        <v>116</v>
      </c>
      <c r="AA1252">
        <v>0</v>
      </c>
      <c r="AB1252" t="s">
        <v>96</v>
      </c>
      <c r="AC1252" t="s">
        <v>97</v>
      </c>
      <c r="AD1252" t="s">
        <v>117</v>
      </c>
      <c r="AE1252" t="s">
        <v>97</v>
      </c>
      <c r="AF1252" t="s">
        <v>97</v>
      </c>
      <c r="AG1252" t="s">
        <v>99</v>
      </c>
      <c r="AH1252" t="s">
        <v>118</v>
      </c>
      <c r="AI1252">
        <v>1065</v>
      </c>
      <c r="AJ1252" t="s">
        <v>101</v>
      </c>
      <c r="AK1252">
        <v>0</v>
      </c>
      <c r="AL1252">
        <v>1045</v>
      </c>
      <c r="AM1252">
        <v>2110</v>
      </c>
      <c r="AN1252" t="s">
        <v>102</v>
      </c>
      <c r="AO1252" t="s">
        <v>103</v>
      </c>
      <c r="AP1252" t="s">
        <v>104</v>
      </c>
      <c r="AQ1252" t="s">
        <v>105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103</v>
      </c>
      <c r="BC1252">
        <v>8</v>
      </c>
      <c r="BD1252" t="s">
        <v>106</v>
      </c>
      <c r="BE1252">
        <v>2</v>
      </c>
      <c r="BF1252" t="s">
        <v>97</v>
      </c>
      <c r="BG1252" t="s">
        <v>107</v>
      </c>
      <c r="BH1252">
        <v>1968</v>
      </c>
      <c r="BI1252" t="s">
        <v>156</v>
      </c>
      <c r="BJ1252">
        <v>2</v>
      </c>
      <c r="BK1252">
        <v>522</v>
      </c>
      <c r="BL1252" t="s">
        <v>97</v>
      </c>
      <c r="BM1252" t="s">
        <v>97</v>
      </c>
      <c r="BN1252" t="s">
        <v>104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X1252">
        <v>0</v>
      </c>
      <c r="BY1252">
        <v>4</v>
      </c>
      <c r="BZ1252">
        <v>2010</v>
      </c>
      <c r="CA1252" t="s">
        <v>109</v>
      </c>
      <c r="CB1252" t="s">
        <v>110</v>
      </c>
      <c r="CC1252">
        <v>244000</v>
      </c>
    </row>
    <row r="1253" spans="1:81" x14ac:dyDescent="0.3">
      <c r="A1253">
        <v>1252</v>
      </c>
      <c r="B1253">
        <v>120</v>
      </c>
      <c r="C1253" t="s">
        <v>81</v>
      </c>
      <c r="E1253">
        <v>3136</v>
      </c>
      <c r="F1253" t="s">
        <v>82</v>
      </c>
      <c r="H1253" t="s">
        <v>119</v>
      </c>
      <c r="I1253" t="s">
        <v>84</v>
      </c>
      <c r="J1253" t="s">
        <v>85</v>
      </c>
      <c r="K1253" t="s">
        <v>121</v>
      </c>
      <c r="L1253" t="s">
        <v>87</v>
      </c>
      <c r="M1253" t="s">
        <v>153</v>
      </c>
      <c r="N1253" t="s">
        <v>89</v>
      </c>
      <c r="O1253" t="s">
        <v>89</v>
      </c>
      <c r="P1253" t="s">
        <v>178</v>
      </c>
      <c r="Q1253" t="s">
        <v>114</v>
      </c>
      <c r="R1253">
        <v>7</v>
      </c>
      <c r="S1253">
        <v>5</v>
      </c>
      <c r="T1253">
        <v>2003</v>
      </c>
      <c r="U1253">
        <v>2003</v>
      </c>
      <c r="V1253" t="s">
        <v>92</v>
      </c>
      <c r="W1253" t="s">
        <v>93</v>
      </c>
      <c r="X1253" t="s">
        <v>94</v>
      </c>
      <c r="Y1253" t="s">
        <v>124</v>
      </c>
      <c r="Z1253" t="s">
        <v>136</v>
      </c>
      <c r="AA1253">
        <v>163</v>
      </c>
      <c r="AB1253" t="s">
        <v>96</v>
      </c>
      <c r="AC1253" t="s">
        <v>97</v>
      </c>
      <c r="AD1253" t="s">
        <v>98</v>
      </c>
      <c r="AE1253" t="s">
        <v>96</v>
      </c>
      <c r="AF1253" t="s">
        <v>97</v>
      </c>
      <c r="AG1253" t="s">
        <v>99</v>
      </c>
      <c r="AH1253" t="s">
        <v>101</v>
      </c>
      <c r="AI1253">
        <v>0</v>
      </c>
      <c r="AJ1253" t="s">
        <v>101</v>
      </c>
      <c r="AK1253">
        <v>0</v>
      </c>
      <c r="AL1253">
        <v>1405</v>
      </c>
      <c r="AM1253">
        <v>1405</v>
      </c>
      <c r="AN1253" t="s">
        <v>102</v>
      </c>
      <c r="AO1253" t="s">
        <v>103</v>
      </c>
      <c r="AP1253" t="s">
        <v>104</v>
      </c>
      <c r="AQ1253" t="s">
        <v>105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96</v>
      </c>
      <c r="BC1253">
        <v>6</v>
      </c>
      <c r="BD1253" t="s">
        <v>106</v>
      </c>
      <c r="BE1253">
        <v>1</v>
      </c>
      <c r="BF1253" t="s">
        <v>96</v>
      </c>
      <c r="BG1253" t="s">
        <v>107</v>
      </c>
      <c r="BH1253">
        <v>2003</v>
      </c>
      <c r="BI1253" t="s">
        <v>108</v>
      </c>
      <c r="BJ1253">
        <v>2</v>
      </c>
      <c r="BK1253">
        <v>478</v>
      </c>
      <c r="BL1253" t="s">
        <v>97</v>
      </c>
      <c r="BM1253" t="s">
        <v>97</v>
      </c>
      <c r="BN1253" t="s">
        <v>104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X1253">
        <v>0</v>
      </c>
      <c r="BY1253">
        <v>3</v>
      </c>
      <c r="BZ1253">
        <v>2006</v>
      </c>
      <c r="CA1253" t="s">
        <v>109</v>
      </c>
      <c r="CB1253" t="s">
        <v>110</v>
      </c>
      <c r="CC1253">
        <v>171750</v>
      </c>
    </row>
    <row r="1254" spans="1:81" x14ac:dyDescent="0.3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H1254" t="s">
        <v>83</v>
      </c>
      <c r="I1254" t="s">
        <v>84</v>
      </c>
      <c r="J1254" t="s">
        <v>85</v>
      </c>
      <c r="K1254" t="s">
        <v>86</v>
      </c>
      <c r="L1254" t="s">
        <v>87</v>
      </c>
      <c r="M1254" t="s">
        <v>130</v>
      </c>
      <c r="N1254" t="s">
        <v>89</v>
      </c>
      <c r="O1254" t="s">
        <v>89</v>
      </c>
      <c r="P1254" t="s">
        <v>90</v>
      </c>
      <c r="Q1254" t="s">
        <v>114</v>
      </c>
      <c r="R1254">
        <v>5</v>
      </c>
      <c r="S1254">
        <v>6</v>
      </c>
      <c r="T1254">
        <v>1968</v>
      </c>
      <c r="U1254">
        <v>1968</v>
      </c>
      <c r="V1254" t="s">
        <v>92</v>
      </c>
      <c r="W1254" t="s">
        <v>93</v>
      </c>
      <c r="X1254" t="s">
        <v>139</v>
      </c>
      <c r="Y1254" t="s">
        <v>139</v>
      </c>
      <c r="Z1254" t="s">
        <v>116</v>
      </c>
      <c r="AA1254">
        <v>0</v>
      </c>
      <c r="AB1254" t="s">
        <v>97</v>
      </c>
      <c r="AC1254" t="s">
        <v>97</v>
      </c>
      <c r="AD1254" t="s">
        <v>117</v>
      </c>
      <c r="AE1254" t="s">
        <v>97</v>
      </c>
      <c r="AF1254" t="s">
        <v>97</v>
      </c>
      <c r="AG1254" t="s">
        <v>99</v>
      </c>
      <c r="AH1254" t="s">
        <v>140</v>
      </c>
      <c r="AI1254">
        <v>510</v>
      </c>
      <c r="AJ1254" t="s">
        <v>101</v>
      </c>
      <c r="AK1254">
        <v>0</v>
      </c>
      <c r="AL1254">
        <v>354</v>
      </c>
      <c r="AM1254">
        <v>864</v>
      </c>
      <c r="AN1254" t="s">
        <v>102</v>
      </c>
      <c r="AO1254" t="s">
        <v>97</v>
      </c>
      <c r="AP1254" t="s">
        <v>104</v>
      </c>
      <c r="AQ1254" t="s">
        <v>105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97</v>
      </c>
      <c r="BC1254">
        <v>5</v>
      </c>
      <c r="BD1254" t="s">
        <v>106</v>
      </c>
      <c r="BE1254">
        <v>0</v>
      </c>
      <c r="BG1254" t="s">
        <v>107</v>
      </c>
      <c r="BH1254">
        <v>1968</v>
      </c>
      <c r="BI1254" t="s">
        <v>108</v>
      </c>
      <c r="BJ1254">
        <v>1</v>
      </c>
      <c r="BK1254">
        <v>288</v>
      </c>
      <c r="BL1254" t="s">
        <v>97</v>
      </c>
      <c r="BM1254" t="s">
        <v>97</v>
      </c>
      <c r="BN1254" t="s">
        <v>104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V1254" t="s">
        <v>162</v>
      </c>
      <c r="BW1254" t="s">
        <v>134</v>
      </c>
      <c r="BX1254">
        <v>600</v>
      </c>
      <c r="BY1254">
        <v>11</v>
      </c>
      <c r="BZ1254">
        <v>2009</v>
      </c>
      <c r="CA1254" t="s">
        <v>109</v>
      </c>
      <c r="CB1254" t="s">
        <v>110</v>
      </c>
      <c r="CC1254">
        <v>130000</v>
      </c>
    </row>
    <row r="1255" spans="1:81" x14ac:dyDescent="0.3">
      <c r="A1255">
        <v>1254</v>
      </c>
      <c r="B1255">
        <v>60</v>
      </c>
      <c r="C1255" t="s">
        <v>81</v>
      </c>
      <c r="E1255">
        <v>17542</v>
      </c>
      <c r="F1255" t="s">
        <v>82</v>
      </c>
      <c r="H1255" t="s">
        <v>119</v>
      </c>
      <c r="I1255" t="s">
        <v>84</v>
      </c>
      <c r="J1255" t="s">
        <v>85</v>
      </c>
      <c r="K1255" t="s">
        <v>86</v>
      </c>
      <c r="L1255" t="s">
        <v>87</v>
      </c>
      <c r="M1255" t="s">
        <v>112</v>
      </c>
      <c r="N1255" t="s">
        <v>89</v>
      </c>
      <c r="O1255" t="s">
        <v>89</v>
      </c>
      <c r="P1255" t="s">
        <v>90</v>
      </c>
      <c r="Q1255" t="s">
        <v>91</v>
      </c>
      <c r="R1255">
        <v>7</v>
      </c>
      <c r="S1255">
        <v>7</v>
      </c>
      <c r="T1255">
        <v>1974</v>
      </c>
      <c r="U1255">
        <v>2003</v>
      </c>
      <c r="V1255" t="s">
        <v>92</v>
      </c>
      <c r="W1255" t="s">
        <v>93</v>
      </c>
      <c r="X1255" t="s">
        <v>123</v>
      </c>
      <c r="Y1255" t="s">
        <v>123</v>
      </c>
      <c r="Z1255" t="s">
        <v>116</v>
      </c>
      <c r="AA1255">
        <v>0</v>
      </c>
      <c r="AB1255" t="s">
        <v>96</v>
      </c>
      <c r="AC1255" t="s">
        <v>97</v>
      </c>
      <c r="AD1255" t="s">
        <v>117</v>
      </c>
      <c r="AE1255" t="s">
        <v>97</v>
      </c>
      <c r="AF1255" t="s">
        <v>97</v>
      </c>
      <c r="AG1255" t="s">
        <v>96</v>
      </c>
      <c r="AH1255" t="s">
        <v>171</v>
      </c>
      <c r="AI1255">
        <v>125</v>
      </c>
      <c r="AJ1255" t="s">
        <v>118</v>
      </c>
      <c r="AK1255">
        <v>1031</v>
      </c>
      <c r="AL1255">
        <v>36</v>
      </c>
      <c r="AM1255">
        <v>1192</v>
      </c>
      <c r="AN1255" t="s">
        <v>102</v>
      </c>
      <c r="AO1255" t="s">
        <v>97</v>
      </c>
      <c r="AP1255" t="s">
        <v>104</v>
      </c>
      <c r="AQ1255" t="s">
        <v>105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96</v>
      </c>
      <c r="BC1255">
        <v>9</v>
      </c>
      <c r="BD1255" t="s">
        <v>106</v>
      </c>
      <c r="BE1255">
        <v>2</v>
      </c>
      <c r="BF1255" t="s">
        <v>96</v>
      </c>
      <c r="BG1255" t="s">
        <v>107</v>
      </c>
      <c r="BH1255">
        <v>1974</v>
      </c>
      <c r="BI1255" t="s">
        <v>108</v>
      </c>
      <c r="BJ1255">
        <v>2</v>
      </c>
      <c r="BK1255">
        <v>518</v>
      </c>
      <c r="BL1255" t="s">
        <v>97</v>
      </c>
      <c r="BM1255" t="s">
        <v>97</v>
      </c>
      <c r="BN1255" t="s">
        <v>104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V1255" t="s">
        <v>133</v>
      </c>
      <c r="BX1255">
        <v>0</v>
      </c>
      <c r="BY1255">
        <v>7</v>
      </c>
      <c r="BZ1255">
        <v>2007</v>
      </c>
      <c r="CA1255" t="s">
        <v>109</v>
      </c>
      <c r="CB1255" t="s">
        <v>110</v>
      </c>
      <c r="CC1255">
        <v>294000</v>
      </c>
    </row>
    <row r="1256" spans="1:81" x14ac:dyDescent="0.3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H1256" t="s">
        <v>83</v>
      </c>
      <c r="I1256" t="s">
        <v>84</v>
      </c>
      <c r="J1256" t="s">
        <v>85</v>
      </c>
      <c r="K1256" t="s">
        <v>86</v>
      </c>
      <c r="L1256" t="s">
        <v>87</v>
      </c>
      <c r="M1256" t="s">
        <v>184</v>
      </c>
      <c r="N1256" t="s">
        <v>89</v>
      </c>
      <c r="O1256" t="s">
        <v>89</v>
      </c>
      <c r="P1256" t="s">
        <v>90</v>
      </c>
      <c r="Q1256" t="s">
        <v>91</v>
      </c>
      <c r="R1256">
        <v>7</v>
      </c>
      <c r="S1256">
        <v>5</v>
      </c>
      <c r="T1256">
        <v>2003</v>
      </c>
      <c r="U1256">
        <v>2004</v>
      </c>
      <c r="V1256" t="s">
        <v>92</v>
      </c>
      <c r="W1256" t="s">
        <v>93</v>
      </c>
      <c r="X1256" t="s">
        <v>94</v>
      </c>
      <c r="Y1256" t="s">
        <v>94</v>
      </c>
      <c r="Z1256" t="s">
        <v>136</v>
      </c>
      <c r="AA1256">
        <v>92</v>
      </c>
      <c r="AB1256" t="s">
        <v>96</v>
      </c>
      <c r="AC1256" t="s">
        <v>97</v>
      </c>
      <c r="AD1256" t="s">
        <v>98</v>
      </c>
      <c r="AE1256" t="s">
        <v>96</v>
      </c>
      <c r="AF1256" t="s">
        <v>97</v>
      </c>
      <c r="AG1256" t="s">
        <v>99</v>
      </c>
      <c r="AH1256" t="s">
        <v>101</v>
      </c>
      <c r="AI1256">
        <v>0</v>
      </c>
      <c r="AJ1256" t="s">
        <v>101</v>
      </c>
      <c r="AK1256">
        <v>0</v>
      </c>
      <c r="AL1256">
        <v>746</v>
      </c>
      <c r="AM1256">
        <v>746</v>
      </c>
      <c r="AN1256" t="s">
        <v>102</v>
      </c>
      <c r="AO1256" t="s">
        <v>103</v>
      </c>
      <c r="AP1256" t="s">
        <v>104</v>
      </c>
      <c r="AQ1256" t="s">
        <v>105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96</v>
      </c>
      <c r="BC1256">
        <v>7</v>
      </c>
      <c r="BD1256" t="s">
        <v>106</v>
      </c>
      <c r="BE1256">
        <v>1</v>
      </c>
      <c r="BF1256" t="s">
        <v>96</v>
      </c>
      <c r="BG1256" t="s">
        <v>155</v>
      </c>
      <c r="BH1256">
        <v>2003</v>
      </c>
      <c r="BI1256" t="s">
        <v>156</v>
      </c>
      <c r="BJ1256">
        <v>2</v>
      </c>
      <c r="BK1256">
        <v>397</v>
      </c>
      <c r="BL1256" t="s">
        <v>97</v>
      </c>
      <c r="BM1256" t="s">
        <v>97</v>
      </c>
      <c r="BN1256" t="s">
        <v>104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X1256">
        <v>0</v>
      </c>
      <c r="BY1256">
        <v>7</v>
      </c>
      <c r="BZ1256">
        <v>2008</v>
      </c>
      <c r="CA1256" t="s">
        <v>109</v>
      </c>
      <c r="CB1256" t="s">
        <v>110</v>
      </c>
      <c r="CC1256">
        <v>165400</v>
      </c>
    </row>
    <row r="1257" spans="1:81" x14ac:dyDescent="0.3">
      <c r="A1257">
        <v>1256</v>
      </c>
      <c r="B1257">
        <v>50</v>
      </c>
      <c r="C1257" t="s">
        <v>141</v>
      </c>
      <c r="D1257">
        <v>52</v>
      </c>
      <c r="E1257">
        <v>6240</v>
      </c>
      <c r="F1257" t="s">
        <v>82</v>
      </c>
      <c r="H1257" t="s">
        <v>83</v>
      </c>
      <c r="I1257" t="s">
        <v>84</v>
      </c>
      <c r="J1257" t="s">
        <v>85</v>
      </c>
      <c r="K1257" t="s">
        <v>86</v>
      </c>
      <c r="L1257" t="s">
        <v>87</v>
      </c>
      <c r="M1257" t="s">
        <v>147</v>
      </c>
      <c r="N1257" t="s">
        <v>89</v>
      </c>
      <c r="O1257" t="s">
        <v>89</v>
      </c>
      <c r="P1257" t="s">
        <v>90</v>
      </c>
      <c r="Q1257" t="s">
        <v>131</v>
      </c>
      <c r="R1257">
        <v>6</v>
      </c>
      <c r="S1257">
        <v>6</v>
      </c>
      <c r="T1257">
        <v>1931</v>
      </c>
      <c r="U1257">
        <v>1950</v>
      </c>
      <c r="V1257" t="s">
        <v>92</v>
      </c>
      <c r="W1257" t="s">
        <v>93</v>
      </c>
      <c r="X1257" t="s">
        <v>123</v>
      </c>
      <c r="Y1257" t="s">
        <v>123</v>
      </c>
      <c r="Z1257" t="s">
        <v>116</v>
      </c>
      <c r="AA1257">
        <v>0</v>
      </c>
      <c r="AB1257" t="s">
        <v>97</v>
      </c>
      <c r="AC1257" t="s">
        <v>97</v>
      </c>
      <c r="AD1257" t="s">
        <v>125</v>
      </c>
      <c r="AE1257" t="s">
        <v>97</v>
      </c>
      <c r="AF1257" t="s">
        <v>146</v>
      </c>
      <c r="AG1257" t="s">
        <v>99</v>
      </c>
      <c r="AH1257" t="s">
        <v>171</v>
      </c>
      <c r="AI1257">
        <v>425</v>
      </c>
      <c r="AJ1257" t="s">
        <v>101</v>
      </c>
      <c r="AK1257">
        <v>0</v>
      </c>
      <c r="AL1257">
        <v>459</v>
      </c>
      <c r="AM1257">
        <v>884</v>
      </c>
      <c r="AN1257" t="s">
        <v>102</v>
      </c>
      <c r="AO1257" t="s">
        <v>97</v>
      </c>
      <c r="AP1257" t="s">
        <v>104</v>
      </c>
      <c r="AQ1257" t="s">
        <v>163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97</v>
      </c>
      <c r="BC1257">
        <v>6</v>
      </c>
      <c r="BD1257" t="s">
        <v>106</v>
      </c>
      <c r="BE1257">
        <v>1</v>
      </c>
      <c r="BF1257" t="s">
        <v>96</v>
      </c>
      <c r="BG1257" t="s">
        <v>126</v>
      </c>
      <c r="BH1257">
        <v>1978</v>
      </c>
      <c r="BI1257" t="s">
        <v>101</v>
      </c>
      <c r="BJ1257">
        <v>1</v>
      </c>
      <c r="BK1257">
        <v>560</v>
      </c>
      <c r="BL1257" t="s">
        <v>97</v>
      </c>
      <c r="BM1257" t="s">
        <v>97</v>
      </c>
      <c r="BN1257" t="s">
        <v>104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X1257">
        <v>0</v>
      </c>
      <c r="BY1257">
        <v>11</v>
      </c>
      <c r="BZ1257">
        <v>2007</v>
      </c>
      <c r="CA1257" t="s">
        <v>109</v>
      </c>
      <c r="CB1257" t="s">
        <v>110</v>
      </c>
      <c r="CC1257">
        <v>127500</v>
      </c>
    </row>
    <row r="1258" spans="1:81" x14ac:dyDescent="0.3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H1258" t="s">
        <v>119</v>
      </c>
      <c r="I1258" t="s">
        <v>84</v>
      </c>
      <c r="J1258" t="s">
        <v>85</v>
      </c>
      <c r="K1258" t="s">
        <v>121</v>
      </c>
      <c r="L1258" t="s">
        <v>87</v>
      </c>
      <c r="M1258" t="s">
        <v>128</v>
      </c>
      <c r="N1258" t="s">
        <v>89</v>
      </c>
      <c r="O1258" t="s">
        <v>89</v>
      </c>
      <c r="P1258" t="s">
        <v>90</v>
      </c>
      <c r="Q1258" t="s">
        <v>114</v>
      </c>
      <c r="R1258">
        <v>8</v>
      </c>
      <c r="S1258">
        <v>5</v>
      </c>
      <c r="T1258">
        <v>1994</v>
      </c>
      <c r="U1258">
        <v>1994</v>
      </c>
      <c r="V1258" t="s">
        <v>151</v>
      </c>
      <c r="W1258" t="s">
        <v>93</v>
      </c>
      <c r="X1258" t="s">
        <v>139</v>
      </c>
      <c r="Y1258" t="s">
        <v>139</v>
      </c>
      <c r="Z1258" t="s">
        <v>95</v>
      </c>
      <c r="AA1258">
        <v>554</v>
      </c>
      <c r="AB1258" t="s">
        <v>96</v>
      </c>
      <c r="AC1258" t="s">
        <v>97</v>
      </c>
      <c r="AD1258" t="s">
        <v>98</v>
      </c>
      <c r="AE1258" t="s">
        <v>96</v>
      </c>
      <c r="AF1258" t="s">
        <v>97</v>
      </c>
      <c r="AG1258" t="s">
        <v>96</v>
      </c>
      <c r="AH1258" t="s">
        <v>100</v>
      </c>
      <c r="AI1258">
        <v>1314</v>
      </c>
      <c r="AJ1258" t="s">
        <v>101</v>
      </c>
      <c r="AK1258">
        <v>0</v>
      </c>
      <c r="AL1258">
        <v>672</v>
      </c>
      <c r="AM1258">
        <v>1986</v>
      </c>
      <c r="AN1258" t="s">
        <v>102</v>
      </c>
      <c r="AO1258" t="s">
        <v>103</v>
      </c>
      <c r="AP1258" t="s">
        <v>104</v>
      </c>
      <c r="AQ1258" t="s">
        <v>105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96</v>
      </c>
      <c r="BC1258">
        <v>7</v>
      </c>
      <c r="BD1258" t="s">
        <v>106</v>
      </c>
      <c r="BE1258">
        <v>1</v>
      </c>
      <c r="BF1258" t="s">
        <v>97</v>
      </c>
      <c r="BG1258" t="s">
        <v>107</v>
      </c>
      <c r="BH1258">
        <v>1994</v>
      </c>
      <c r="BI1258" t="s">
        <v>156</v>
      </c>
      <c r="BJ1258">
        <v>2</v>
      </c>
      <c r="BK1258">
        <v>691</v>
      </c>
      <c r="BL1258" t="s">
        <v>97</v>
      </c>
      <c r="BM1258" t="s">
        <v>97</v>
      </c>
      <c r="BN1258" t="s">
        <v>104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X1258">
        <v>0</v>
      </c>
      <c r="BY1258">
        <v>8</v>
      </c>
      <c r="BZ1258">
        <v>2008</v>
      </c>
      <c r="CA1258" t="s">
        <v>109</v>
      </c>
      <c r="CB1258" t="s">
        <v>110</v>
      </c>
      <c r="CC1258">
        <v>301500</v>
      </c>
    </row>
    <row r="1259" spans="1:81" x14ac:dyDescent="0.3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H1259" t="s">
        <v>83</v>
      </c>
      <c r="I1259" t="s">
        <v>84</v>
      </c>
      <c r="J1259" t="s">
        <v>85</v>
      </c>
      <c r="K1259" t="s">
        <v>121</v>
      </c>
      <c r="L1259" t="s">
        <v>87</v>
      </c>
      <c r="M1259" t="s">
        <v>184</v>
      </c>
      <c r="N1259" t="s">
        <v>113</v>
      </c>
      <c r="O1259" t="s">
        <v>89</v>
      </c>
      <c r="P1259" t="s">
        <v>90</v>
      </c>
      <c r="Q1259" t="s">
        <v>114</v>
      </c>
      <c r="R1259">
        <v>5</v>
      </c>
      <c r="S1259">
        <v>8</v>
      </c>
      <c r="T1259">
        <v>1922</v>
      </c>
      <c r="U1259">
        <v>1950</v>
      </c>
      <c r="V1259" t="s">
        <v>92</v>
      </c>
      <c r="W1259" t="s">
        <v>93</v>
      </c>
      <c r="X1259" t="s">
        <v>123</v>
      </c>
      <c r="Y1259" t="s">
        <v>123</v>
      </c>
      <c r="Z1259" t="s">
        <v>116</v>
      </c>
      <c r="AA1259">
        <v>0</v>
      </c>
      <c r="AB1259" t="s">
        <v>97</v>
      </c>
      <c r="AC1259" t="s">
        <v>97</v>
      </c>
      <c r="AD1259" t="s">
        <v>98</v>
      </c>
      <c r="AE1259" t="s">
        <v>146</v>
      </c>
      <c r="AF1259" t="s">
        <v>97</v>
      </c>
      <c r="AG1259" t="s">
        <v>99</v>
      </c>
      <c r="AH1259" t="s">
        <v>101</v>
      </c>
      <c r="AI1259">
        <v>0</v>
      </c>
      <c r="AJ1259" t="s">
        <v>101</v>
      </c>
      <c r="AK1259">
        <v>0</v>
      </c>
      <c r="AL1259">
        <v>864</v>
      </c>
      <c r="AM1259">
        <v>864</v>
      </c>
      <c r="AN1259" t="s">
        <v>102</v>
      </c>
      <c r="AO1259" t="s">
        <v>103</v>
      </c>
      <c r="AP1259" t="s">
        <v>104</v>
      </c>
      <c r="AQ1259" t="s">
        <v>105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97</v>
      </c>
      <c r="BC1259">
        <v>4</v>
      </c>
      <c r="BD1259" t="s">
        <v>106</v>
      </c>
      <c r="BE1259">
        <v>0</v>
      </c>
      <c r="BJ1259">
        <v>0</v>
      </c>
      <c r="BK1259">
        <v>0</v>
      </c>
      <c r="BN1259" t="s">
        <v>104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X1259">
        <v>0</v>
      </c>
      <c r="BY1259">
        <v>7</v>
      </c>
      <c r="BZ1259">
        <v>2009</v>
      </c>
      <c r="CA1259" t="s">
        <v>109</v>
      </c>
      <c r="CB1259" t="s">
        <v>110</v>
      </c>
      <c r="CC1259">
        <v>99900</v>
      </c>
    </row>
    <row r="1260" spans="1:81" x14ac:dyDescent="0.3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H1260" t="s">
        <v>119</v>
      </c>
      <c r="I1260" t="s">
        <v>84</v>
      </c>
      <c r="J1260" t="s">
        <v>85</v>
      </c>
      <c r="K1260" t="s">
        <v>86</v>
      </c>
      <c r="L1260" t="s">
        <v>87</v>
      </c>
      <c r="M1260" t="s">
        <v>192</v>
      </c>
      <c r="N1260" t="s">
        <v>89</v>
      </c>
      <c r="O1260" t="s">
        <v>89</v>
      </c>
      <c r="P1260" t="s">
        <v>90</v>
      </c>
      <c r="Q1260" t="s">
        <v>196</v>
      </c>
      <c r="R1260">
        <v>7</v>
      </c>
      <c r="S1260">
        <v>5</v>
      </c>
      <c r="T1260">
        <v>2005</v>
      </c>
      <c r="U1260">
        <v>2005</v>
      </c>
      <c r="V1260" t="s">
        <v>92</v>
      </c>
      <c r="W1260" t="s">
        <v>93</v>
      </c>
      <c r="X1260" t="s">
        <v>94</v>
      </c>
      <c r="Y1260" t="s">
        <v>94</v>
      </c>
      <c r="Z1260" t="s">
        <v>136</v>
      </c>
      <c r="AA1260">
        <v>182</v>
      </c>
      <c r="AB1260" t="s">
        <v>96</v>
      </c>
      <c r="AC1260" t="s">
        <v>97</v>
      </c>
      <c r="AD1260" t="s">
        <v>98</v>
      </c>
      <c r="AE1260" t="s">
        <v>96</v>
      </c>
      <c r="AF1260" t="s">
        <v>97</v>
      </c>
      <c r="AG1260" t="s">
        <v>96</v>
      </c>
      <c r="AH1260" t="s">
        <v>100</v>
      </c>
      <c r="AI1260">
        <v>655</v>
      </c>
      <c r="AJ1260" t="s">
        <v>101</v>
      </c>
      <c r="AK1260">
        <v>0</v>
      </c>
      <c r="AL1260">
        <v>201</v>
      </c>
      <c r="AM1260">
        <v>856</v>
      </c>
      <c r="AN1260" t="s">
        <v>102</v>
      </c>
      <c r="AO1260" t="s">
        <v>103</v>
      </c>
      <c r="AP1260" t="s">
        <v>104</v>
      </c>
      <c r="AQ1260" t="s">
        <v>105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96</v>
      </c>
      <c r="BC1260">
        <v>5</v>
      </c>
      <c r="BD1260" t="s">
        <v>106</v>
      </c>
      <c r="BE1260">
        <v>0</v>
      </c>
      <c r="BG1260" t="s">
        <v>107</v>
      </c>
      <c r="BH1260">
        <v>2005</v>
      </c>
      <c r="BI1260" t="s">
        <v>156</v>
      </c>
      <c r="BJ1260">
        <v>2</v>
      </c>
      <c r="BK1260">
        <v>400</v>
      </c>
      <c r="BL1260" t="s">
        <v>97</v>
      </c>
      <c r="BM1260" t="s">
        <v>97</v>
      </c>
      <c r="BN1260" t="s">
        <v>104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X1260">
        <v>0</v>
      </c>
      <c r="BY1260">
        <v>7</v>
      </c>
      <c r="BZ1260">
        <v>2008</v>
      </c>
      <c r="CA1260" t="s">
        <v>109</v>
      </c>
      <c r="CB1260" t="s">
        <v>110</v>
      </c>
      <c r="CC1260">
        <v>190000</v>
      </c>
    </row>
    <row r="1261" spans="1:81" x14ac:dyDescent="0.3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H1261" t="s">
        <v>83</v>
      </c>
      <c r="I1261" t="s">
        <v>84</v>
      </c>
      <c r="J1261" t="s">
        <v>85</v>
      </c>
      <c r="K1261" t="s">
        <v>111</v>
      </c>
      <c r="L1261" t="s">
        <v>87</v>
      </c>
      <c r="M1261" t="s">
        <v>270</v>
      </c>
      <c r="N1261" t="s">
        <v>89</v>
      </c>
      <c r="O1261" t="s">
        <v>89</v>
      </c>
      <c r="P1261" t="s">
        <v>90</v>
      </c>
      <c r="Q1261" t="s">
        <v>114</v>
      </c>
      <c r="R1261">
        <v>6</v>
      </c>
      <c r="S1261">
        <v>8</v>
      </c>
      <c r="T1261">
        <v>1969</v>
      </c>
      <c r="U1261">
        <v>1969</v>
      </c>
      <c r="V1261" t="s">
        <v>92</v>
      </c>
      <c r="W1261" t="s">
        <v>93</v>
      </c>
      <c r="X1261" t="s">
        <v>139</v>
      </c>
      <c r="Y1261" t="s">
        <v>139</v>
      </c>
      <c r="Z1261" t="s">
        <v>116</v>
      </c>
      <c r="AA1261">
        <v>0</v>
      </c>
      <c r="AB1261" t="s">
        <v>97</v>
      </c>
      <c r="AC1261" t="s">
        <v>97</v>
      </c>
      <c r="AD1261" t="s">
        <v>117</v>
      </c>
      <c r="AE1261" t="s">
        <v>96</v>
      </c>
      <c r="AF1261" t="s">
        <v>97</v>
      </c>
      <c r="AG1261" t="s">
        <v>99</v>
      </c>
      <c r="AH1261" t="s">
        <v>118</v>
      </c>
      <c r="AI1261">
        <v>602</v>
      </c>
      <c r="AJ1261" t="s">
        <v>171</v>
      </c>
      <c r="AK1261">
        <v>438</v>
      </c>
      <c r="AL1261">
        <v>14</v>
      </c>
      <c r="AM1261">
        <v>1054</v>
      </c>
      <c r="AN1261" t="s">
        <v>102</v>
      </c>
      <c r="AO1261" t="s">
        <v>96</v>
      </c>
      <c r="AP1261" t="s">
        <v>104</v>
      </c>
      <c r="AQ1261" t="s">
        <v>105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97</v>
      </c>
      <c r="BC1261">
        <v>6</v>
      </c>
      <c r="BD1261" t="s">
        <v>106</v>
      </c>
      <c r="BE1261">
        <v>0</v>
      </c>
      <c r="BG1261" t="s">
        <v>107</v>
      </c>
      <c r="BH1261">
        <v>1969</v>
      </c>
      <c r="BI1261" t="s">
        <v>101</v>
      </c>
      <c r="BJ1261">
        <v>2</v>
      </c>
      <c r="BK1261">
        <v>460</v>
      </c>
      <c r="BL1261" t="s">
        <v>97</v>
      </c>
      <c r="BM1261" t="s">
        <v>97</v>
      </c>
      <c r="BN1261" t="s">
        <v>104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X1261">
        <v>0</v>
      </c>
      <c r="BY1261">
        <v>7</v>
      </c>
      <c r="BZ1261">
        <v>2008</v>
      </c>
      <c r="CA1261" t="s">
        <v>109</v>
      </c>
      <c r="CB1261" t="s">
        <v>110</v>
      </c>
      <c r="CC1261">
        <v>151000</v>
      </c>
    </row>
    <row r="1262" spans="1:81" x14ac:dyDescent="0.3">
      <c r="A1262">
        <v>1261</v>
      </c>
      <c r="B1262">
        <v>60</v>
      </c>
      <c r="C1262" t="s">
        <v>81</v>
      </c>
      <c r="E1262">
        <v>24682</v>
      </c>
      <c r="F1262" t="s">
        <v>82</v>
      </c>
      <c r="H1262" t="s">
        <v>230</v>
      </c>
      <c r="I1262" t="s">
        <v>84</v>
      </c>
      <c r="J1262" t="s">
        <v>85</v>
      </c>
      <c r="K1262" t="s">
        <v>165</v>
      </c>
      <c r="L1262" t="s">
        <v>87</v>
      </c>
      <c r="M1262" t="s">
        <v>192</v>
      </c>
      <c r="N1262" t="s">
        <v>201</v>
      </c>
      <c r="O1262" t="s">
        <v>89</v>
      </c>
      <c r="P1262" t="s">
        <v>90</v>
      </c>
      <c r="Q1262" t="s">
        <v>91</v>
      </c>
      <c r="R1262">
        <v>6</v>
      </c>
      <c r="S1262">
        <v>5</v>
      </c>
      <c r="T1262">
        <v>1999</v>
      </c>
      <c r="U1262">
        <v>1999</v>
      </c>
      <c r="V1262" t="s">
        <v>92</v>
      </c>
      <c r="W1262" t="s">
        <v>93</v>
      </c>
      <c r="X1262" t="s">
        <v>94</v>
      </c>
      <c r="Y1262" t="s">
        <v>94</v>
      </c>
      <c r="Z1262" t="s">
        <v>116</v>
      </c>
      <c r="AA1262">
        <v>0</v>
      </c>
      <c r="AB1262" t="s">
        <v>97</v>
      </c>
      <c r="AC1262" t="s">
        <v>97</v>
      </c>
      <c r="AD1262" t="s">
        <v>98</v>
      </c>
      <c r="AE1262" t="s">
        <v>96</v>
      </c>
      <c r="AF1262" t="s">
        <v>97</v>
      </c>
      <c r="AG1262" t="s">
        <v>99</v>
      </c>
      <c r="AH1262" t="s">
        <v>101</v>
      </c>
      <c r="AI1262">
        <v>0</v>
      </c>
      <c r="AJ1262" t="s">
        <v>101</v>
      </c>
      <c r="AK1262">
        <v>0</v>
      </c>
      <c r="AL1262">
        <v>841</v>
      </c>
      <c r="AM1262">
        <v>841</v>
      </c>
      <c r="AN1262" t="s">
        <v>102</v>
      </c>
      <c r="AO1262" t="s">
        <v>103</v>
      </c>
      <c r="AP1262" t="s">
        <v>104</v>
      </c>
      <c r="AQ1262" t="s">
        <v>105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97</v>
      </c>
      <c r="BC1262">
        <v>7</v>
      </c>
      <c r="BD1262" t="s">
        <v>106</v>
      </c>
      <c r="BE1262">
        <v>1</v>
      </c>
      <c r="BF1262" t="s">
        <v>97</v>
      </c>
      <c r="BG1262" t="s">
        <v>155</v>
      </c>
      <c r="BH1262">
        <v>1999</v>
      </c>
      <c r="BI1262" t="s">
        <v>156</v>
      </c>
      <c r="BJ1262">
        <v>2</v>
      </c>
      <c r="BK1262">
        <v>502</v>
      </c>
      <c r="BL1262" t="s">
        <v>97</v>
      </c>
      <c r="BM1262" t="s">
        <v>97</v>
      </c>
      <c r="BN1262" t="s">
        <v>104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X1262">
        <v>0</v>
      </c>
      <c r="BY1262">
        <v>6</v>
      </c>
      <c r="BZ1262">
        <v>2009</v>
      </c>
      <c r="CA1262" t="s">
        <v>109</v>
      </c>
      <c r="CB1262" t="s">
        <v>110</v>
      </c>
      <c r="CC1262">
        <v>181000</v>
      </c>
    </row>
    <row r="1263" spans="1:81" x14ac:dyDescent="0.3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H1263" t="s">
        <v>83</v>
      </c>
      <c r="I1263" t="s">
        <v>84</v>
      </c>
      <c r="J1263" t="s">
        <v>85</v>
      </c>
      <c r="K1263" t="s">
        <v>86</v>
      </c>
      <c r="L1263" t="s">
        <v>87</v>
      </c>
      <c r="M1263" t="s">
        <v>270</v>
      </c>
      <c r="N1263" t="s">
        <v>89</v>
      </c>
      <c r="O1263" t="s">
        <v>89</v>
      </c>
      <c r="P1263" t="s">
        <v>90</v>
      </c>
      <c r="Q1263" t="s">
        <v>114</v>
      </c>
      <c r="R1263">
        <v>5</v>
      </c>
      <c r="S1263">
        <v>6</v>
      </c>
      <c r="T1263">
        <v>1956</v>
      </c>
      <c r="U1263">
        <v>1956</v>
      </c>
      <c r="V1263" t="s">
        <v>151</v>
      </c>
      <c r="W1263" t="s">
        <v>93</v>
      </c>
      <c r="X1263" t="s">
        <v>115</v>
      </c>
      <c r="Y1263" t="s">
        <v>115</v>
      </c>
      <c r="Z1263" t="s">
        <v>116</v>
      </c>
      <c r="AA1263">
        <v>0</v>
      </c>
      <c r="AB1263" t="s">
        <v>97</v>
      </c>
      <c r="AC1263" t="s">
        <v>97</v>
      </c>
      <c r="AD1263" t="s">
        <v>117</v>
      </c>
      <c r="AE1263" t="s">
        <v>97</v>
      </c>
      <c r="AF1263" t="s">
        <v>97</v>
      </c>
      <c r="AG1263" t="s">
        <v>99</v>
      </c>
      <c r="AH1263" t="s">
        <v>152</v>
      </c>
      <c r="AI1263">
        <v>504</v>
      </c>
      <c r="AJ1263" t="s">
        <v>101</v>
      </c>
      <c r="AK1263">
        <v>0</v>
      </c>
      <c r="AL1263">
        <v>546</v>
      </c>
      <c r="AM1263">
        <v>1050</v>
      </c>
      <c r="AN1263" t="s">
        <v>102</v>
      </c>
      <c r="AO1263" t="s">
        <v>96</v>
      </c>
      <c r="AP1263" t="s">
        <v>104</v>
      </c>
      <c r="AQ1263" t="s">
        <v>105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97</v>
      </c>
      <c r="BC1263">
        <v>5</v>
      </c>
      <c r="BD1263" t="s">
        <v>106</v>
      </c>
      <c r="BE1263">
        <v>0</v>
      </c>
      <c r="BG1263" t="s">
        <v>107</v>
      </c>
      <c r="BH1263">
        <v>1956</v>
      </c>
      <c r="BI1263" t="s">
        <v>101</v>
      </c>
      <c r="BJ1263">
        <v>1</v>
      </c>
      <c r="BK1263">
        <v>338</v>
      </c>
      <c r="BL1263" t="s">
        <v>97</v>
      </c>
      <c r="BM1263" t="s">
        <v>97</v>
      </c>
      <c r="BN1263" t="s">
        <v>104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X1263">
        <v>0</v>
      </c>
      <c r="BY1263">
        <v>6</v>
      </c>
      <c r="BZ1263">
        <v>2009</v>
      </c>
      <c r="CA1263" t="s">
        <v>109</v>
      </c>
      <c r="CB1263" t="s">
        <v>110</v>
      </c>
      <c r="CC1263">
        <v>128900</v>
      </c>
    </row>
    <row r="1264" spans="1:81" x14ac:dyDescent="0.3">
      <c r="A1264">
        <v>1263</v>
      </c>
      <c r="B1264">
        <v>50</v>
      </c>
      <c r="C1264" t="s">
        <v>81</v>
      </c>
      <c r="E1264">
        <v>11250</v>
      </c>
      <c r="F1264" t="s">
        <v>82</v>
      </c>
      <c r="H1264" t="s">
        <v>83</v>
      </c>
      <c r="I1264" t="s">
        <v>84</v>
      </c>
      <c r="J1264" t="s">
        <v>85</v>
      </c>
      <c r="K1264" t="s">
        <v>86</v>
      </c>
      <c r="L1264" t="s">
        <v>87</v>
      </c>
      <c r="M1264" t="s">
        <v>204</v>
      </c>
      <c r="N1264" t="s">
        <v>89</v>
      </c>
      <c r="O1264" t="s">
        <v>89</v>
      </c>
      <c r="P1264" t="s">
        <v>90</v>
      </c>
      <c r="Q1264" t="s">
        <v>131</v>
      </c>
      <c r="R1264">
        <v>4</v>
      </c>
      <c r="S1264">
        <v>5</v>
      </c>
      <c r="T1264">
        <v>1957</v>
      </c>
      <c r="U1264">
        <v>1989</v>
      </c>
      <c r="V1264" t="s">
        <v>92</v>
      </c>
      <c r="W1264" t="s">
        <v>93</v>
      </c>
      <c r="X1264" t="s">
        <v>123</v>
      </c>
      <c r="Y1264" t="s">
        <v>123</v>
      </c>
      <c r="Z1264" t="s">
        <v>116</v>
      </c>
      <c r="AA1264">
        <v>0</v>
      </c>
      <c r="AB1264" t="s">
        <v>97</v>
      </c>
      <c r="AC1264" t="s">
        <v>97</v>
      </c>
      <c r="AD1264" t="s">
        <v>117</v>
      </c>
      <c r="AE1264" t="s">
        <v>97</v>
      </c>
      <c r="AF1264" t="s">
        <v>97</v>
      </c>
      <c r="AG1264" t="s">
        <v>129</v>
      </c>
      <c r="AH1264" t="s">
        <v>101</v>
      </c>
      <c r="AI1264">
        <v>0</v>
      </c>
      <c r="AJ1264" t="s">
        <v>101</v>
      </c>
      <c r="AK1264">
        <v>0</v>
      </c>
      <c r="AL1264">
        <v>1104</v>
      </c>
      <c r="AM1264">
        <v>1104</v>
      </c>
      <c r="AN1264" t="s">
        <v>102</v>
      </c>
      <c r="AO1264" t="s">
        <v>103</v>
      </c>
      <c r="AP1264" t="s">
        <v>104</v>
      </c>
      <c r="AQ1264" t="s">
        <v>163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97</v>
      </c>
      <c r="BC1264">
        <v>8</v>
      </c>
      <c r="BD1264" t="s">
        <v>223</v>
      </c>
      <c r="BE1264">
        <v>2</v>
      </c>
      <c r="BF1264" t="s">
        <v>97</v>
      </c>
      <c r="BG1264" t="s">
        <v>107</v>
      </c>
      <c r="BH1264">
        <v>1957</v>
      </c>
      <c r="BI1264" t="s">
        <v>101</v>
      </c>
      <c r="BJ1264">
        <v>1</v>
      </c>
      <c r="BK1264">
        <v>304</v>
      </c>
      <c r="BL1264" t="s">
        <v>97</v>
      </c>
      <c r="BM1264" t="s">
        <v>97</v>
      </c>
      <c r="BN1264" t="s">
        <v>104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X1264">
        <v>0</v>
      </c>
      <c r="BY1264">
        <v>11</v>
      </c>
      <c r="BZ1264">
        <v>2009</v>
      </c>
      <c r="CA1264" t="s">
        <v>109</v>
      </c>
      <c r="CB1264" t="s">
        <v>110</v>
      </c>
      <c r="CC1264">
        <v>161500</v>
      </c>
    </row>
    <row r="1265" spans="1:81" x14ac:dyDescent="0.3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83</v>
      </c>
      <c r="I1265" t="s">
        <v>84</v>
      </c>
      <c r="J1265" t="s">
        <v>85</v>
      </c>
      <c r="K1265" t="s">
        <v>86</v>
      </c>
      <c r="L1265" t="s">
        <v>87</v>
      </c>
      <c r="M1265" t="s">
        <v>147</v>
      </c>
      <c r="N1265" t="s">
        <v>89</v>
      </c>
      <c r="O1265" t="s">
        <v>89</v>
      </c>
      <c r="P1265" t="s">
        <v>90</v>
      </c>
      <c r="Q1265" t="s">
        <v>91</v>
      </c>
      <c r="R1265">
        <v>6</v>
      </c>
      <c r="S1265">
        <v>6</v>
      </c>
      <c r="T1265">
        <v>1919</v>
      </c>
      <c r="U1265">
        <v>1950</v>
      </c>
      <c r="V1265" t="s">
        <v>183</v>
      </c>
      <c r="W1265" t="s">
        <v>93</v>
      </c>
      <c r="X1265" t="s">
        <v>123</v>
      </c>
      <c r="Y1265" t="s">
        <v>123</v>
      </c>
      <c r="Z1265" t="s">
        <v>116</v>
      </c>
      <c r="AA1265">
        <v>0</v>
      </c>
      <c r="AB1265" t="s">
        <v>97</v>
      </c>
      <c r="AC1265" t="s">
        <v>97</v>
      </c>
      <c r="AD1265" t="s">
        <v>98</v>
      </c>
      <c r="AE1265" t="s">
        <v>97</v>
      </c>
      <c r="AF1265" t="s">
        <v>97</v>
      </c>
      <c r="AG1265" t="s">
        <v>99</v>
      </c>
      <c r="AH1265" t="s">
        <v>101</v>
      </c>
      <c r="AI1265">
        <v>0</v>
      </c>
      <c r="AJ1265" t="s">
        <v>101</v>
      </c>
      <c r="AK1265">
        <v>0</v>
      </c>
      <c r="AL1265">
        <v>764</v>
      </c>
      <c r="AM1265">
        <v>764</v>
      </c>
      <c r="AN1265" t="s">
        <v>102</v>
      </c>
      <c r="AO1265" t="s">
        <v>103</v>
      </c>
      <c r="AP1265" t="s">
        <v>104</v>
      </c>
      <c r="AQ1265" t="s">
        <v>163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97</v>
      </c>
      <c r="BC1265">
        <v>8</v>
      </c>
      <c r="BD1265" t="s">
        <v>106</v>
      </c>
      <c r="BE1265">
        <v>1</v>
      </c>
      <c r="BF1265" t="s">
        <v>96</v>
      </c>
      <c r="BG1265" t="s">
        <v>126</v>
      </c>
      <c r="BH1265">
        <v>1940</v>
      </c>
      <c r="BI1265" t="s">
        <v>101</v>
      </c>
      <c r="BJ1265">
        <v>2</v>
      </c>
      <c r="BK1265">
        <v>520</v>
      </c>
      <c r="BL1265" t="s">
        <v>97</v>
      </c>
      <c r="BM1265" t="s">
        <v>97</v>
      </c>
      <c r="BN1265" t="s">
        <v>176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V1265" t="s">
        <v>164</v>
      </c>
      <c r="BX1265">
        <v>0</v>
      </c>
      <c r="BY1265">
        <v>7</v>
      </c>
      <c r="BZ1265">
        <v>2007</v>
      </c>
      <c r="CA1265" t="s">
        <v>109</v>
      </c>
      <c r="CB1265" t="s">
        <v>110</v>
      </c>
      <c r="CC1265">
        <v>180500</v>
      </c>
    </row>
    <row r="1266" spans="1:81" x14ac:dyDescent="0.3">
      <c r="A1266">
        <v>1265</v>
      </c>
      <c r="B1266">
        <v>120</v>
      </c>
      <c r="C1266" t="s">
        <v>238</v>
      </c>
      <c r="D1266">
        <v>34</v>
      </c>
      <c r="E1266">
        <v>4060</v>
      </c>
      <c r="F1266" t="s">
        <v>82</v>
      </c>
      <c r="H1266" t="s">
        <v>83</v>
      </c>
      <c r="I1266" t="s">
        <v>84</v>
      </c>
      <c r="J1266" t="s">
        <v>85</v>
      </c>
      <c r="K1266" t="s">
        <v>86</v>
      </c>
      <c r="L1266" t="s">
        <v>87</v>
      </c>
      <c r="M1266" t="s">
        <v>270</v>
      </c>
      <c r="N1266" t="s">
        <v>89</v>
      </c>
      <c r="O1266" t="s">
        <v>89</v>
      </c>
      <c r="P1266" t="s">
        <v>178</v>
      </c>
      <c r="Q1266" t="s">
        <v>114</v>
      </c>
      <c r="R1266">
        <v>6</v>
      </c>
      <c r="S1266">
        <v>5</v>
      </c>
      <c r="T1266">
        <v>1998</v>
      </c>
      <c r="U1266">
        <v>1999</v>
      </c>
      <c r="V1266" t="s">
        <v>92</v>
      </c>
      <c r="W1266" t="s">
        <v>93</v>
      </c>
      <c r="X1266" t="s">
        <v>115</v>
      </c>
      <c r="Y1266" t="s">
        <v>115</v>
      </c>
      <c r="Z1266" t="s">
        <v>116</v>
      </c>
      <c r="AA1266">
        <v>0</v>
      </c>
      <c r="AB1266" t="s">
        <v>96</v>
      </c>
      <c r="AC1266" t="s">
        <v>97</v>
      </c>
      <c r="AD1266" t="s">
        <v>98</v>
      </c>
      <c r="AE1266" t="s">
        <v>96</v>
      </c>
      <c r="AF1266" t="s">
        <v>97</v>
      </c>
      <c r="AG1266" t="s">
        <v>99</v>
      </c>
      <c r="AH1266" t="s">
        <v>100</v>
      </c>
      <c r="AI1266">
        <v>266</v>
      </c>
      <c r="AJ1266" t="s">
        <v>101</v>
      </c>
      <c r="AK1266">
        <v>0</v>
      </c>
      <c r="AL1266">
        <v>1139</v>
      </c>
      <c r="AM1266">
        <v>1405</v>
      </c>
      <c r="AN1266" t="s">
        <v>102</v>
      </c>
      <c r="AO1266" t="s">
        <v>103</v>
      </c>
      <c r="AP1266" t="s">
        <v>104</v>
      </c>
      <c r="AQ1266" t="s">
        <v>105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96</v>
      </c>
      <c r="BC1266">
        <v>5</v>
      </c>
      <c r="BD1266" t="s">
        <v>106</v>
      </c>
      <c r="BE1266">
        <v>0</v>
      </c>
      <c r="BG1266" t="s">
        <v>107</v>
      </c>
      <c r="BH1266">
        <v>1998</v>
      </c>
      <c r="BI1266" t="s">
        <v>156</v>
      </c>
      <c r="BJ1266">
        <v>2</v>
      </c>
      <c r="BK1266">
        <v>511</v>
      </c>
      <c r="BL1266" t="s">
        <v>97</v>
      </c>
      <c r="BM1266" t="s">
        <v>97</v>
      </c>
      <c r="BN1266" t="s">
        <v>104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X1266">
        <v>0</v>
      </c>
      <c r="BY1266">
        <v>8</v>
      </c>
      <c r="BZ1266">
        <v>2008</v>
      </c>
      <c r="CA1266" t="s">
        <v>172</v>
      </c>
      <c r="CB1266" t="s">
        <v>127</v>
      </c>
      <c r="CC1266">
        <v>181000</v>
      </c>
    </row>
    <row r="1267" spans="1:81" x14ac:dyDescent="0.3">
      <c r="A1267">
        <v>1266</v>
      </c>
      <c r="B1267">
        <v>160</v>
      </c>
      <c r="C1267" t="s">
        <v>191</v>
      </c>
      <c r="D1267">
        <v>35</v>
      </c>
      <c r="E1267">
        <v>3735</v>
      </c>
      <c r="F1267" t="s">
        <v>82</v>
      </c>
      <c r="H1267" t="s">
        <v>83</v>
      </c>
      <c r="I1267" t="s">
        <v>84</v>
      </c>
      <c r="J1267" t="s">
        <v>85</v>
      </c>
      <c r="K1267" t="s">
        <v>237</v>
      </c>
      <c r="L1267" t="s">
        <v>87</v>
      </c>
      <c r="M1267" t="s">
        <v>135</v>
      </c>
      <c r="N1267" t="s">
        <v>89</v>
      </c>
      <c r="O1267" t="s">
        <v>89</v>
      </c>
      <c r="P1267" t="s">
        <v>178</v>
      </c>
      <c r="Q1267" t="s">
        <v>91</v>
      </c>
      <c r="R1267">
        <v>7</v>
      </c>
      <c r="S1267">
        <v>5</v>
      </c>
      <c r="T1267">
        <v>1999</v>
      </c>
      <c r="U1267">
        <v>1999</v>
      </c>
      <c r="V1267" t="s">
        <v>151</v>
      </c>
      <c r="W1267" t="s">
        <v>93</v>
      </c>
      <c r="X1267" t="s">
        <v>115</v>
      </c>
      <c r="Y1267" t="s">
        <v>115</v>
      </c>
      <c r="Z1267" t="s">
        <v>95</v>
      </c>
      <c r="AA1267">
        <v>218</v>
      </c>
      <c r="AB1267" t="s">
        <v>96</v>
      </c>
      <c r="AC1267" t="s">
        <v>97</v>
      </c>
      <c r="AD1267" t="s">
        <v>98</v>
      </c>
      <c r="AE1267" t="s">
        <v>96</v>
      </c>
      <c r="AF1267" t="s">
        <v>97</v>
      </c>
      <c r="AG1267" t="s">
        <v>99</v>
      </c>
      <c r="AH1267" t="s">
        <v>100</v>
      </c>
      <c r="AI1267">
        <v>450</v>
      </c>
      <c r="AJ1267" t="s">
        <v>101</v>
      </c>
      <c r="AK1267">
        <v>0</v>
      </c>
      <c r="AL1267">
        <v>241</v>
      </c>
      <c r="AM1267">
        <v>691</v>
      </c>
      <c r="AN1267" t="s">
        <v>102</v>
      </c>
      <c r="AO1267" t="s">
        <v>103</v>
      </c>
      <c r="AP1267" t="s">
        <v>104</v>
      </c>
      <c r="AQ1267" t="s">
        <v>105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96</v>
      </c>
      <c r="BC1267">
        <v>6</v>
      </c>
      <c r="BD1267" t="s">
        <v>106</v>
      </c>
      <c r="BE1267">
        <v>0</v>
      </c>
      <c r="BG1267" t="s">
        <v>126</v>
      </c>
      <c r="BH1267">
        <v>1999</v>
      </c>
      <c r="BI1267" t="s">
        <v>101</v>
      </c>
      <c r="BJ1267">
        <v>2</v>
      </c>
      <c r="BK1267">
        <v>506</v>
      </c>
      <c r="BL1267" t="s">
        <v>97</v>
      </c>
      <c r="BM1267" t="s">
        <v>97</v>
      </c>
      <c r="BN1267" t="s">
        <v>104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X1267">
        <v>0</v>
      </c>
      <c r="BY1267">
        <v>3</v>
      </c>
      <c r="BZ1267">
        <v>2006</v>
      </c>
      <c r="CA1267" t="s">
        <v>109</v>
      </c>
      <c r="CB1267" t="s">
        <v>110</v>
      </c>
      <c r="CC1267">
        <v>183900</v>
      </c>
    </row>
    <row r="1268" spans="1:81" x14ac:dyDescent="0.3">
      <c r="A1268">
        <v>1267</v>
      </c>
      <c r="B1268">
        <v>190</v>
      </c>
      <c r="C1268" t="s">
        <v>141</v>
      </c>
      <c r="D1268">
        <v>60</v>
      </c>
      <c r="E1268">
        <v>10120</v>
      </c>
      <c r="F1268" t="s">
        <v>82</v>
      </c>
      <c r="H1268" t="s">
        <v>119</v>
      </c>
      <c r="I1268" t="s">
        <v>174</v>
      </c>
      <c r="J1268" t="s">
        <v>85</v>
      </c>
      <c r="K1268" t="s">
        <v>86</v>
      </c>
      <c r="L1268" t="s">
        <v>87</v>
      </c>
      <c r="M1268" t="s">
        <v>142</v>
      </c>
      <c r="N1268" t="s">
        <v>113</v>
      </c>
      <c r="O1268" t="s">
        <v>89</v>
      </c>
      <c r="P1268" t="s">
        <v>148</v>
      </c>
      <c r="Q1268" t="s">
        <v>200</v>
      </c>
      <c r="R1268">
        <v>7</v>
      </c>
      <c r="S1268">
        <v>4</v>
      </c>
      <c r="T1268">
        <v>1910</v>
      </c>
      <c r="U1268">
        <v>1950</v>
      </c>
      <c r="V1268" t="s">
        <v>151</v>
      </c>
      <c r="W1268" t="s">
        <v>93</v>
      </c>
      <c r="X1268" t="s">
        <v>123</v>
      </c>
      <c r="Y1268" t="s">
        <v>123</v>
      </c>
      <c r="Z1268" t="s">
        <v>116</v>
      </c>
      <c r="AA1268">
        <v>0</v>
      </c>
      <c r="AB1268" t="s">
        <v>146</v>
      </c>
      <c r="AC1268" t="s">
        <v>97</v>
      </c>
      <c r="AD1268" t="s">
        <v>117</v>
      </c>
      <c r="AE1268" t="s">
        <v>97</v>
      </c>
      <c r="AF1268" t="s">
        <v>97</v>
      </c>
      <c r="AG1268" t="s">
        <v>99</v>
      </c>
      <c r="AH1268" t="s">
        <v>101</v>
      </c>
      <c r="AI1268">
        <v>0</v>
      </c>
      <c r="AJ1268" t="s">
        <v>101</v>
      </c>
      <c r="AK1268">
        <v>0</v>
      </c>
      <c r="AL1268">
        <v>925</v>
      </c>
      <c r="AM1268">
        <v>925</v>
      </c>
      <c r="AN1268" t="s">
        <v>102</v>
      </c>
      <c r="AO1268" t="s">
        <v>97</v>
      </c>
      <c r="AP1268" t="s">
        <v>176</v>
      </c>
      <c r="AQ1268" t="s">
        <v>144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97</v>
      </c>
      <c r="BC1268">
        <v>9</v>
      </c>
      <c r="BD1268" t="s">
        <v>106</v>
      </c>
      <c r="BE1268">
        <v>1</v>
      </c>
      <c r="BF1268" t="s">
        <v>96</v>
      </c>
      <c r="BG1268" t="s">
        <v>126</v>
      </c>
      <c r="BH1268">
        <v>1960</v>
      </c>
      <c r="BI1268" t="s">
        <v>101</v>
      </c>
      <c r="BJ1268">
        <v>1</v>
      </c>
      <c r="BK1268">
        <v>308</v>
      </c>
      <c r="BL1268" t="s">
        <v>97</v>
      </c>
      <c r="BM1268" t="s">
        <v>97</v>
      </c>
      <c r="BN1268" t="s">
        <v>176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V1268" t="s">
        <v>133</v>
      </c>
      <c r="BX1268">
        <v>0</v>
      </c>
      <c r="BY1268">
        <v>1</v>
      </c>
      <c r="BZ1268">
        <v>2007</v>
      </c>
      <c r="CA1268" t="s">
        <v>109</v>
      </c>
      <c r="CB1268" t="s">
        <v>110</v>
      </c>
      <c r="CC1268">
        <v>122000</v>
      </c>
    </row>
    <row r="1269" spans="1:81" x14ac:dyDescent="0.3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H1269" t="s">
        <v>119</v>
      </c>
      <c r="I1269" t="s">
        <v>198</v>
      </c>
      <c r="J1269" t="s">
        <v>85</v>
      </c>
      <c r="K1269" t="s">
        <v>86</v>
      </c>
      <c r="L1269" t="s">
        <v>87</v>
      </c>
      <c r="M1269" t="s">
        <v>188</v>
      </c>
      <c r="N1269" t="s">
        <v>89</v>
      </c>
      <c r="O1269" t="s">
        <v>89</v>
      </c>
      <c r="P1269" t="s">
        <v>90</v>
      </c>
      <c r="Q1269" t="s">
        <v>114</v>
      </c>
      <c r="R1269">
        <v>9</v>
      </c>
      <c r="S1269">
        <v>5</v>
      </c>
      <c r="T1269">
        <v>2008</v>
      </c>
      <c r="U1269">
        <v>2009</v>
      </c>
      <c r="V1269" t="s">
        <v>151</v>
      </c>
      <c r="W1269" t="s">
        <v>93</v>
      </c>
      <c r="X1269" t="s">
        <v>202</v>
      </c>
      <c r="Y1269" t="s">
        <v>180</v>
      </c>
      <c r="Z1269" t="s">
        <v>116</v>
      </c>
      <c r="AA1269">
        <v>0</v>
      </c>
      <c r="AB1269" t="s">
        <v>103</v>
      </c>
      <c r="AC1269" t="s">
        <v>97</v>
      </c>
      <c r="AD1269" t="s">
        <v>98</v>
      </c>
      <c r="AE1269" t="s">
        <v>103</v>
      </c>
      <c r="AF1269" t="s">
        <v>97</v>
      </c>
      <c r="AG1269" t="s">
        <v>96</v>
      </c>
      <c r="AH1269" t="s">
        <v>101</v>
      </c>
      <c r="AI1269">
        <v>0</v>
      </c>
      <c r="AJ1269" t="s">
        <v>101</v>
      </c>
      <c r="AK1269">
        <v>0</v>
      </c>
      <c r="AL1269">
        <v>2002</v>
      </c>
      <c r="AM1269">
        <v>2002</v>
      </c>
      <c r="AN1269" t="s">
        <v>102</v>
      </c>
      <c r="AO1269" t="s">
        <v>103</v>
      </c>
      <c r="AP1269" t="s">
        <v>104</v>
      </c>
      <c r="AQ1269" t="s">
        <v>105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103</v>
      </c>
      <c r="BC1269">
        <v>10</v>
      </c>
      <c r="BD1269" t="s">
        <v>106</v>
      </c>
      <c r="BE1269">
        <v>1</v>
      </c>
      <c r="BF1269" t="s">
        <v>96</v>
      </c>
      <c r="BG1269" t="s">
        <v>107</v>
      </c>
      <c r="BH1269">
        <v>2009</v>
      </c>
      <c r="BI1269" t="s">
        <v>156</v>
      </c>
      <c r="BJ1269">
        <v>3</v>
      </c>
      <c r="BK1269">
        <v>746</v>
      </c>
      <c r="BL1269" t="s">
        <v>97</v>
      </c>
      <c r="BM1269" t="s">
        <v>97</v>
      </c>
      <c r="BN1269" t="s">
        <v>104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X1269">
        <v>0</v>
      </c>
      <c r="BY1269">
        <v>5</v>
      </c>
      <c r="BZ1269">
        <v>2010</v>
      </c>
      <c r="CA1269" t="s">
        <v>109</v>
      </c>
      <c r="CB1269" t="s">
        <v>110</v>
      </c>
      <c r="CC1269">
        <v>378500</v>
      </c>
    </row>
    <row r="1270" spans="1:81" x14ac:dyDescent="0.3">
      <c r="A1270">
        <v>1269</v>
      </c>
      <c r="B1270">
        <v>50</v>
      </c>
      <c r="C1270" t="s">
        <v>81</v>
      </c>
      <c r="E1270">
        <v>14100</v>
      </c>
      <c r="F1270" t="s">
        <v>82</v>
      </c>
      <c r="H1270" t="s">
        <v>119</v>
      </c>
      <c r="I1270" t="s">
        <v>84</v>
      </c>
      <c r="J1270" t="s">
        <v>85</v>
      </c>
      <c r="K1270" t="s">
        <v>86</v>
      </c>
      <c r="L1270" t="s">
        <v>193</v>
      </c>
      <c r="M1270" t="s">
        <v>122</v>
      </c>
      <c r="N1270" t="s">
        <v>89</v>
      </c>
      <c r="O1270" t="s">
        <v>89</v>
      </c>
      <c r="P1270" t="s">
        <v>90</v>
      </c>
      <c r="Q1270" t="s">
        <v>131</v>
      </c>
      <c r="R1270">
        <v>8</v>
      </c>
      <c r="S1270">
        <v>9</v>
      </c>
      <c r="T1270">
        <v>1935</v>
      </c>
      <c r="U1270">
        <v>1997</v>
      </c>
      <c r="V1270" t="s">
        <v>92</v>
      </c>
      <c r="W1270" t="s">
        <v>93</v>
      </c>
      <c r="X1270" t="s">
        <v>202</v>
      </c>
      <c r="Y1270" t="s">
        <v>202</v>
      </c>
      <c r="Z1270" t="s">
        <v>95</v>
      </c>
      <c r="AA1270">
        <v>632</v>
      </c>
      <c r="AB1270" t="s">
        <v>97</v>
      </c>
      <c r="AC1270" t="s">
        <v>96</v>
      </c>
      <c r="AD1270" t="s">
        <v>117</v>
      </c>
      <c r="AE1270" t="s">
        <v>97</v>
      </c>
      <c r="AF1270" t="s">
        <v>97</v>
      </c>
      <c r="AG1270" t="s">
        <v>120</v>
      </c>
      <c r="AH1270" t="s">
        <v>152</v>
      </c>
      <c r="AI1270">
        <v>192</v>
      </c>
      <c r="AJ1270" t="s">
        <v>101</v>
      </c>
      <c r="AK1270">
        <v>0</v>
      </c>
      <c r="AL1270">
        <v>536</v>
      </c>
      <c r="AM1270">
        <v>728</v>
      </c>
      <c r="AN1270" t="s">
        <v>102</v>
      </c>
      <c r="AO1270" t="s">
        <v>103</v>
      </c>
      <c r="AP1270" t="s">
        <v>104</v>
      </c>
      <c r="AQ1270" t="s">
        <v>105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96</v>
      </c>
      <c r="BC1270">
        <v>11</v>
      </c>
      <c r="BD1270" t="s">
        <v>106</v>
      </c>
      <c r="BE1270">
        <v>2</v>
      </c>
      <c r="BF1270" t="s">
        <v>96</v>
      </c>
      <c r="BG1270" t="s">
        <v>155</v>
      </c>
      <c r="BH1270">
        <v>1982</v>
      </c>
      <c r="BI1270" t="s">
        <v>101</v>
      </c>
      <c r="BJ1270">
        <v>3</v>
      </c>
      <c r="BK1270">
        <v>1014</v>
      </c>
      <c r="BL1270" t="s">
        <v>97</v>
      </c>
      <c r="BM1270" t="s">
        <v>97</v>
      </c>
      <c r="BN1270" t="s">
        <v>104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V1270" t="s">
        <v>162</v>
      </c>
      <c r="BX1270">
        <v>0</v>
      </c>
      <c r="BY1270">
        <v>5</v>
      </c>
      <c r="BZ1270">
        <v>2008</v>
      </c>
      <c r="CA1270" t="s">
        <v>109</v>
      </c>
      <c r="CB1270" t="s">
        <v>110</v>
      </c>
      <c r="CC1270">
        <v>381000</v>
      </c>
    </row>
    <row r="1271" spans="1:81" x14ac:dyDescent="0.3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H1271" t="s">
        <v>83</v>
      </c>
      <c r="I1271" t="s">
        <v>84</v>
      </c>
      <c r="J1271" t="s">
        <v>85</v>
      </c>
      <c r="K1271" t="s">
        <v>86</v>
      </c>
      <c r="L1271" t="s">
        <v>87</v>
      </c>
      <c r="M1271" t="s">
        <v>270</v>
      </c>
      <c r="N1271" t="s">
        <v>113</v>
      </c>
      <c r="O1271" t="s">
        <v>89</v>
      </c>
      <c r="P1271" t="s">
        <v>90</v>
      </c>
      <c r="Q1271" t="s">
        <v>131</v>
      </c>
      <c r="R1271">
        <v>5</v>
      </c>
      <c r="S1271">
        <v>5</v>
      </c>
      <c r="T1271">
        <v>1958</v>
      </c>
      <c r="U1271">
        <v>1958</v>
      </c>
      <c r="V1271" t="s">
        <v>92</v>
      </c>
      <c r="W1271" t="s">
        <v>93</v>
      </c>
      <c r="X1271" t="s">
        <v>115</v>
      </c>
      <c r="Y1271" t="s">
        <v>115</v>
      </c>
      <c r="Z1271" t="s">
        <v>95</v>
      </c>
      <c r="AA1271">
        <v>180</v>
      </c>
      <c r="AB1271" t="s">
        <v>97</v>
      </c>
      <c r="AC1271" t="s">
        <v>97</v>
      </c>
      <c r="AD1271" t="s">
        <v>117</v>
      </c>
      <c r="AE1271" t="s">
        <v>97</v>
      </c>
      <c r="AF1271" t="s">
        <v>97</v>
      </c>
      <c r="AG1271" t="s">
        <v>99</v>
      </c>
      <c r="AH1271" t="s">
        <v>140</v>
      </c>
      <c r="AI1271">
        <v>460</v>
      </c>
      <c r="AJ1271" t="s">
        <v>101</v>
      </c>
      <c r="AK1271">
        <v>0</v>
      </c>
      <c r="AL1271">
        <v>414</v>
      </c>
      <c r="AM1271">
        <v>874</v>
      </c>
      <c r="AN1271" t="s">
        <v>205</v>
      </c>
      <c r="AO1271" t="s">
        <v>97</v>
      </c>
      <c r="AP1271" t="s">
        <v>104</v>
      </c>
      <c r="AQ1271" t="s">
        <v>163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97</v>
      </c>
      <c r="BC1271">
        <v>7</v>
      </c>
      <c r="BD1271" t="s">
        <v>106</v>
      </c>
      <c r="BE1271">
        <v>0</v>
      </c>
      <c r="BG1271" t="s">
        <v>107</v>
      </c>
      <c r="BH1271">
        <v>1958</v>
      </c>
      <c r="BI1271" t="s">
        <v>101</v>
      </c>
      <c r="BJ1271">
        <v>1</v>
      </c>
      <c r="BK1271">
        <v>315</v>
      </c>
      <c r="BL1271" t="s">
        <v>97</v>
      </c>
      <c r="BM1271" t="s">
        <v>97</v>
      </c>
      <c r="BN1271" t="s">
        <v>104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 t="s">
        <v>162</v>
      </c>
      <c r="BX1271">
        <v>0</v>
      </c>
      <c r="BY1271">
        <v>7</v>
      </c>
      <c r="BZ1271">
        <v>2007</v>
      </c>
      <c r="CA1271" t="s">
        <v>109</v>
      </c>
      <c r="CB1271" t="s">
        <v>110</v>
      </c>
      <c r="CC1271">
        <v>144000</v>
      </c>
    </row>
    <row r="1272" spans="1:81" x14ac:dyDescent="0.3">
      <c r="A1272">
        <v>1271</v>
      </c>
      <c r="B1272">
        <v>40</v>
      </c>
      <c r="C1272" t="s">
        <v>81</v>
      </c>
      <c r="E1272">
        <v>23595</v>
      </c>
      <c r="F1272" t="s">
        <v>82</v>
      </c>
      <c r="H1272" t="s">
        <v>83</v>
      </c>
      <c r="I1272" t="s">
        <v>194</v>
      </c>
      <c r="J1272" t="s">
        <v>85</v>
      </c>
      <c r="K1272" t="s">
        <v>86</v>
      </c>
      <c r="L1272" t="s">
        <v>212</v>
      </c>
      <c r="M1272" t="s">
        <v>204</v>
      </c>
      <c r="N1272" t="s">
        <v>89</v>
      </c>
      <c r="O1272" t="s">
        <v>89</v>
      </c>
      <c r="P1272" t="s">
        <v>90</v>
      </c>
      <c r="Q1272" t="s">
        <v>114</v>
      </c>
      <c r="R1272">
        <v>7</v>
      </c>
      <c r="S1272">
        <v>6</v>
      </c>
      <c r="T1272">
        <v>1979</v>
      </c>
      <c r="U1272">
        <v>1979</v>
      </c>
      <c r="V1272" t="s">
        <v>134</v>
      </c>
      <c r="W1272" t="s">
        <v>222</v>
      </c>
      <c r="X1272" t="s">
        <v>160</v>
      </c>
      <c r="Y1272" t="s">
        <v>160</v>
      </c>
      <c r="Z1272" t="s">
        <v>116</v>
      </c>
      <c r="AA1272">
        <v>0</v>
      </c>
      <c r="AB1272" t="s">
        <v>96</v>
      </c>
      <c r="AC1272" t="s">
        <v>97</v>
      </c>
      <c r="AD1272" t="s">
        <v>98</v>
      </c>
      <c r="AE1272" t="s">
        <v>96</v>
      </c>
      <c r="AF1272" t="s">
        <v>97</v>
      </c>
      <c r="AG1272" t="s">
        <v>96</v>
      </c>
      <c r="AH1272" t="s">
        <v>100</v>
      </c>
      <c r="AI1272">
        <v>1258</v>
      </c>
      <c r="AJ1272" t="s">
        <v>101</v>
      </c>
      <c r="AK1272">
        <v>0</v>
      </c>
      <c r="AL1272">
        <v>74</v>
      </c>
      <c r="AM1272">
        <v>1332</v>
      </c>
      <c r="AN1272" t="s">
        <v>102</v>
      </c>
      <c r="AO1272" t="s">
        <v>97</v>
      </c>
      <c r="AP1272" t="s">
        <v>104</v>
      </c>
      <c r="AQ1272" t="s">
        <v>105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96</v>
      </c>
      <c r="BC1272">
        <v>4</v>
      </c>
      <c r="BD1272" t="s">
        <v>106</v>
      </c>
      <c r="BE1272">
        <v>1</v>
      </c>
      <c r="BF1272" t="s">
        <v>97</v>
      </c>
      <c r="BG1272" t="s">
        <v>107</v>
      </c>
      <c r="BH1272">
        <v>1979</v>
      </c>
      <c r="BI1272" t="s">
        <v>156</v>
      </c>
      <c r="BJ1272">
        <v>2</v>
      </c>
      <c r="BK1272">
        <v>586</v>
      </c>
      <c r="BL1272" t="s">
        <v>97</v>
      </c>
      <c r="BM1272" t="s">
        <v>97</v>
      </c>
      <c r="BN1272" t="s">
        <v>104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X1272">
        <v>0</v>
      </c>
      <c r="BY1272">
        <v>4</v>
      </c>
      <c r="BZ1272">
        <v>2010</v>
      </c>
      <c r="CA1272" t="s">
        <v>109</v>
      </c>
      <c r="CB1272" t="s">
        <v>110</v>
      </c>
      <c r="CC1272">
        <v>260000</v>
      </c>
    </row>
    <row r="1273" spans="1:81" x14ac:dyDescent="0.3">
      <c r="A1273">
        <v>1272</v>
      </c>
      <c r="B1273">
        <v>20</v>
      </c>
      <c r="C1273" t="s">
        <v>81</v>
      </c>
      <c r="E1273">
        <v>9156</v>
      </c>
      <c r="F1273" t="s">
        <v>82</v>
      </c>
      <c r="H1273" t="s">
        <v>119</v>
      </c>
      <c r="I1273" t="s">
        <v>84</v>
      </c>
      <c r="J1273" t="s">
        <v>85</v>
      </c>
      <c r="K1273" t="s">
        <v>86</v>
      </c>
      <c r="L1273" t="s">
        <v>87</v>
      </c>
      <c r="M1273" t="s">
        <v>137</v>
      </c>
      <c r="N1273" t="s">
        <v>138</v>
      </c>
      <c r="O1273" t="s">
        <v>89</v>
      </c>
      <c r="P1273" t="s">
        <v>90</v>
      </c>
      <c r="Q1273" t="s">
        <v>114</v>
      </c>
      <c r="R1273">
        <v>6</v>
      </c>
      <c r="S1273">
        <v>7</v>
      </c>
      <c r="T1273">
        <v>1968</v>
      </c>
      <c r="U1273">
        <v>1968</v>
      </c>
      <c r="V1273" t="s">
        <v>151</v>
      </c>
      <c r="W1273" t="s">
        <v>93</v>
      </c>
      <c r="X1273" t="s">
        <v>95</v>
      </c>
      <c r="Y1273" t="s">
        <v>95</v>
      </c>
      <c r="Z1273" t="s">
        <v>116</v>
      </c>
      <c r="AA1273">
        <v>0</v>
      </c>
      <c r="AB1273" t="s">
        <v>97</v>
      </c>
      <c r="AC1273" t="s">
        <v>97</v>
      </c>
      <c r="AD1273" t="s">
        <v>117</v>
      </c>
      <c r="AE1273" t="s">
        <v>97</v>
      </c>
      <c r="AF1273" t="s">
        <v>97</v>
      </c>
      <c r="AG1273" t="s">
        <v>99</v>
      </c>
      <c r="AH1273" t="s">
        <v>101</v>
      </c>
      <c r="AI1273">
        <v>0</v>
      </c>
      <c r="AJ1273" t="s">
        <v>101</v>
      </c>
      <c r="AK1273">
        <v>0</v>
      </c>
      <c r="AL1273">
        <v>1489</v>
      </c>
      <c r="AM1273">
        <v>1489</v>
      </c>
      <c r="AN1273" t="s">
        <v>102</v>
      </c>
      <c r="AO1273" t="s">
        <v>96</v>
      </c>
      <c r="AP1273" t="s">
        <v>104</v>
      </c>
      <c r="AQ1273" t="s">
        <v>105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96</v>
      </c>
      <c r="BC1273">
        <v>7</v>
      </c>
      <c r="BD1273" t="s">
        <v>106</v>
      </c>
      <c r="BE1273">
        <v>1</v>
      </c>
      <c r="BF1273" t="s">
        <v>96</v>
      </c>
      <c r="BG1273" t="s">
        <v>107</v>
      </c>
      <c r="BH1273">
        <v>1968</v>
      </c>
      <c r="BI1273" t="s">
        <v>108</v>
      </c>
      <c r="BJ1273">
        <v>2</v>
      </c>
      <c r="BK1273">
        <v>462</v>
      </c>
      <c r="BL1273" t="s">
        <v>97</v>
      </c>
      <c r="BM1273" t="s">
        <v>97</v>
      </c>
      <c r="BN1273" t="s">
        <v>104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X1273">
        <v>0</v>
      </c>
      <c r="BY1273">
        <v>8</v>
      </c>
      <c r="BZ1273">
        <v>2009</v>
      </c>
      <c r="CA1273" t="s">
        <v>109</v>
      </c>
      <c r="CB1273" t="s">
        <v>110</v>
      </c>
      <c r="CC1273">
        <v>185750</v>
      </c>
    </row>
    <row r="1274" spans="1:81" x14ac:dyDescent="0.3">
      <c r="A1274">
        <v>1273</v>
      </c>
      <c r="B1274">
        <v>20</v>
      </c>
      <c r="C1274" t="s">
        <v>81</v>
      </c>
      <c r="E1274">
        <v>13526</v>
      </c>
      <c r="F1274" t="s">
        <v>82</v>
      </c>
      <c r="H1274" t="s">
        <v>119</v>
      </c>
      <c r="I1274" t="s">
        <v>84</v>
      </c>
      <c r="J1274" t="s">
        <v>85</v>
      </c>
      <c r="K1274" t="s">
        <v>165</v>
      </c>
      <c r="L1274" t="s">
        <v>87</v>
      </c>
      <c r="M1274" t="s">
        <v>150</v>
      </c>
      <c r="N1274" t="s">
        <v>89</v>
      </c>
      <c r="O1274" t="s">
        <v>89</v>
      </c>
      <c r="P1274" t="s">
        <v>90</v>
      </c>
      <c r="Q1274" t="s">
        <v>114</v>
      </c>
      <c r="R1274">
        <v>5</v>
      </c>
      <c r="S1274">
        <v>6</v>
      </c>
      <c r="T1274">
        <v>1965</v>
      </c>
      <c r="U1274">
        <v>1965</v>
      </c>
      <c r="V1274" t="s">
        <v>151</v>
      </c>
      <c r="W1274" t="s">
        <v>93</v>
      </c>
      <c r="X1274" t="s">
        <v>139</v>
      </c>
      <c r="Y1274" t="s">
        <v>160</v>
      </c>
      <c r="Z1274" t="s">
        <v>95</v>
      </c>
      <c r="AA1274">
        <v>114</v>
      </c>
      <c r="AB1274" t="s">
        <v>97</v>
      </c>
      <c r="AC1274" t="s">
        <v>97</v>
      </c>
      <c r="AD1274" t="s">
        <v>117</v>
      </c>
      <c r="AE1274" t="s">
        <v>97</v>
      </c>
      <c r="AF1274" t="s">
        <v>97</v>
      </c>
      <c r="AG1274" t="s">
        <v>99</v>
      </c>
      <c r="AH1274" t="s">
        <v>140</v>
      </c>
      <c r="AI1274">
        <v>560</v>
      </c>
      <c r="AJ1274" t="s">
        <v>171</v>
      </c>
      <c r="AK1274">
        <v>375</v>
      </c>
      <c r="AL1274">
        <v>0</v>
      </c>
      <c r="AM1274">
        <v>935</v>
      </c>
      <c r="AN1274" t="s">
        <v>102</v>
      </c>
      <c r="AO1274" t="s">
        <v>97</v>
      </c>
      <c r="AP1274" t="s">
        <v>104</v>
      </c>
      <c r="AQ1274" t="s">
        <v>105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97</v>
      </c>
      <c r="BC1274">
        <v>5</v>
      </c>
      <c r="BD1274" t="s">
        <v>106</v>
      </c>
      <c r="BE1274">
        <v>0</v>
      </c>
      <c r="BG1274" t="s">
        <v>107</v>
      </c>
      <c r="BH1274">
        <v>1965</v>
      </c>
      <c r="BI1274" t="s">
        <v>101</v>
      </c>
      <c r="BJ1274">
        <v>1</v>
      </c>
      <c r="BK1274">
        <v>288</v>
      </c>
      <c r="BL1274" t="s">
        <v>97</v>
      </c>
      <c r="BM1274" t="s">
        <v>97</v>
      </c>
      <c r="BN1274" t="s">
        <v>104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V1274" t="s">
        <v>133</v>
      </c>
      <c r="BX1274">
        <v>0</v>
      </c>
      <c r="BY1274">
        <v>11</v>
      </c>
      <c r="BZ1274">
        <v>2006</v>
      </c>
      <c r="CA1274" t="s">
        <v>109</v>
      </c>
      <c r="CB1274" t="s">
        <v>110</v>
      </c>
      <c r="CC1274">
        <v>137000</v>
      </c>
    </row>
    <row r="1275" spans="1:81" x14ac:dyDescent="0.3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H1275" t="s">
        <v>119</v>
      </c>
      <c r="I1275" t="s">
        <v>84</v>
      </c>
      <c r="J1275" t="s">
        <v>85</v>
      </c>
      <c r="K1275" t="s">
        <v>121</v>
      </c>
      <c r="L1275" t="s">
        <v>87</v>
      </c>
      <c r="M1275" t="s">
        <v>184</v>
      </c>
      <c r="N1275" t="s">
        <v>89</v>
      </c>
      <c r="O1275" t="s">
        <v>89</v>
      </c>
      <c r="P1275" t="s">
        <v>90</v>
      </c>
      <c r="Q1275" t="s">
        <v>196</v>
      </c>
      <c r="R1275">
        <v>6</v>
      </c>
      <c r="S1275">
        <v>7</v>
      </c>
      <c r="T1275">
        <v>1959</v>
      </c>
      <c r="U1275">
        <v>2006</v>
      </c>
      <c r="V1275" t="s">
        <v>92</v>
      </c>
      <c r="W1275" t="s">
        <v>93</v>
      </c>
      <c r="X1275" t="s">
        <v>160</v>
      </c>
      <c r="Y1275" t="s">
        <v>160</v>
      </c>
      <c r="Z1275" t="s">
        <v>95</v>
      </c>
      <c r="AA1275">
        <v>84</v>
      </c>
      <c r="AB1275" t="s">
        <v>97</v>
      </c>
      <c r="AC1275" t="s">
        <v>97</v>
      </c>
      <c r="AD1275" t="s">
        <v>117</v>
      </c>
      <c r="AE1275" t="s">
        <v>97</v>
      </c>
      <c r="AF1275" t="s">
        <v>97</v>
      </c>
      <c r="AG1275" t="s">
        <v>129</v>
      </c>
      <c r="AH1275" t="s">
        <v>118</v>
      </c>
      <c r="AI1275">
        <v>719</v>
      </c>
      <c r="AJ1275" t="s">
        <v>101</v>
      </c>
      <c r="AK1275">
        <v>0</v>
      </c>
      <c r="AL1275">
        <v>300</v>
      </c>
      <c r="AM1275">
        <v>1019</v>
      </c>
      <c r="AN1275" t="s">
        <v>102</v>
      </c>
      <c r="AO1275" t="s">
        <v>96</v>
      </c>
      <c r="AP1275" t="s">
        <v>104</v>
      </c>
      <c r="AQ1275" t="s">
        <v>105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103</v>
      </c>
      <c r="BC1275">
        <v>5</v>
      </c>
      <c r="BD1275" t="s">
        <v>106</v>
      </c>
      <c r="BE1275">
        <v>1</v>
      </c>
      <c r="BF1275" t="s">
        <v>96</v>
      </c>
      <c r="BG1275" t="s">
        <v>208</v>
      </c>
      <c r="BH1275">
        <v>1959</v>
      </c>
      <c r="BI1275" t="s">
        <v>108</v>
      </c>
      <c r="BJ1275">
        <v>1</v>
      </c>
      <c r="BK1275">
        <v>312</v>
      </c>
      <c r="BL1275" t="s">
        <v>97</v>
      </c>
      <c r="BM1275" t="s">
        <v>97</v>
      </c>
      <c r="BN1275" t="s">
        <v>104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V1275" t="s">
        <v>164</v>
      </c>
      <c r="BX1275">
        <v>0</v>
      </c>
      <c r="BY1275">
        <v>5</v>
      </c>
      <c r="BZ1275">
        <v>2008</v>
      </c>
      <c r="CA1275" t="s">
        <v>109</v>
      </c>
      <c r="CB1275" t="s">
        <v>110</v>
      </c>
      <c r="CC1275">
        <v>177000</v>
      </c>
    </row>
    <row r="1276" spans="1:81" x14ac:dyDescent="0.3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H1276" t="s">
        <v>83</v>
      </c>
      <c r="I1276" t="s">
        <v>84</v>
      </c>
      <c r="J1276" t="s">
        <v>85</v>
      </c>
      <c r="K1276" t="s">
        <v>121</v>
      </c>
      <c r="L1276" t="s">
        <v>87</v>
      </c>
      <c r="M1276" t="s">
        <v>122</v>
      </c>
      <c r="N1276" t="s">
        <v>89</v>
      </c>
      <c r="O1276" t="s">
        <v>89</v>
      </c>
      <c r="P1276" t="s">
        <v>90</v>
      </c>
      <c r="Q1276" t="s">
        <v>131</v>
      </c>
      <c r="R1276">
        <v>5</v>
      </c>
      <c r="S1276">
        <v>6</v>
      </c>
      <c r="T1276">
        <v>1910</v>
      </c>
      <c r="U1276">
        <v>2003</v>
      </c>
      <c r="V1276" t="s">
        <v>92</v>
      </c>
      <c r="W1276" t="s">
        <v>93</v>
      </c>
      <c r="X1276" t="s">
        <v>123</v>
      </c>
      <c r="Y1276" t="s">
        <v>124</v>
      </c>
      <c r="Z1276" t="s">
        <v>116</v>
      </c>
      <c r="AA1276">
        <v>0</v>
      </c>
      <c r="AB1276" t="s">
        <v>97</v>
      </c>
      <c r="AC1276" t="s">
        <v>97</v>
      </c>
      <c r="AD1276" t="s">
        <v>98</v>
      </c>
      <c r="AE1276" t="s">
        <v>97</v>
      </c>
      <c r="AF1276" t="s">
        <v>97</v>
      </c>
      <c r="AG1276" t="s">
        <v>99</v>
      </c>
      <c r="AH1276" t="s">
        <v>101</v>
      </c>
      <c r="AI1276">
        <v>0</v>
      </c>
      <c r="AJ1276" t="s">
        <v>101</v>
      </c>
      <c r="AK1276">
        <v>0</v>
      </c>
      <c r="AL1276">
        <v>661</v>
      </c>
      <c r="AM1276">
        <v>661</v>
      </c>
      <c r="AN1276" t="s">
        <v>102</v>
      </c>
      <c r="AO1276" t="s">
        <v>103</v>
      </c>
      <c r="AP1276" t="s">
        <v>104</v>
      </c>
      <c r="AQ1276" t="s">
        <v>105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97</v>
      </c>
      <c r="BC1276">
        <v>8</v>
      </c>
      <c r="BD1276" t="s">
        <v>106</v>
      </c>
      <c r="BE1276">
        <v>1</v>
      </c>
      <c r="BF1276" t="s">
        <v>96</v>
      </c>
      <c r="BG1276" t="s">
        <v>126</v>
      </c>
      <c r="BH1276">
        <v>1985</v>
      </c>
      <c r="BI1276" t="s">
        <v>101</v>
      </c>
      <c r="BJ1276">
        <v>2</v>
      </c>
      <c r="BK1276">
        <v>552</v>
      </c>
      <c r="BL1276" t="s">
        <v>97</v>
      </c>
      <c r="BM1276" t="s">
        <v>97</v>
      </c>
      <c r="BN1276" t="s">
        <v>104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X1276">
        <v>0</v>
      </c>
      <c r="BY1276">
        <v>11</v>
      </c>
      <c r="BZ1276">
        <v>2007</v>
      </c>
      <c r="CA1276" t="s">
        <v>109</v>
      </c>
      <c r="CB1276" t="s">
        <v>110</v>
      </c>
      <c r="CC1276">
        <v>139000</v>
      </c>
    </row>
    <row r="1277" spans="1:81" x14ac:dyDescent="0.3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H1277" t="s">
        <v>83</v>
      </c>
      <c r="I1277" t="s">
        <v>84</v>
      </c>
      <c r="J1277" t="s">
        <v>85</v>
      </c>
      <c r="K1277" t="s">
        <v>121</v>
      </c>
      <c r="L1277" t="s">
        <v>87</v>
      </c>
      <c r="M1277" t="s">
        <v>270</v>
      </c>
      <c r="N1277" t="s">
        <v>113</v>
      </c>
      <c r="O1277" t="s">
        <v>89</v>
      </c>
      <c r="P1277" t="s">
        <v>166</v>
      </c>
      <c r="Q1277" t="s">
        <v>91</v>
      </c>
      <c r="R1277">
        <v>5</v>
      </c>
      <c r="S1277">
        <v>5</v>
      </c>
      <c r="T1277">
        <v>1948</v>
      </c>
      <c r="U1277">
        <v>1950</v>
      </c>
      <c r="V1277" t="s">
        <v>92</v>
      </c>
      <c r="W1277" t="s">
        <v>251</v>
      </c>
      <c r="X1277" t="s">
        <v>185</v>
      </c>
      <c r="Y1277" t="s">
        <v>185</v>
      </c>
      <c r="Z1277" t="s">
        <v>136</v>
      </c>
      <c r="AA1277">
        <v>567</v>
      </c>
      <c r="AB1277" t="s">
        <v>97</v>
      </c>
      <c r="AC1277" t="s">
        <v>97</v>
      </c>
      <c r="AD1277" t="s">
        <v>117</v>
      </c>
      <c r="AE1277" t="s">
        <v>97</v>
      </c>
      <c r="AF1277" t="s">
        <v>97</v>
      </c>
      <c r="AG1277" t="s">
        <v>99</v>
      </c>
      <c r="AH1277" t="s">
        <v>152</v>
      </c>
      <c r="AI1277">
        <v>220</v>
      </c>
      <c r="AJ1277" t="s">
        <v>101</v>
      </c>
      <c r="AK1277">
        <v>0</v>
      </c>
      <c r="AL1277">
        <v>708</v>
      </c>
      <c r="AM1277">
        <v>928</v>
      </c>
      <c r="AN1277" t="s">
        <v>102</v>
      </c>
      <c r="AO1277" t="s">
        <v>96</v>
      </c>
      <c r="AP1277" t="s">
        <v>104</v>
      </c>
      <c r="AQ1277" t="s">
        <v>163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97</v>
      </c>
      <c r="BC1277">
        <v>10</v>
      </c>
      <c r="BD1277" t="s">
        <v>106</v>
      </c>
      <c r="BE1277">
        <v>0</v>
      </c>
      <c r="BG1277" t="s">
        <v>126</v>
      </c>
      <c r="BH1277">
        <v>1948</v>
      </c>
      <c r="BI1277" t="s">
        <v>101</v>
      </c>
      <c r="BJ1277">
        <v>2</v>
      </c>
      <c r="BK1277">
        <v>400</v>
      </c>
      <c r="BL1277" t="s">
        <v>97</v>
      </c>
      <c r="BM1277" t="s">
        <v>146</v>
      </c>
      <c r="BN1277" t="s">
        <v>104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X1277">
        <v>0</v>
      </c>
      <c r="BY1277">
        <v>7</v>
      </c>
      <c r="BZ1277">
        <v>2007</v>
      </c>
      <c r="CA1277" t="s">
        <v>109</v>
      </c>
      <c r="CB1277" t="s">
        <v>110</v>
      </c>
      <c r="CC1277">
        <v>137000</v>
      </c>
    </row>
    <row r="1278" spans="1:81" x14ac:dyDescent="0.3">
      <c r="A1278">
        <v>1277</v>
      </c>
      <c r="B1278">
        <v>60</v>
      </c>
      <c r="C1278" t="s">
        <v>81</v>
      </c>
      <c r="E1278">
        <v>12936</v>
      </c>
      <c r="F1278" t="s">
        <v>82</v>
      </c>
      <c r="H1278" t="s">
        <v>119</v>
      </c>
      <c r="I1278" t="s">
        <v>84</v>
      </c>
      <c r="J1278" t="s">
        <v>85</v>
      </c>
      <c r="K1278" t="s">
        <v>165</v>
      </c>
      <c r="L1278" t="s">
        <v>87</v>
      </c>
      <c r="M1278" t="s">
        <v>137</v>
      </c>
      <c r="N1278" t="s">
        <v>89</v>
      </c>
      <c r="O1278" t="s">
        <v>89</v>
      </c>
      <c r="P1278" t="s">
        <v>90</v>
      </c>
      <c r="Q1278" t="s">
        <v>91</v>
      </c>
      <c r="R1278">
        <v>6</v>
      </c>
      <c r="S1278">
        <v>6</v>
      </c>
      <c r="T1278">
        <v>1972</v>
      </c>
      <c r="U1278">
        <v>1972</v>
      </c>
      <c r="V1278" t="s">
        <v>92</v>
      </c>
      <c r="W1278" t="s">
        <v>93</v>
      </c>
      <c r="X1278" t="s">
        <v>139</v>
      </c>
      <c r="Y1278" t="s">
        <v>160</v>
      </c>
      <c r="Z1278" t="s">
        <v>116</v>
      </c>
      <c r="AA1278">
        <v>0</v>
      </c>
      <c r="AB1278" t="s">
        <v>97</v>
      </c>
      <c r="AC1278" t="s">
        <v>97</v>
      </c>
      <c r="AD1278" t="s">
        <v>117</v>
      </c>
      <c r="AE1278" t="s">
        <v>97</v>
      </c>
      <c r="AF1278" t="s">
        <v>96</v>
      </c>
      <c r="AG1278" t="s">
        <v>99</v>
      </c>
      <c r="AH1278" t="s">
        <v>140</v>
      </c>
      <c r="AI1278">
        <v>593</v>
      </c>
      <c r="AJ1278" t="s">
        <v>101</v>
      </c>
      <c r="AK1278">
        <v>0</v>
      </c>
      <c r="AL1278">
        <v>130</v>
      </c>
      <c r="AM1278">
        <v>723</v>
      </c>
      <c r="AN1278" t="s">
        <v>102</v>
      </c>
      <c r="AO1278" t="s">
        <v>97</v>
      </c>
      <c r="AP1278" t="s">
        <v>104</v>
      </c>
      <c r="AQ1278" t="s">
        <v>105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97</v>
      </c>
      <c r="BC1278">
        <v>6</v>
      </c>
      <c r="BD1278" t="s">
        <v>106</v>
      </c>
      <c r="BE1278">
        <v>1</v>
      </c>
      <c r="BF1278" t="s">
        <v>97</v>
      </c>
      <c r="BG1278" t="s">
        <v>107</v>
      </c>
      <c r="BH1278">
        <v>1972</v>
      </c>
      <c r="BI1278" t="s">
        <v>101</v>
      </c>
      <c r="BJ1278">
        <v>2</v>
      </c>
      <c r="BK1278">
        <v>497</v>
      </c>
      <c r="BL1278" t="s">
        <v>97</v>
      </c>
      <c r="BM1278" t="s">
        <v>97</v>
      </c>
      <c r="BN1278" t="s">
        <v>104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X1278">
        <v>0</v>
      </c>
      <c r="BY1278">
        <v>12</v>
      </c>
      <c r="BZ1278">
        <v>2009</v>
      </c>
      <c r="CA1278" t="s">
        <v>109</v>
      </c>
      <c r="CB1278" t="s">
        <v>110</v>
      </c>
      <c r="CC1278">
        <v>162000</v>
      </c>
    </row>
    <row r="1279" spans="1:81" x14ac:dyDescent="0.3">
      <c r="A1279">
        <v>1278</v>
      </c>
      <c r="B1279">
        <v>80</v>
      </c>
      <c r="C1279" t="s">
        <v>81</v>
      </c>
      <c r="E1279">
        <v>17871</v>
      </c>
      <c r="F1279" t="s">
        <v>82</v>
      </c>
      <c r="H1279" t="s">
        <v>119</v>
      </c>
      <c r="I1279" t="s">
        <v>84</v>
      </c>
      <c r="J1279" t="s">
        <v>85</v>
      </c>
      <c r="K1279" t="s">
        <v>165</v>
      </c>
      <c r="L1279" t="s">
        <v>87</v>
      </c>
      <c r="M1279" t="s">
        <v>137</v>
      </c>
      <c r="N1279" t="s">
        <v>89</v>
      </c>
      <c r="O1279" t="s">
        <v>89</v>
      </c>
      <c r="P1279" t="s">
        <v>90</v>
      </c>
      <c r="Q1279" t="s">
        <v>196</v>
      </c>
      <c r="R1279">
        <v>6</v>
      </c>
      <c r="S1279">
        <v>5</v>
      </c>
      <c r="T1279">
        <v>1967</v>
      </c>
      <c r="U1279">
        <v>1976</v>
      </c>
      <c r="V1279" t="s">
        <v>92</v>
      </c>
      <c r="W1279" t="s">
        <v>93</v>
      </c>
      <c r="X1279" t="s">
        <v>139</v>
      </c>
      <c r="Y1279" t="s">
        <v>139</v>
      </c>
      <c r="Z1279" t="s">
        <v>95</v>
      </c>
      <c r="AA1279">
        <v>359</v>
      </c>
      <c r="AB1279" t="s">
        <v>97</v>
      </c>
      <c r="AC1279" t="s">
        <v>97</v>
      </c>
      <c r="AD1279" t="s">
        <v>117</v>
      </c>
      <c r="AE1279" t="s">
        <v>96</v>
      </c>
      <c r="AF1279" t="s">
        <v>97</v>
      </c>
      <c r="AG1279" t="s">
        <v>129</v>
      </c>
      <c r="AH1279" t="s">
        <v>118</v>
      </c>
      <c r="AI1279">
        <v>528</v>
      </c>
      <c r="AJ1279" t="s">
        <v>101</v>
      </c>
      <c r="AK1279">
        <v>0</v>
      </c>
      <c r="AL1279">
        <v>1152</v>
      </c>
      <c r="AM1279">
        <v>1680</v>
      </c>
      <c r="AN1279" t="s">
        <v>102</v>
      </c>
      <c r="AO1279" t="s">
        <v>146</v>
      </c>
      <c r="AP1279" t="s">
        <v>104</v>
      </c>
      <c r="AQ1279" t="s">
        <v>105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97</v>
      </c>
      <c r="BC1279">
        <v>7</v>
      </c>
      <c r="BD1279" t="s">
        <v>106</v>
      </c>
      <c r="BE1279">
        <v>1</v>
      </c>
      <c r="BF1279" t="s">
        <v>96</v>
      </c>
      <c r="BG1279" t="s">
        <v>107</v>
      </c>
      <c r="BH1279">
        <v>1967</v>
      </c>
      <c r="BI1279" t="s">
        <v>108</v>
      </c>
      <c r="BJ1279">
        <v>2</v>
      </c>
      <c r="BK1279">
        <v>480</v>
      </c>
      <c r="BL1279" t="s">
        <v>97</v>
      </c>
      <c r="BM1279" t="s">
        <v>97</v>
      </c>
      <c r="BN1279" t="s">
        <v>104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X1279">
        <v>0</v>
      </c>
      <c r="BY1279">
        <v>6</v>
      </c>
      <c r="BZ1279">
        <v>2009</v>
      </c>
      <c r="CA1279" t="s">
        <v>109</v>
      </c>
      <c r="CB1279" t="s">
        <v>110</v>
      </c>
      <c r="CC1279">
        <v>197900</v>
      </c>
    </row>
    <row r="1280" spans="1:81" x14ac:dyDescent="0.3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H1280" t="s">
        <v>83</v>
      </c>
      <c r="I1280" t="s">
        <v>84</v>
      </c>
      <c r="J1280" t="s">
        <v>85</v>
      </c>
      <c r="K1280" t="s">
        <v>86</v>
      </c>
      <c r="L1280" t="s">
        <v>87</v>
      </c>
      <c r="M1280" t="s">
        <v>88</v>
      </c>
      <c r="N1280" t="s">
        <v>89</v>
      </c>
      <c r="O1280" t="s">
        <v>89</v>
      </c>
      <c r="P1280" t="s">
        <v>90</v>
      </c>
      <c r="Q1280" t="s">
        <v>91</v>
      </c>
      <c r="R1280">
        <v>8</v>
      </c>
      <c r="S1280">
        <v>5</v>
      </c>
      <c r="T1280">
        <v>2002</v>
      </c>
      <c r="U1280">
        <v>2002</v>
      </c>
      <c r="V1280" t="s">
        <v>92</v>
      </c>
      <c r="W1280" t="s">
        <v>93</v>
      </c>
      <c r="X1280" t="s">
        <v>94</v>
      </c>
      <c r="Y1280" t="s">
        <v>94</v>
      </c>
      <c r="AB1280" t="s">
        <v>96</v>
      </c>
      <c r="AC1280" t="s">
        <v>97</v>
      </c>
      <c r="AD1280" t="s">
        <v>98</v>
      </c>
      <c r="AE1280" t="s">
        <v>96</v>
      </c>
      <c r="AF1280" t="s">
        <v>97</v>
      </c>
      <c r="AG1280" t="s">
        <v>99</v>
      </c>
      <c r="AH1280" t="s">
        <v>100</v>
      </c>
      <c r="AI1280">
        <v>804</v>
      </c>
      <c r="AJ1280" t="s">
        <v>101</v>
      </c>
      <c r="AK1280">
        <v>0</v>
      </c>
      <c r="AL1280">
        <v>324</v>
      </c>
      <c r="AM1280">
        <v>1128</v>
      </c>
      <c r="AN1280" t="s">
        <v>102</v>
      </c>
      <c r="AO1280" t="s">
        <v>103</v>
      </c>
      <c r="AP1280" t="s">
        <v>104</v>
      </c>
      <c r="AQ1280" t="s">
        <v>105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96</v>
      </c>
      <c r="BC1280">
        <v>7</v>
      </c>
      <c r="BD1280" t="s">
        <v>106</v>
      </c>
      <c r="BE1280">
        <v>1</v>
      </c>
      <c r="BF1280" t="s">
        <v>96</v>
      </c>
      <c r="BG1280" t="s">
        <v>107</v>
      </c>
      <c r="BH1280">
        <v>2002</v>
      </c>
      <c r="BI1280" t="s">
        <v>108</v>
      </c>
      <c r="BJ1280">
        <v>2</v>
      </c>
      <c r="BK1280">
        <v>577</v>
      </c>
      <c r="BL1280" t="s">
        <v>97</v>
      </c>
      <c r="BM1280" t="s">
        <v>97</v>
      </c>
      <c r="BN1280" t="s">
        <v>104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X1280">
        <v>0</v>
      </c>
      <c r="BY1280">
        <v>3</v>
      </c>
      <c r="BZ1280">
        <v>2008</v>
      </c>
      <c r="CA1280" t="s">
        <v>109</v>
      </c>
      <c r="CB1280" t="s">
        <v>110</v>
      </c>
      <c r="CC1280">
        <v>237000</v>
      </c>
    </row>
    <row r="1281" spans="1:81" x14ac:dyDescent="0.3">
      <c r="A1281">
        <v>1280</v>
      </c>
      <c r="B1281">
        <v>50</v>
      </c>
      <c r="C1281" t="s">
        <v>182</v>
      </c>
      <c r="D1281">
        <v>60</v>
      </c>
      <c r="E1281">
        <v>7500</v>
      </c>
      <c r="F1281" t="s">
        <v>82</v>
      </c>
      <c r="H1281" t="s">
        <v>83</v>
      </c>
      <c r="I1281" t="s">
        <v>84</v>
      </c>
      <c r="J1281" t="s">
        <v>85</v>
      </c>
      <c r="K1281" t="s">
        <v>86</v>
      </c>
      <c r="L1281" t="s">
        <v>87</v>
      </c>
      <c r="M1281" t="s">
        <v>175</v>
      </c>
      <c r="N1281" t="s">
        <v>89</v>
      </c>
      <c r="O1281" t="s">
        <v>89</v>
      </c>
      <c r="P1281" t="s">
        <v>90</v>
      </c>
      <c r="Q1281" t="s">
        <v>131</v>
      </c>
      <c r="R1281">
        <v>4</v>
      </c>
      <c r="S1281">
        <v>4</v>
      </c>
      <c r="T1281">
        <v>1920</v>
      </c>
      <c r="U1281">
        <v>1950</v>
      </c>
      <c r="V1281" t="s">
        <v>92</v>
      </c>
      <c r="W1281" t="s">
        <v>93</v>
      </c>
      <c r="X1281" t="s">
        <v>115</v>
      </c>
      <c r="Y1281" t="s">
        <v>115</v>
      </c>
      <c r="Z1281" t="s">
        <v>116</v>
      </c>
      <c r="AA1281">
        <v>0</v>
      </c>
      <c r="AB1281" t="s">
        <v>97</v>
      </c>
      <c r="AC1281" t="s">
        <v>96</v>
      </c>
      <c r="AD1281" t="s">
        <v>117</v>
      </c>
      <c r="AE1281" t="s">
        <v>97</v>
      </c>
      <c r="AF1281" t="s">
        <v>97</v>
      </c>
      <c r="AG1281" t="s">
        <v>99</v>
      </c>
      <c r="AH1281" t="s">
        <v>101</v>
      </c>
      <c r="AI1281">
        <v>0</v>
      </c>
      <c r="AJ1281" t="s">
        <v>101</v>
      </c>
      <c r="AK1281">
        <v>0</v>
      </c>
      <c r="AL1281">
        <v>698</v>
      </c>
      <c r="AM1281">
        <v>698</v>
      </c>
      <c r="AN1281" t="s">
        <v>102</v>
      </c>
      <c r="AO1281" t="s">
        <v>97</v>
      </c>
      <c r="AP1281" t="s">
        <v>104</v>
      </c>
      <c r="AQ1281" t="s">
        <v>163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97</v>
      </c>
      <c r="BC1281">
        <v>6</v>
      </c>
      <c r="BD1281" t="s">
        <v>106</v>
      </c>
      <c r="BE1281">
        <v>0</v>
      </c>
      <c r="BG1281" t="s">
        <v>126</v>
      </c>
      <c r="BH1281">
        <v>1980</v>
      </c>
      <c r="BI1281" t="s">
        <v>108</v>
      </c>
      <c r="BJ1281">
        <v>2</v>
      </c>
      <c r="BK1281">
        <v>528</v>
      </c>
      <c r="BL1281" t="s">
        <v>97</v>
      </c>
      <c r="BM1281" t="s">
        <v>97</v>
      </c>
      <c r="BN1281" t="s">
        <v>104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X1281">
        <v>0</v>
      </c>
      <c r="BY1281">
        <v>4</v>
      </c>
      <c r="BZ1281">
        <v>2010</v>
      </c>
      <c r="CA1281" t="s">
        <v>172</v>
      </c>
      <c r="CB1281" t="s">
        <v>127</v>
      </c>
      <c r="CC1281">
        <v>68400</v>
      </c>
    </row>
    <row r="1282" spans="1:81" x14ac:dyDescent="0.3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H1282" t="s">
        <v>119</v>
      </c>
      <c r="I1282" t="s">
        <v>84</v>
      </c>
      <c r="J1282" t="s">
        <v>85</v>
      </c>
      <c r="K1282" t="s">
        <v>86</v>
      </c>
      <c r="L1282" t="s">
        <v>87</v>
      </c>
      <c r="M1282" t="s">
        <v>88</v>
      </c>
      <c r="N1282" t="s">
        <v>89</v>
      </c>
      <c r="O1282" t="s">
        <v>89</v>
      </c>
      <c r="P1282" t="s">
        <v>90</v>
      </c>
      <c r="Q1282" t="s">
        <v>114</v>
      </c>
      <c r="R1282">
        <v>7</v>
      </c>
      <c r="S1282">
        <v>5</v>
      </c>
      <c r="T1282">
        <v>2002</v>
      </c>
      <c r="U1282">
        <v>2002</v>
      </c>
      <c r="V1282" t="s">
        <v>92</v>
      </c>
      <c r="W1282" t="s">
        <v>93</v>
      </c>
      <c r="X1282" t="s">
        <v>94</v>
      </c>
      <c r="Y1282" t="s">
        <v>94</v>
      </c>
      <c r="Z1282" t="s">
        <v>95</v>
      </c>
      <c r="AA1282">
        <v>110</v>
      </c>
      <c r="AB1282" t="s">
        <v>96</v>
      </c>
      <c r="AC1282" t="s">
        <v>97</v>
      </c>
      <c r="AD1282" t="s">
        <v>98</v>
      </c>
      <c r="AE1282" t="s">
        <v>96</v>
      </c>
      <c r="AF1282" t="s">
        <v>97</v>
      </c>
      <c r="AG1282" t="s">
        <v>99</v>
      </c>
      <c r="AH1282" t="s">
        <v>100</v>
      </c>
      <c r="AI1282">
        <v>788</v>
      </c>
      <c r="AJ1282" t="s">
        <v>101</v>
      </c>
      <c r="AK1282">
        <v>0</v>
      </c>
      <c r="AL1282">
        <v>785</v>
      </c>
      <c r="AM1282">
        <v>1573</v>
      </c>
      <c r="AN1282" t="s">
        <v>102</v>
      </c>
      <c r="AO1282" t="s">
        <v>103</v>
      </c>
      <c r="AP1282" t="s">
        <v>104</v>
      </c>
      <c r="AQ1282" t="s">
        <v>105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96</v>
      </c>
      <c r="BC1282">
        <v>6</v>
      </c>
      <c r="BD1282" t="s">
        <v>106</v>
      </c>
      <c r="BE1282">
        <v>0</v>
      </c>
      <c r="BG1282" t="s">
        <v>107</v>
      </c>
      <c r="BH1282">
        <v>2002</v>
      </c>
      <c r="BI1282" t="s">
        <v>108</v>
      </c>
      <c r="BJ1282">
        <v>2</v>
      </c>
      <c r="BK1282">
        <v>544</v>
      </c>
      <c r="BL1282" t="s">
        <v>97</v>
      </c>
      <c r="BM1282" t="s">
        <v>97</v>
      </c>
      <c r="BN1282" t="s">
        <v>104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X1282">
        <v>0</v>
      </c>
      <c r="BY1282">
        <v>3</v>
      </c>
      <c r="BZ1282">
        <v>2009</v>
      </c>
      <c r="CA1282" t="s">
        <v>109</v>
      </c>
      <c r="CB1282" t="s">
        <v>110</v>
      </c>
      <c r="CC1282">
        <v>227000</v>
      </c>
    </row>
    <row r="1283" spans="1:81" x14ac:dyDescent="0.3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H1283" t="s">
        <v>119</v>
      </c>
      <c r="I1283" t="s">
        <v>84</v>
      </c>
      <c r="J1283" t="s">
        <v>85</v>
      </c>
      <c r="K1283" t="s">
        <v>165</v>
      </c>
      <c r="L1283" t="s">
        <v>87</v>
      </c>
      <c r="M1283" t="s">
        <v>188</v>
      </c>
      <c r="N1283" t="s">
        <v>89</v>
      </c>
      <c r="O1283" t="s">
        <v>89</v>
      </c>
      <c r="P1283" t="s">
        <v>90</v>
      </c>
      <c r="Q1283" t="s">
        <v>114</v>
      </c>
      <c r="R1283">
        <v>7</v>
      </c>
      <c r="S1283">
        <v>5</v>
      </c>
      <c r="T1283">
        <v>1990</v>
      </c>
      <c r="U1283">
        <v>1990</v>
      </c>
      <c r="V1283" t="s">
        <v>151</v>
      </c>
      <c r="W1283" t="s">
        <v>93</v>
      </c>
      <c r="X1283" t="s">
        <v>139</v>
      </c>
      <c r="Y1283" t="s">
        <v>139</v>
      </c>
      <c r="Z1283" t="s">
        <v>95</v>
      </c>
      <c r="AA1283">
        <v>54</v>
      </c>
      <c r="AB1283" t="s">
        <v>97</v>
      </c>
      <c r="AC1283" t="s">
        <v>97</v>
      </c>
      <c r="AD1283" t="s">
        <v>117</v>
      </c>
      <c r="AE1283" t="s">
        <v>96</v>
      </c>
      <c r="AF1283" t="s">
        <v>97</v>
      </c>
      <c r="AG1283" t="s">
        <v>99</v>
      </c>
      <c r="AH1283" t="s">
        <v>118</v>
      </c>
      <c r="AI1283">
        <v>1053</v>
      </c>
      <c r="AJ1283" t="s">
        <v>101</v>
      </c>
      <c r="AK1283">
        <v>0</v>
      </c>
      <c r="AL1283">
        <v>256</v>
      </c>
      <c r="AM1283">
        <v>1309</v>
      </c>
      <c r="AN1283" t="s">
        <v>102</v>
      </c>
      <c r="AO1283" t="s">
        <v>97</v>
      </c>
      <c r="AP1283" t="s">
        <v>104</v>
      </c>
      <c r="AQ1283" t="s">
        <v>105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97</v>
      </c>
      <c r="BC1283">
        <v>6</v>
      </c>
      <c r="BD1283" t="s">
        <v>106</v>
      </c>
      <c r="BE1283">
        <v>1</v>
      </c>
      <c r="BF1283" t="s">
        <v>97</v>
      </c>
      <c r="BG1283" t="s">
        <v>107</v>
      </c>
      <c r="BH1283">
        <v>1990</v>
      </c>
      <c r="BI1283" t="s">
        <v>156</v>
      </c>
      <c r="BJ1283">
        <v>2</v>
      </c>
      <c r="BK1283">
        <v>484</v>
      </c>
      <c r="BL1283" t="s">
        <v>96</v>
      </c>
      <c r="BM1283" t="s">
        <v>96</v>
      </c>
      <c r="BN1283" t="s">
        <v>104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X1283">
        <v>0</v>
      </c>
      <c r="BY1283">
        <v>7</v>
      </c>
      <c r="BZ1283">
        <v>2006</v>
      </c>
      <c r="CA1283" t="s">
        <v>109</v>
      </c>
      <c r="CB1283" t="s">
        <v>110</v>
      </c>
      <c r="CC1283">
        <v>180000</v>
      </c>
    </row>
    <row r="1284" spans="1:81" x14ac:dyDescent="0.3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H1284" t="s">
        <v>119</v>
      </c>
      <c r="I1284" t="s">
        <v>84</v>
      </c>
      <c r="J1284" t="s">
        <v>85</v>
      </c>
      <c r="K1284" t="s">
        <v>86</v>
      </c>
      <c r="L1284" t="s">
        <v>87</v>
      </c>
      <c r="M1284" t="s">
        <v>88</v>
      </c>
      <c r="N1284" t="s">
        <v>89</v>
      </c>
      <c r="O1284" t="s">
        <v>89</v>
      </c>
      <c r="P1284" t="s">
        <v>90</v>
      </c>
      <c r="Q1284" t="s">
        <v>114</v>
      </c>
      <c r="R1284">
        <v>5</v>
      </c>
      <c r="S1284">
        <v>7</v>
      </c>
      <c r="T1284">
        <v>1977</v>
      </c>
      <c r="U1284">
        <v>2008</v>
      </c>
      <c r="V1284" t="s">
        <v>92</v>
      </c>
      <c r="W1284" t="s">
        <v>93</v>
      </c>
      <c r="X1284" t="s">
        <v>139</v>
      </c>
      <c r="Y1284" t="s">
        <v>139</v>
      </c>
      <c r="Z1284" t="s">
        <v>116</v>
      </c>
      <c r="AA1284">
        <v>0</v>
      </c>
      <c r="AB1284" t="s">
        <v>97</v>
      </c>
      <c r="AC1284" t="s">
        <v>97</v>
      </c>
      <c r="AD1284" t="s">
        <v>117</v>
      </c>
      <c r="AE1284" t="s">
        <v>96</v>
      </c>
      <c r="AF1284" t="s">
        <v>97</v>
      </c>
      <c r="AG1284" t="s">
        <v>120</v>
      </c>
      <c r="AH1284" t="s">
        <v>171</v>
      </c>
      <c r="AI1284">
        <v>532</v>
      </c>
      <c r="AJ1284" t="s">
        <v>152</v>
      </c>
      <c r="AK1284">
        <v>144</v>
      </c>
      <c r="AL1284">
        <v>364</v>
      </c>
      <c r="AM1284">
        <v>1040</v>
      </c>
      <c r="AN1284" t="s">
        <v>102</v>
      </c>
      <c r="AO1284" t="s">
        <v>97</v>
      </c>
      <c r="AP1284" t="s">
        <v>104</v>
      </c>
      <c r="AQ1284" t="s">
        <v>105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96</v>
      </c>
      <c r="BC1284">
        <v>5</v>
      </c>
      <c r="BD1284" t="s">
        <v>106</v>
      </c>
      <c r="BE1284">
        <v>0</v>
      </c>
      <c r="BG1284" t="s">
        <v>126</v>
      </c>
      <c r="BH1284">
        <v>1977</v>
      </c>
      <c r="BI1284" t="s">
        <v>101</v>
      </c>
      <c r="BJ1284">
        <v>2</v>
      </c>
      <c r="BK1284">
        <v>484</v>
      </c>
      <c r="BL1284" t="s">
        <v>97</v>
      </c>
      <c r="BM1284" t="s">
        <v>97</v>
      </c>
      <c r="BN1284" t="s">
        <v>104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X1284">
        <v>0</v>
      </c>
      <c r="BY1284">
        <v>9</v>
      </c>
      <c r="BZ1284">
        <v>2009</v>
      </c>
      <c r="CA1284" t="s">
        <v>109</v>
      </c>
      <c r="CB1284" t="s">
        <v>110</v>
      </c>
      <c r="CC1284">
        <v>150500</v>
      </c>
    </row>
    <row r="1285" spans="1:81" x14ac:dyDescent="0.3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H1285" t="s">
        <v>83</v>
      </c>
      <c r="I1285" t="s">
        <v>194</v>
      </c>
      <c r="J1285" t="s">
        <v>85</v>
      </c>
      <c r="K1285" t="s">
        <v>121</v>
      </c>
      <c r="L1285" t="s">
        <v>87</v>
      </c>
      <c r="M1285" t="s">
        <v>130</v>
      </c>
      <c r="N1285" t="s">
        <v>89</v>
      </c>
      <c r="O1285" t="s">
        <v>89</v>
      </c>
      <c r="P1285" t="s">
        <v>166</v>
      </c>
      <c r="Q1285" t="s">
        <v>91</v>
      </c>
      <c r="R1285">
        <v>6</v>
      </c>
      <c r="S1285">
        <v>5</v>
      </c>
      <c r="T1285">
        <v>1971</v>
      </c>
      <c r="U1285">
        <v>1971</v>
      </c>
      <c r="V1285" t="s">
        <v>210</v>
      </c>
      <c r="W1285" t="s">
        <v>93</v>
      </c>
      <c r="X1285" t="s">
        <v>115</v>
      </c>
      <c r="Y1285" t="s">
        <v>124</v>
      </c>
      <c r="Z1285" t="s">
        <v>116</v>
      </c>
      <c r="AA1285">
        <v>0</v>
      </c>
      <c r="AB1285" t="s">
        <v>97</v>
      </c>
      <c r="AC1285" t="s">
        <v>97</v>
      </c>
      <c r="AD1285" t="s">
        <v>117</v>
      </c>
      <c r="AE1285" t="s">
        <v>97</v>
      </c>
      <c r="AF1285" t="s">
        <v>97</v>
      </c>
      <c r="AG1285" t="s">
        <v>129</v>
      </c>
      <c r="AH1285" t="s">
        <v>101</v>
      </c>
      <c r="AI1285">
        <v>0</v>
      </c>
      <c r="AJ1285" t="s">
        <v>101</v>
      </c>
      <c r="AK1285">
        <v>0</v>
      </c>
      <c r="AL1285">
        <v>912</v>
      </c>
      <c r="AM1285">
        <v>912</v>
      </c>
      <c r="AN1285" t="s">
        <v>102</v>
      </c>
      <c r="AO1285" t="s">
        <v>97</v>
      </c>
      <c r="AP1285" t="s">
        <v>104</v>
      </c>
      <c r="AQ1285" t="s">
        <v>105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97</v>
      </c>
      <c r="BC1285">
        <v>8</v>
      </c>
      <c r="BD1285" t="s">
        <v>106</v>
      </c>
      <c r="BE1285">
        <v>0</v>
      </c>
      <c r="BJ1285">
        <v>0</v>
      </c>
      <c r="BK1285">
        <v>0</v>
      </c>
      <c r="BN1285" t="s">
        <v>104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X1285">
        <v>0</v>
      </c>
      <c r="BY1285">
        <v>4</v>
      </c>
      <c r="BZ1285">
        <v>2010</v>
      </c>
      <c r="CA1285" t="s">
        <v>109</v>
      </c>
      <c r="CB1285" t="s">
        <v>110</v>
      </c>
      <c r="CC1285">
        <v>139000</v>
      </c>
    </row>
    <row r="1286" spans="1:81" x14ac:dyDescent="0.3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H1286" t="s">
        <v>83</v>
      </c>
      <c r="I1286" t="s">
        <v>84</v>
      </c>
      <c r="J1286" t="s">
        <v>85</v>
      </c>
      <c r="K1286" t="s">
        <v>86</v>
      </c>
      <c r="L1286" t="s">
        <v>87</v>
      </c>
      <c r="M1286" t="s">
        <v>231</v>
      </c>
      <c r="N1286" t="s">
        <v>113</v>
      </c>
      <c r="O1286" t="s">
        <v>89</v>
      </c>
      <c r="P1286" t="s">
        <v>90</v>
      </c>
      <c r="Q1286" t="s">
        <v>131</v>
      </c>
      <c r="R1286">
        <v>6</v>
      </c>
      <c r="S1286">
        <v>7</v>
      </c>
      <c r="T1286">
        <v>1919</v>
      </c>
      <c r="U1286">
        <v>1990</v>
      </c>
      <c r="V1286" t="s">
        <v>92</v>
      </c>
      <c r="W1286" t="s">
        <v>93</v>
      </c>
      <c r="X1286" t="s">
        <v>123</v>
      </c>
      <c r="Y1286" t="s">
        <v>124</v>
      </c>
      <c r="Z1286" t="s">
        <v>116</v>
      </c>
      <c r="AA1286">
        <v>0</v>
      </c>
      <c r="AB1286" t="s">
        <v>97</v>
      </c>
      <c r="AC1286" t="s">
        <v>97</v>
      </c>
      <c r="AD1286" t="s">
        <v>98</v>
      </c>
      <c r="AE1286" t="s">
        <v>97</v>
      </c>
      <c r="AF1286" t="s">
        <v>97</v>
      </c>
      <c r="AG1286" t="s">
        <v>99</v>
      </c>
      <c r="AH1286" t="s">
        <v>101</v>
      </c>
      <c r="AI1286">
        <v>0</v>
      </c>
      <c r="AJ1286" t="s">
        <v>101</v>
      </c>
      <c r="AK1286">
        <v>0</v>
      </c>
      <c r="AL1286">
        <v>804</v>
      </c>
      <c r="AM1286">
        <v>804</v>
      </c>
      <c r="AN1286" t="s">
        <v>102</v>
      </c>
      <c r="AO1286" t="s">
        <v>103</v>
      </c>
      <c r="AP1286" t="s">
        <v>104</v>
      </c>
      <c r="AQ1286" t="s">
        <v>105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96</v>
      </c>
      <c r="BC1286">
        <v>10</v>
      </c>
      <c r="BD1286" t="s">
        <v>223</v>
      </c>
      <c r="BE1286">
        <v>1</v>
      </c>
      <c r="BF1286" t="s">
        <v>96</v>
      </c>
      <c r="BG1286" t="s">
        <v>126</v>
      </c>
      <c r="BH1286">
        <v>1969</v>
      </c>
      <c r="BI1286" t="s">
        <v>101</v>
      </c>
      <c r="BJ1286">
        <v>1</v>
      </c>
      <c r="BK1286">
        <v>336</v>
      </c>
      <c r="BL1286" t="s">
        <v>97</v>
      </c>
      <c r="BM1286" t="s">
        <v>97</v>
      </c>
      <c r="BN1286" t="s">
        <v>104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X1286">
        <v>0</v>
      </c>
      <c r="BY1286">
        <v>3</v>
      </c>
      <c r="BZ1286">
        <v>2010</v>
      </c>
      <c r="CA1286" t="s">
        <v>109</v>
      </c>
      <c r="CB1286" t="s">
        <v>110</v>
      </c>
      <c r="CC1286">
        <v>169000</v>
      </c>
    </row>
    <row r="1287" spans="1:81" x14ac:dyDescent="0.3">
      <c r="A1287">
        <v>1286</v>
      </c>
      <c r="B1287">
        <v>50</v>
      </c>
      <c r="C1287" t="s">
        <v>141</v>
      </c>
      <c r="D1287">
        <v>50</v>
      </c>
      <c r="E1287">
        <v>6000</v>
      </c>
      <c r="F1287" t="s">
        <v>82</v>
      </c>
      <c r="H1287" t="s">
        <v>83</v>
      </c>
      <c r="I1287" t="s">
        <v>84</v>
      </c>
      <c r="J1287" t="s">
        <v>85</v>
      </c>
      <c r="K1287" t="s">
        <v>86</v>
      </c>
      <c r="L1287" t="s">
        <v>87</v>
      </c>
      <c r="M1287" t="s">
        <v>147</v>
      </c>
      <c r="N1287" t="s">
        <v>89</v>
      </c>
      <c r="O1287" t="s">
        <v>89</v>
      </c>
      <c r="P1287" t="s">
        <v>90</v>
      </c>
      <c r="Q1287" t="s">
        <v>131</v>
      </c>
      <c r="R1287">
        <v>6</v>
      </c>
      <c r="S1287">
        <v>6</v>
      </c>
      <c r="T1287">
        <v>1939</v>
      </c>
      <c r="U1287">
        <v>1950</v>
      </c>
      <c r="V1287" t="s">
        <v>92</v>
      </c>
      <c r="W1287" t="s">
        <v>93</v>
      </c>
      <c r="X1287" t="s">
        <v>115</v>
      </c>
      <c r="Y1287" t="s">
        <v>115</v>
      </c>
      <c r="Z1287" t="s">
        <v>116</v>
      </c>
      <c r="AA1287">
        <v>0</v>
      </c>
      <c r="AB1287" t="s">
        <v>97</v>
      </c>
      <c r="AC1287" t="s">
        <v>146</v>
      </c>
      <c r="AD1287" t="s">
        <v>117</v>
      </c>
      <c r="AE1287" t="s">
        <v>97</v>
      </c>
      <c r="AF1287" t="s">
        <v>97</v>
      </c>
      <c r="AG1287" t="s">
        <v>99</v>
      </c>
      <c r="AH1287" t="s">
        <v>101</v>
      </c>
      <c r="AI1287">
        <v>0</v>
      </c>
      <c r="AJ1287" t="s">
        <v>101</v>
      </c>
      <c r="AK1287">
        <v>0</v>
      </c>
      <c r="AL1287">
        <v>780</v>
      </c>
      <c r="AM1287">
        <v>780</v>
      </c>
      <c r="AN1287" t="s">
        <v>102</v>
      </c>
      <c r="AO1287" t="s">
        <v>103</v>
      </c>
      <c r="AP1287" t="s">
        <v>104</v>
      </c>
      <c r="AQ1287" t="s">
        <v>144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97</v>
      </c>
      <c r="BC1287">
        <v>6</v>
      </c>
      <c r="BD1287" t="s">
        <v>106</v>
      </c>
      <c r="BE1287">
        <v>1</v>
      </c>
      <c r="BF1287" t="s">
        <v>96</v>
      </c>
      <c r="BG1287" t="s">
        <v>126</v>
      </c>
      <c r="BH1287">
        <v>1939</v>
      </c>
      <c r="BI1287" t="s">
        <v>101</v>
      </c>
      <c r="BJ1287">
        <v>1</v>
      </c>
      <c r="BK1287">
        <v>280</v>
      </c>
      <c r="BL1287" t="s">
        <v>97</v>
      </c>
      <c r="BM1287" t="s">
        <v>97</v>
      </c>
      <c r="BN1287" t="s">
        <v>104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X1287">
        <v>0</v>
      </c>
      <c r="BY1287">
        <v>5</v>
      </c>
      <c r="BZ1287">
        <v>2009</v>
      </c>
      <c r="CA1287" t="s">
        <v>109</v>
      </c>
      <c r="CB1287" t="s">
        <v>110</v>
      </c>
      <c r="CC1287">
        <v>132500</v>
      </c>
    </row>
    <row r="1288" spans="1:81" x14ac:dyDescent="0.3">
      <c r="A1288">
        <v>1287</v>
      </c>
      <c r="B1288">
        <v>20</v>
      </c>
      <c r="C1288" t="s">
        <v>81</v>
      </c>
      <c r="E1288">
        <v>9790</v>
      </c>
      <c r="F1288" t="s">
        <v>82</v>
      </c>
      <c r="H1288" t="s">
        <v>83</v>
      </c>
      <c r="I1288" t="s">
        <v>84</v>
      </c>
      <c r="J1288" t="s">
        <v>85</v>
      </c>
      <c r="K1288" t="s">
        <v>86</v>
      </c>
      <c r="L1288" t="s">
        <v>87</v>
      </c>
      <c r="M1288" t="s">
        <v>137</v>
      </c>
      <c r="N1288" t="s">
        <v>113</v>
      </c>
      <c r="O1288" t="s">
        <v>89</v>
      </c>
      <c r="P1288" t="s">
        <v>90</v>
      </c>
      <c r="Q1288" t="s">
        <v>114</v>
      </c>
      <c r="R1288">
        <v>6</v>
      </c>
      <c r="S1288">
        <v>5</v>
      </c>
      <c r="T1288">
        <v>1963</v>
      </c>
      <c r="U1288">
        <v>1963</v>
      </c>
      <c r="V1288" t="s">
        <v>151</v>
      </c>
      <c r="W1288" t="s">
        <v>93</v>
      </c>
      <c r="X1288" t="s">
        <v>139</v>
      </c>
      <c r="Y1288" t="s">
        <v>139</v>
      </c>
      <c r="Z1288" t="s">
        <v>95</v>
      </c>
      <c r="AA1288">
        <v>451</v>
      </c>
      <c r="AB1288" t="s">
        <v>97</v>
      </c>
      <c r="AC1288" t="s">
        <v>97</v>
      </c>
      <c r="AD1288" t="s">
        <v>117</v>
      </c>
      <c r="AE1288" t="s">
        <v>97</v>
      </c>
      <c r="AF1288" t="s">
        <v>97</v>
      </c>
      <c r="AG1288" t="s">
        <v>99</v>
      </c>
      <c r="AH1288" t="s">
        <v>118</v>
      </c>
      <c r="AI1288">
        <v>569</v>
      </c>
      <c r="AJ1288" t="s">
        <v>152</v>
      </c>
      <c r="AK1288">
        <v>81</v>
      </c>
      <c r="AL1288">
        <v>678</v>
      </c>
      <c r="AM1288">
        <v>1328</v>
      </c>
      <c r="AN1288" t="s">
        <v>102</v>
      </c>
      <c r="AO1288" t="s">
        <v>97</v>
      </c>
      <c r="AP1288" t="s">
        <v>104</v>
      </c>
      <c r="AQ1288" t="s">
        <v>105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97</v>
      </c>
      <c r="BC1288">
        <v>6</v>
      </c>
      <c r="BD1288" t="s">
        <v>106</v>
      </c>
      <c r="BE1288">
        <v>2</v>
      </c>
      <c r="BF1288" t="s">
        <v>96</v>
      </c>
      <c r="BG1288" t="s">
        <v>107</v>
      </c>
      <c r="BH1288">
        <v>1963</v>
      </c>
      <c r="BI1288" t="s">
        <v>101</v>
      </c>
      <c r="BJ1288">
        <v>2</v>
      </c>
      <c r="BK1288">
        <v>528</v>
      </c>
      <c r="BL1288" t="s">
        <v>97</v>
      </c>
      <c r="BM1288" t="s">
        <v>97</v>
      </c>
      <c r="BN1288" t="s">
        <v>104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X1288">
        <v>0</v>
      </c>
      <c r="BY1288">
        <v>6</v>
      </c>
      <c r="BZ1288">
        <v>2010</v>
      </c>
      <c r="CA1288" t="s">
        <v>109</v>
      </c>
      <c r="CB1288" t="s">
        <v>110</v>
      </c>
      <c r="CC1288">
        <v>143000</v>
      </c>
    </row>
    <row r="1289" spans="1:81" x14ac:dyDescent="0.3">
      <c r="A1289">
        <v>1288</v>
      </c>
      <c r="B1289">
        <v>20</v>
      </c>
      <c r="C1289" t="s">
        <v>81</v>
      </c>
      <c r="E1289">
        <v>36500</v>
      </c>
      <c r="F1289" t="s">
        <v>82</v>
      </c>
      <c r="H1289" t="s">
        <v>119</v>
      </c>
      <c r="I1289" t="s">
        <v>194</v>
      </c>
      <c r="J1289" t="s">
        <v>85</v>
      </c>
      <c r="K1289" t="s">
        <v>86</v>
      </c>
      <c r="L1289" t="s">
        <v>193</v>
      </c>
      <c r="M1289" t="s">
        <v>204</v>
      </c>
      <c r="N1289" t="s">
        <v>89</v>
      </c>
      <c r="O1289" t="s">
        <v>89</v>
      </c>
      <c r="P1289" t="s">
        <v>90</v>
      </c>
      <c r="Q1289" t="s">
        <v>114</v>
      </c>
      <c r="R1289">
        <v>5</v>
      </c>
      <c r="S1289">
        <v>5</v>
      </c>
      <c r="T1289">
        <v>1964</v>
      </c>
      <c r="U1289">
        <v>1964</v>
      </c>
      <c r="V1289" t="s">
        <v>92</v>
      </c>
      <c r="W1289" t="s">
        <v>93</v>
      </c>
      <c r="X1289" t="s">
        <v>123</v>
      </c>
      <c r="Y1289" t="s">
        <v>123</v>
      </c>
      <c r="Z1289" t="s">
        <v>206</v>
      </c>
      <c r="AA1289">
        <v>621</v>
      </c>
      <c r="AB1289" t="s">
        <v>97</v>
      </c>
      <c r="AC1289" t="s">
        <v>96</v>
      </c>
      <c r="AD1289" t="s">
        <v>117</v>
      </c>
      <c r="AE1289" t="s">
        <v>97</v>
      </c>
      <c r="AF1289" t="s">
        <v>97</v>
      </c>
      <c r="AG1289" t="s">
        <v>129</v>
      </c>
      <c r="AH1289" t="s">
        <v>152</v>
      </c>
      <c r="AI1289">
        <v>812</v>
      </c>
      <c r="AJ1289" t="s">
        <v>101</v>
      </c>
      <c r="AK1289">
        <v>0</v>
      </c>
      <c r="AL1289">
        <v>812</v>
      </c>
      <c r="AM1289">
        <v>1624</v>
      </c>
      <c r="AN1289" t="s">
        <v>102</v>
      </c>
      <c r="AO1289" t="s">
        <v>146</v>
      </c>
      <c r="AP1289" t="s">
        <v>104</v>
      </c>
      <c r="AQ1289" t="s">
        <v>105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97</v>
      </c>
      <c r="BC1289">
        <v>7</v>
      </c>
      <c r="BD1289" t="s">
        <v>106</v>
      </c>
      <c r="BE1289">
        <v>0</v>
      </c>
      <c r="BG1289" t="s">
        <v>107</v>
      </c>
      <c r="BH1289">
        <v>1964</v>
      </c>
      <c r="BI1289" t="s">
        <v>101</v>
      </c>
      <c r="BJ1289">
        <v>2</v>
      </c>
      <c r="BK1289">
        <v>390</v>
      </c>
      <c r="BL1289" t="s">
        <v>97</v>
      </c>
      <c r="BM1289" t="s">
        <v>97</v>
      </c>
      <c r="BN1289" t="s">
        <v>176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X1289">
        <v>0</v>
      </c>
      <c r="BY1289">
        <v>6</v>
      </c>
      <c r="BZ1289">
        <v>2006</v>
      </c>
      <c r="CA1289" t="s">
        <v>109</v>
      </c>
      <c r="CB1289" t="s">
        <v>110</v>
      </c>
      <c r="CC1289">
        <v>190000</v>
      </c>
    </row>
    <row r="1290" spans="1:81" x14ac:dyDescent="0.3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H1290" t="s">
        <v>119</v>
      </c>
      <c r="I1290" t="s">
        <v>84</v>
      </c>
      <c r="J1290" t="s">
        <v>85</v>
      </c>
      <c r="K1290" t="s">
        <v>86</v>
      </c>
      <c r="L1290" t="s">
        <v>87</v>
      </c>
      <c r="M1290" t="s">
        <v>199</v>
      </c>
      <c r="N1290" t="s">
        <v>89</v>
      </c>
      <c r="O1290" t="s">
        <v>89</v>
      </c>
      <c r="P1290" t="s">
        <v>178</v>
      </c>
      <c r="Q1290" t="s">
        <v>114</v>
      </c>
      <c r="R1290">
        <v>8</v>
      </c>
      <c r="S1290">
        <v>5</v>
      </c>
      <c r="T1290">
        <v>2000</v>
      </c>
      <c r="U1290">
        <v>2000</v>
      </c>
      <c r="V1290" t="s">
        <v>92</v>
      </c>
      <c r="W1290" t="s">
        <v>93</v>
      </c>
      <c r="X1290" t="s">
        <v>179</v>
      </c>
      <c r="Y1290" t="s">
        <v>180</v>
      </c>
      <c r="Z1290" t="s">
        <v>116</v>
      </c>
      <c r="AA1290">
        <v>0</v>
      </c>
      <c r="AB1290" t="s">
        <v>96</v>
      </c>
      <c r="AC1290" t="s">
        <v>97</v>
      </c>
      <c r="AD1290" t="s">
        <v>98</v>
      </c>
      <c r="AE1290" t="s">
        <v>96</v>
      </c>
      <c r="AF1290" t="s">
        <v>97</v>
      </c>
      <c r="AG1290" t="s">
        <v>99</v>
      </c>
      <c r="AH1290" t="s">
        <v>100</v>
      </c>
      <c r="AI1290">
        <v>1158</v>
      </c>
      <c r="AJ1290" t="s">
        <v>101</v>
      </c>
      <c r="AK1290">
        <v>0</v>
      </c>
      <c r="AL1290">
        <v>343</v>
      </c>
      <c r="AM1290">
        <v>1501</v>
      </c>
      <c r="AN1290" t="s">
        <v>102</v>
      </c>
      <c r="AO1290" t="s">
        <v>103</v>
      </c>
      <c r="AP1290" t="s">
        <v>104</v>
      </c>
      <c r="AQ1290" t="s">
        <v>105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103</v>
      </c>
      <c r="BC1290">
        <v>5</v>
      </c>
      <c r="BD1290" t="s">
        <v>106</v>
      </c>
      <c r="BE1290">
        <v>1</v>
      </c>
      <c r="BF1290" t="s">
        <v>103</v>
      </c>
      <c r="BG1290" t="s">
        <v>107</v>
      </c>
      <c r="BH1290">
        <v>2000</v>
      </c>
      <c r="BI1290" t="s">
        <v>156</v>
      </c>
      <c r="BJ1290">
        <v>2</v>
      </c>
      <c r="BK1290">
        <v>499</v>
      </c>
      <c r="BL1290" t="s">
        <v>97</v>
      </c>
      <c r="BM1290" t="s">
        <v>97</v>
      </c>
      <c r="BN1290" t="s">
        <v>104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X1290">
        <v>0</v>
      </c>
      <c r="BY1290">
        <v>10</v>
      </c>
      <c r="BZ1290">
        <v>2009</v>
      </c>
      <c r="CA1290" t="s">
        <v>109</v>
      </c>
      <c r="CB1290" t="s">
        <v>110</v>
      </c>
      <c r="CC1290">
        <v>278000</v>
      </c>
    </row>
    <row r="1291" spans="1:81" x14ac:dyDescent="0.3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H1291" t="s">
        <v>119</v>
      </c>
      <c r="I1291" t="s">
        <v>84</v>
      </c>
      <c r="J1291" t="s">
        <v>85</v>
      </c>
      <c r="K1291" t="s">
        <v>86</v>
      </c>
      <c r="L1291" t="s">
        <v>87</v>
      </c>
      <c r="M1291" t="s">
        <v>153</v>
      </c>
      <c r="N1291" t="s">
        <v>89</v>
      </c>
      <c r="O1291" t="s">
        <v>89</v>
      </c>
      <c r="P1291" t="s">
        <v>90</v>
      </c>
      <c r="Q1291" t="s">
        <v>91</v>
      </c>
      <c r="R1291">
        <v>8</v>
      </c>
      <c r="S1291">
        <v>5</v>
      </c>
      <c r="T1291">
        <v>2006</v>
      </c>
      <c r="U1291">
        <v>2006</v>
      </c>
      <c r="V1291" t="s">
        <v>92</v>
      </c>
      <c r="W1291" t="s">
        <v>93</v>
      </c>
      <c r="X1291" t="s">
        <v>94</v>
      </c>
      <c r="Y1291" t="s">
        <v>94</v>
      </c>
      <c r="Z1291" t="s">
        <v>136</v>
      </c>
      <c r="AA1291">
        <v>788</v>
      </c>
      <c r="AB1291" t="s">
        <v>96</v>
      </c>
      <c r="AC1291" t="s">
        <v>97</v>
      </c>
      <c r="AD1291" t="s">
        <v>98</v>
      </c>
      <c r="AE1291" t="s">
        <v>96</v>
      </c>
      <c r="AF1291" t="s">
        <v>97</v>
      </c>
      <c r="AG1291" t="s">
        <v>120</v>
      </c>
      <c r="AH1291" t="s">
        <v>101</v>
      </c>
      <c r="AI1291">
        <v>0</v>
      </c>
      <c r="AJ1291" t="s">
        <v>101</v>
      </c>
      <c r="AK1291">
        <v>0</v>
      </c>
      <c r="AL1291">
        <v>1085</v>
      </c>
      <c r="AM1291">
        <v>1085</v>
      </c>
      <c r="AN1291" t="s">
        <v>102</v>
      </c>
      <c r="AO1291" t="s">
        <v>103</v>
      </c>
      <c r="AP1291" t="s">
        <v>104</v>
      </c>
      <c r="AQ1291" t="s">
        <v>105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103</v>
      </c>
      <c r="BC1291">
        <v>8</v>
      </c>
      <c r="BD1291" t="s">
        <v>106</v>
      </c>
      <c r="BE1291">
        <v>1</v>
      </c>
      <c r="BF1291" t="s">
        <v>96</v>
      </c>
      <c r="BG1291" t="s">
        <v>155</v>
      </c>
      <c r="BH1291">
        <v>2006</v>
      </c>
      <c r="BI1291" t="s">
        <v>156</v>
      </c>
      <c r="BJ1291">
        <v>3</v>
      </c>
      <c r="BK1291">
        <v>753</v>
      </c>
      <c r="BL1291" t="s">
        <v>97</v>
      </c>
      <c r="BM1291" t="s">
        <v>97</v>
      </c>
      <c r="BN1291" t="s">
        <v>104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X1291">
        <v>0</v>
      </c>
      <c r="BY1291">
        <v>10</v>
      </c>
      <c r="BZ1291">
        <v>2006</v>
      </c>
      <c r="CA1291" t="s">
        <v>157</v>
      </c>
      <c r="CB1291" t="s">
        <v>158</v>
      </c>
      <c r="CC1291">
        <v>281000</v>
      </c>
    </row>
    <row r="1292" spans="1:81" x14ac:dyDescent="0.3">
      <c r="A1292">
        <v>1291</v>
      </c>
      <c r="B1292">
        <v>80</v>
      </c>
      <c r="C1292" t="s">
        <v>81</v>
      </c>
      <c r="E1292">
        <v>14112</v>
      </c>
      <c r="F1292" t="s">
        <v>82</v>
      </c>
      <c r="H1292" t="s">
        <v>119</v>
      </c>
      <c r="I1292" t="s">
        <v>84</v>
      </c>
      <c r="J1292" t="s">
        <v>85</v>
      </c>
      <c r="K1292" t="s">
        <v>121</v>
      </c>
      <c r="L1292" t="s">
        <v>87</v>
      </c>
      <c r="M1292" t="s">
        <v>270</v>
      </c>
      <c r="N1292" t="s">
        <v>89</v>
      </c>
      <c r="O1292" t="s">
        <v>89</v>
      </c>
      <c r="P1292" t="s">
        <v>90</v>
      </c>
      <c r="Q1292" t="s">
        <v>196</v>
      </c>
      <c r="R1292">
        <v>5</v>
      </c>
      <c r="S1292">
        <v>7</v>
      </c>
      <c r="T1292">
        <v>1964</v>
      </c>
      <c r="U1292">
        <v>1964</v>
      </c>
      <c r="V1292" t="s">
        <v>151</v>
      </c>
      <c r="W1292" t="s">
        <v>93</v>
      </c>
      <c r="X1292" t="s">
        <v>123</v>
      </c>
      <c r="Y1292" t="s">
        <v>139</v>
      </c>
      <c r="Z1292" t="s">
        <v>95</v>
      </c>
      <c r="AA1292">
        <v>86</v>
      </c>
      <c r="AB1292" t="s">
        <v>97</v>
      </c>
      <c r="AC1292" t="s">
        <v>97</v>
      </c>
      <c r="AD1292" t="s">
        <v>98</v>
      </c>
      <c r="AE1292" t="s">
        <v>97</v>
      </c>
      <c r="AF1292" t="s">
        <v>97</v>
      </c>
      <c r="AG1292" t="s">
        <v>129</v>
      </c>
      <c r="AH1292" t="s">
        <v>100</v>
      </c>
      <c r="AI1292">
        <v>1014</v>
      </c>
      <c r="AJ1292" t="s">
        <v>101</v>
      </c>
      <c r="AK1292">
        <v>0</v>
      </c>
      <c r="AL1292">
        <v>138</v>
      </c>
      <c r="AM1292">
        <v>1152</v>
      </c>
      <c r="AN1292" t="s">
        <v>102</v>
      </c>
      <c r="AO1292" t="s">
        <v>97</v>
      </c>
      <c r="AP1292" t="s">
        <v>104</v>
      </c>
      <c r="AQ1292" t="s">
        <v>105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97</v>
      </c>
      <c r="BC1292">
        <v>6</v>
      </c>
      <c r="BD1292" t="s">
        <v>106</v>
      </c>
      <c r="BE1292">
        <v>1</v>
      </c>
      <c r="BF1292" t="s">
        <v>96</v>
      </c>
      <c r="BG1292" t="s">
        <v>107</v>
      </c>
      <c r="BH1292">
        <v>1964</v>
      </c>
      <c r="BI1292" t="s">
        <v>108</v>
      </c>
      <c r="BJ1292">
        <v>2</v>
      </c>
      <c r="BK1292">
        <v>484</v>
      </c>
      <c r="BL1292" t="s">
        <v>97</v>
      </c>
      <c r="BM1292" t="s">
        <v>97</v>
      </c>
      <c r="BN1292" t="s">
        <v>104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X1292">
        <v>0</v>
      </c>
      <c r="BY1292">
        <v>4</v>
      </c>
      <c r="BZ1292">
        <v>2010</v>
      </c>
      <c r="CA1292" t="s">
        <v>109</v>
      </c>
      <c r="CB1292" t="s">
        <v>110</v>
      </c>
      <c r="CC1292">
        <v>180500</v>
      </c>
    </row>
    <row r="1293" spans="1:81" x14ac:dyDescent="0.3">
      <c r="A1293">
        <v>1292</v>
      </c>
      <c r="B1293">
        <v>160</v>
      </c>
      <c r="C1293" t="s">
        <v>141</v>
      </c>
      <c r="D1293">
        <v>21</v>
      </c>
      <c r="E1293">
        <v>1680</v>
      </c>
      <c r="F1293" t="s">
        <v>82</v>
      </c>
      <c r="H1293" t="s">
        <v>83</v>
      </c>
      <c r="I1293" t="s">
        <v>84</v>
      </c>
      <c r="J1293" t="s">
        <v>85</v>
      </c>
      <c r="K1293" t="s">
        <v>86</v>
      </c>
      <c r="L1293" t="s">
        <v>87</v>
      </c>
      <c r="M1293" t="s">
        <v>227</v>
      </c>
      <c r="N1293" t="s">
        <v>89</v>
      </c>
      <c r="O1293" t="s">
        <v>89</v>
      </c>
      <c r="P1293" t="s">
        <v>197</v>
      </c>
      <c r="Q1293" t="s">
        <v>91</v>
      </c>
      <c r="R1293">
        <v>5</v>
      </c>
      <c r="S1293">
        <v>7</v>
      </c>
      <c r="T1293">
        <v>1972</v>
      </c>
      <c r="U1293">
        <v>1972</v>
      </c>
      <c r="V1293" t="s">
        <v>92</v>
      </c>
      <c r="W1293" t="s">
        <v>93</v>
      </c>
      <c r="X1293" t="s">
        <v>179</v>
      </c>
      <c r="Y1293" t="s">
        <v>180</v>
      </c>
      <c r="Z1293" t="s">
        <v>95</v>
      </c>
      <c r="AA1293">
        <v>268</v>
      </c>
      <c r="AB1293" t="s">
        <v>97</v>
      </c>
      <c r="AC1293" t="s">
        <v>97</v>
      </c>
      <c r="AD1293" t="s">
        <v>117</v>
      </c>
      <c r="AE1293" t="s">
        <v>97</v>
      </c>
      <c r="AF1293" t="s">
        <v>97</v>
      </c>
      <c r="AG1293" t="s">
        <v>99</v>
      </c>
      <c r="AH1293" t="s">
        <v>118</v>
      </c>
      <c r="AI1293">
        <v>231</v>
      </c>
      <c r="AJ1293" t="s">
        <v>101</v>
      </c>
      <c r="AK1293">
        <v>0</v>
      </c>
      <c r="AL1293">
        <v>399</v>
      </c>
      <c r="AM1293">
        <v>630</v>
      </c>
      <c r="AN1293" t="s">
        <v>102</v>
      </c>
      <c r="AO1293" t="s">
        <v>97</v>
      </c>
      <c r="AP1293" t="s">
        <v>104</v>
      </c>
      <c r="AQ1293" t="s">
        <v>105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97</v>
      </c>
      <c r="BC1293">
        <v>6</v>
      </c>
      <c r="BD1293" t="s">
        <v>106</v>
      </c>
      <c r="BE1293">
        <v>0</v>
      </c>
      <c r="BG1293" t="s">
        <v>126</v>
      </c>
      <c r="BH1293">
        <v>1972</v>
      </c>
      <c r="BI1293" t="s">
        <v>101</v>
      </c>
      <c r="BJ1293">
        <v>1</v>
      </c>
      <c r="BK1293">
        <v>264</v>
      </c>
      <c r="BL1293" t="s">
        <v>97</v>
      </c>
      <c r="BM1293" t="s">
        <v>97</v>
      </c>
      <c r="BN1293" t="s">
        <v>104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X1293">
        <v>0</v>
      </c>
      <c r="BY1293">
        <v>2</v>
      </c>
      <c r="BZ1293">
        <v>2009</v>
      </c>
      <c r="CA1293" t="s">
        <v>109</v>
      </c>
      <c r="CB1293" t="s">
        <v>110</v>
      </c>
      <c r="CC1293">
        <v>119500</v>
      </c>
    </row>
    <row r="1294" spans="1:81" x14ac:dyDescent="0.3">
      <c r="A1294">
        <v>1293</v>
      </c>
      <c r="B1294">
        <v>70</v>
      </c>
      <c r="C1294" t="s">
        <v>141</v>
      </c>
      <c r="D1294">
        <v>60</v>
      </c>
      <c r="E1294">
        <v>6600</v>
      </c>
      <c r="F1294" t="s">
        <v>82</v>
      </c>
      <c r="H1294" t="s">
        <v>83</v>
      </c>
      <c r="I1294" t="s">
        <v>84</v>
      </c>
      <c r="J1294" t="s">
        <v>85</v>
      </c>
      <c r="K1294" t="s">
        <v>121</v>
      </c>
      <c r="L1294" t="s">
        <v>87</v>
      </c>
      <c r="M1294" t="s">
        <v>142</v>
      </c>
      <c r="N1294" t="s">
        <v>89</v>
      </c>
      <c r="O1294" t="s">
        <v>89</v>
      </c>
      <c r="P1294" t="s">
        <v>90</v>
      </c>
      <c r="Q1294" t="s">
        <v>91</v>
      </c>
      <c r="R1294">
        <v>5</v>
      </c>
      <c r="S1294">
        <v>4</v>
      </c>
      <c r="T1294">
        <v>1892</v>
      </c>
      <c r="U1294">
        <v>1965</v>
      </c>
      <c r="V1294" t="s">
        <v>92</v>
      </c>
      <c r="W1294" t="s">
        <v>93</v>
      </c>
      <c r="X1294" t="s">
        <v>123</v>
      </c>
      <c r="Y1294" t="s">
        <v>123</v>
      </c>
      <c r="Z1294" t="s">
        <v>116</v>
      </c>
      <c r="AA1294">
        <v>0</v>
      </c>
      <c r="AB1294" t="s">
        <v>97</v>
      </c>
      <c r="AC1294" t="s">
        <v>97</v>
      </c>
      <c r="AD1294" t="s">
        <v>136</v>
      </c>
      <c r="AE1294" t="s">
        <v>97</v>
      </c>
      <c r="AF1294" t="s">
        <v>97</v>
      </c>
      <c r="AG1294" t="s">
        <v>99</v>
      </c>
      <c r="AH1294" t="s">
        <v>101</v>
      </c>
      <c r="AI1294">
        <v>0</v>
      </c>
      <c r="AJ1294" t="s">
        <v>101</v>
      </c>
      <c r="AK1294">
        <v>0</v>
      </c>
      <c r="AL1294">
        <v>994</v>
      </c>
      <c r="AM1294">
        <v>994</v>
      </c>
      <c r="AN1294" t="s">
        <v>102</v>
      </c>
      <c r="AO1294" t="s">
        <v>97</v>
      </c>
      <c r="AP1294" t="s">
        <v>176</v>
      </c>
      <c r="AQ1294" t="s">
        <v>105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97</v>
      </c>
      <c r="BC1294">
        <v>11</v>
      </c>
      <c r="BD1294" t="s">
        <v>223</v>
      </c>
      <c r="BE1294">
        <v>0</v>
      </c>
      <c r="BG1294" t="s">
        <v>107</v>
      </c>
      <c r="BH1294">
        <v>1985</v>
      </c>
      <c r="BI1294" t="s">
        <v>108</v>
      </c>
      <c r="BJ1294">
        <v>1</v>
      </c>
      <c r="BK1294">
        <v>432</v>
      </c>
      <c r="BL1294" t="s">
        <v>97</v>
      </c>
      <c r="BM1294" t="s">
        <v>97</v>
      </c>
      <c r="BN1294" t="s">
        <v>104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X1294">
        <v>0</v>
      </c>
      <c r="BY1294">
        <v>12</v>
      </c>
      <c r="BZ1294">
        <v>2009</v>
      </c>
      <c r="CA1294" t="s">
        <v>109</v>
      </c>
      <c r="CB1294" t="s">
        <v>110</v>
      </c>
      <c r="CC1294">
        <v>107500</v>
      </c>
    </row>
    <row r="1295" spans="1:81" x14ac:dyDescent="0.3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H1295" t="s">
        <v>83</v>
      </c>
      <c r="I1295" t="s">
        <v>84</v>
      </c>
      <c r="J1295" t="s">
        <v>85</v>
      </c>
      <c r="K1295" t="s">
        <v>86</v>
      </c>
      <c r="L1295" t="s">
        <v>87</v>
      </c>
      <c r="M1295" t="s">
        <v>137</v>
      </c>
      <c r="N1295" t="s">
        <v>89</v>
      </c>
      <c r="O1295" t="s">
        <v>89</v>
      </c>
      <c r="P1295" t="s">
        <v>90</v>
      </c>
      <c r="Q1295" t="s">
        <v>91</v>
      </c>
      <c r="R1295">
        <v>7</v>
      </c>
      <c r="S1295">
        <v>5</v>
      </c>
      <c r="T1295">
        <v>1976</v>
      </c>
      <c r="U1295">
        <v>1976</v>
      </c>
      <c r="V1295" t="s">
        <v>92</v>
      </c>
      <c r="W1295" t="s">
        <v>93</v>
      </c>
      <c r="X1295" t="s">
        <v>139</v>
      </c>
      <c r="Y1295" t="s">
        <v>139</v>
      </c>
      <c r="Z1295" t="s">
        <v>116</v>
      </c>
      <c r="AA1295">
        <v>0</v>
      </c>
      <c r="AB1295" t="s">
        <v>97</v>
      </c>
      <c r="AC1295" t="s">
        <v>97</v>
      </c>
      <c r="AD1295" t="s">
        <v>98</v>
      </c>
      <c r="AE1295" t="s">
        <v>96</v>
      </c>
      <c r="AF1295" t="s">
        <v>97</v>
      </c>
      <c r="AG1295" t="s">
        <v>99</v>
      </c>
      <c r="AH1295" t="s">
        <v>100</v>
      </c>
      <c r="AI1295">
        <v>194</v>
      </c>
      <c r="AJ1295" t="s">
        <v>101</v>
      </c>
      <c r="AK1295">
        <v>0</v>
      </c>
      <c r="AL1295">
        <v>638</v>
      </c>
      <c r="AM1295">
        <v>832</v>
      </c>
      <c r="AN1295" t="s">
        <v>102</v>
      </c>
      <c r="AO1295" t="s">
        <v>97</v>
      </c>
      <c r="AP1295" t="s">
        <v>104</v>
      </c>
      <c r="AQ1295" t="s">
        <v>105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97</v>
      </c>
      <c r="BC1295">
        <v>8</v>
      </c>
      <c r="BD1295" t="s">
        <v>106</v>
      </c>
      <c r="BE1295">
        <v>1</v>
      </c>
      <c r="BF1295" t="s">
        <v>97</v>
      </c>
      <c r="BG1295" t="s">
        <v>107</v>
      </c>
      <c r="BH1295">
        <v>1976</v>
      </c>
      <c r="BI1295" t="s">
        <v>108</v>
      </c>
      <c r="BJ1295">
        <v>2</v>
      </c>
      <c r="BK1295">
        <v>528</v>
      </c>
      <c r="BL1295" t="s">
        <v>97</v>
      </c>
      <c r="BM1295" t="s">
        <v>97</v>
      </c>
      <c r="BN1295" t="s">
        <v>104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V1295" t="s">
        <v>162</v>
      </c>
      <c r="BX1295">
        <v>0</v>
      </c>
      <c r="BY1295">
        <v>3</v>
      </c>
      <c r="BZ1295">
        <v>2006</v>
      </c>
      <c r="CA1295" t="s">
        <v>109</v>
      </c>
      <c r="CB1295" t="s">
        <v>110</v>
      </c>
      <c r="CC1295">
        <v>162900</v>
      </c>
    </row>
    <row r="1296" spans="1:81" x14ac:dyDescent="0.3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H1296" t="s">
        <v>83</v>
      </c>
      <c r="I1296" t="s">
        <v>84</v>
      </c>
      <c r="J1296" t="s">
        <v>85</v>
      </c>
      <c r="K1296" t="s">
        <v>86</v>
      </c>
      <c r="L1296" t="s">
        <v>87</v>
      </c>
      <c r="M1296" t="s">
        <v>184</v>
      </c>
      <c r="N1296" t="s">
        <v>89</v>
      </c>
      <c r="O1296" t="s">
        <v>89</v>
      </c>
      <c r="P1296" t="s">
        <v>90</v>
      </c>
      <c r="Q1296" t="s">
        <v>114</v>
      </c>
      <c r="R1296">
        <v>5</v>
      </c>
      <c r="S1296">
        <v>7</v>
      </c>
      <c r="T1296">
        <v>1955</v>
      </c>
      <c r="U1296">
        <v>1990</v>
      </c>
      <c r="V1296" t="s">
        <v>151</v>
      </c>
      <c r="W1296" t="s">
        <v>93</v>
      </c>
      <c r="X1296" t="s">
        <v>154</v>
      </c>
      <c r="Y1296" t="s">
        <v>160</v>
      </c>
      <c r="Z1296" t="s">
        <v>116</v>
      </c>
      <c r="AA1296">
        <v>0</v>
      </c>
      <c r="AB1296" t="s">
        <v>97</v>
      </c>
      <c r="AC1296" t="s">
        <v>97</v>
      </c>
      <c r="AD1296" t="s">
        <v>117</v>
      </c>
      <c r="AE1296" t="s">
        <v>97</v>
      </c>
      <c r="AF1296" t="s">
        <v>97</v>
      </c>
      <c r="AG1296" t="s">
        <v>99</v>
      </c>
      <c r="AH1296" t="s">
        <v>152</v>
      </c>
      <c r="AI1296">
        <v>167</v>
      </c>
      <c r="AJ1296" t="s">
        <v>101</v>
      </c>
      <c r="AK1296">
        <v>0</v>
      </c>
      <c r="AL1296">
        <v>697</v>
      </c>
      <c r="AM1296">
        <v>864</v>
      </c>
      <c r="AN1296" t="s">
        <v>102</v>
      </c>
      <c r="AO1296" t="s">
        <v>97</v>
      </c>
      <c r="AP1296" t="s">
        <v>104</v>
      </c>
      <c r="AQ1296" t="s">
        <v>105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97</v>
      </c>
      <c r="BC1296">
        <v>5</v>
      </c>
      <c r="BD1296" t="s">
        <v>106</v>
      </c>
      <c r="BE1296">
        <v>0</v>
      </c>
      <c r="BG1296" t="s">
        <v>126</v>
      </c>
      <c r="BH1296">
        <v>1957</v>
      </c>
      <c r="BI1296" t="s">
        <v>101</v>
      </c>
      <c r="BJ1296">
        <v>2</v>
      </c>
      <c r="BK1296">
        <v>572</v>
      </c>
      <c r="BL1296" t="s">
        <v>97</v>
      </c>
      <c r="BM1296" t="s">
        <v>97</v>
      </c>
      <c r="BN1296" t="s">
        <v>176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X1296">
        <v>0</v>
      </c>
      <c r="BY1296">
        <v>4</v>
      </c>
      <c r="BZ1296">
        <v>2006</v>
      </c>
      <c r="CA1296" t="s">
        <v>109</v>
      </c>
      <c r="CB1296" t="s">
        <v>110</v>
      </c>
      <c r="CC1296">
        <v>115000</v>
      </c>
    </row>
    <row r="1297" spans="1:81" x14ac:dyDescent="0.3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H1297" t="s">
        <v>83</v>
      </c>
      <c r="I1297" t="s">
        <v>84</v>
      </c>
      <c r="J1297" t="s">
        <v>85</v>
      </c>
      <c r="K1297" t="s">
        <v>86</v>
      </c>
      <c r="L1297" t="s">
        <v>87</v>
      </c>
      <c r="M1297" t="s">
        <v>270</v>
      </c>
      <c r="N1297" t="s">
        <v>113</v>
      </c>
      <c r="O1297" t="s">
        <v>89</v>
      </c>
      <c r="P1297" t="s">
        <v>90</v>
      </c>
      <c r="Q1297" t="s">
        <v>114</v>
      </c>
      <c r="R1297">
        <v>5</v>
      </c>
      <c r="S1297">
        <v>5</v>
      </c>
      <c r="T1297">
        <v>1968</v>
      </c>
      <c r="U1297">
        <v>1968</v>
      </c>
      <c r="V1297" t="s">
        <v>151</v>
      </c>
      <c r="W1297" t="s">
        <v>93</v>
      </c>
      <c r="X1297" t="s">
        <v>139</v>
      </c>
      <c r="Y1297" t="s">
        <v>139</v>
      </c>
      <c r="Z1297" t="s">
        <v>95</v>
      </c>
      <c r="AA1297">
        <v>168</v>
      </c>
      <c r="AB1297" t="s">
        <v>97</v>
      </c>
      <c r="AC1297" t="s">
        <v>97</v>
      </c>
      <c r="AD1297" t="s">
        <v>117</v>
      </c>
      <c r="AE1297" t="s">
        <v>97</v>
      </c>
      <c r="AF1297" t="s">
        <v>97</v>
      </c>
      <c r="AG1297" t="s">
        <v>129</v>
      </c>
      <c r="AH1297" t="s">
        <v>140</v>
      </c>
      <c r="AI1297">
        <v>1016</v>
      </c>
      <c r="AJ1297" t="s">
        <v>101</v>
      </c>
      <c r="AK1297">
        <v>0</v>
      </c>
      <c r="AL1297">
        <v>36</v>
      </c>
      <c r="AM1297">
        <v>1052</v>
      </c>
      <c r="AN1297" t="s">
        <v>102</v>
      </c>
      <c r="AO1297" t="s">
        <v>96</v>
      </c>
      <c r="AP1297" t="s">
        <v>104</v>
      </c>
      <c r="AQ1297" t="s">
        <v>105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97</v>
      </c>
      <c r="BC1297">
        <v>5</v>
      </c>
      <c r="BD1297" t="s">
        <v>106</v>
      </c>
      <c r="BE1297">
        <v>0</v>
      </c>
      <c r="BG1297" t="s">
        <v>107</v>
      </c>
      <c r="BH1297">
        <v>1968</v>
      </c>
      <c r="BI1297" t="s">
        <v>108</v>
      </c>
      <c r="BJ1297">
        <v>1</v>
      </c>
      <c r="BK1297">
        <v>288</v>
      </c>
      <c r="BL1297" t="s">
        <v>97</v>
      </c>
      <c r="BM1297" t="s">
        <v>97</v>
      </c>
      <c r="BN1297" t="s">
        <v>104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V1297" t="s">
        <v>162</v>
      </c>
      <c r="BX1297">
        <v>0</v>
      </c>
      <c r="BY1297">
        <v>11</v>
      </c>
      <c r="BZ1297">
        <v>2006</v>
      </c>
      <c r="CA1297" t="s">
        <v>109</v>
      </c>
      <c r="CB1297" t="s">
        <v>110</v>
      </c>
      <c r="CC1297">
        <v>138500</v>
      </c>
    </row>
    <row r="1298" spans="1:81" x14ac:dyDescent="0.3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H1298" t="s">
        <v>83</v>
      </c>
      <c r="I1298" t="s">
        <v>84</v>
      </c>
      <c r="J1298" t="s">
        <v>85</v>
      </c>
      <c r="K1298" t="s">
        <v>86</v>
      </c>
      <c r="L1298" t="s">
        <v>87</v>
      </c>
      <c r="M1298" t="s">
        <v>270</v>
      </c>
      <c r="N1298" t="s">
        <v>89</v>
      </c>
      <c r="O1298" t="s">
        <v>89</v>
      </c>
      <c r="P1298" t="s">
        <v>90</v>
      </c>
      <c r="Q1298" t="s">
        <v>114</v>
      </c>
      <c r="R1298">
        <v>5</v>
      </c>
      <c r="S1298">
        <v>6</v>
      </c>
      <c r="T1298">
        <v>1963</v>
      </c>
      <c r="U1298">
        <v>1963</v>
      </c>
      <c r="V1298" t="s">
        <v>151</v>
      </c>
      <c r="W1298" t="s">
        <v>93</v>
      </c>
      <c r="X1298" t="s">
        <v>115</v>
      </c>
      <c r="Y1298" t="s">
        <v>115</v>
      </c>
      <c r="Z1298" t="s">
        <v>95</v>
      </c>
      <c r="AA1298">
        <v>148</v>
      </c>
      <c r="AB1298" t="s">
        <v>97</v>
      </c>
      <c r="AC1298" t="s">
        <v>96</v>
      </c>
      <c r="AD1298" t="s">
        <v>117</v>
      </c>
      <c r="AE1298" t="s">
        <v>97</v>
      </c>
      <c r="AF1298" t="s">
        <v>97</v>
      </c>
      <c r="AG1298" t="s">
        <v>120</v>
      </c>
      <c r="AH1298" t="s">
        <v>118</v>
      </c>
      <c r="AI1298">
        <v>776</v>
      </c>
      <c r="AJ1298" t="s">
        <v>101</v>
      </c>
      <c r="AK1298">
        <v>0</v>
      </c>
      <c r="AL1298">
        <v>344</v>
      </c>
      <c r="AM1298">
        <v>1120</v>
      </c>
      <c r="AN1298" t="s">
        <v>102</v>
      </c>
      <c r="AO1298" t="s">
        <v>96</v>
      </c>
      <c r="AP1298" t="s">
        <v>104</v>
      </c>
      <c r="AQ1298" t="s">
        <v>105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97</v>
      </c>
      <c r="BC1298">
        <v>6</v>
      </c>
      <c r="BD1298" t="s">
        <v>106</v>
      </c>
      <c r="BE1298">
        <v>0</v>
      </c>
      <c r="BG1298" t="s">
        <v>107</v>
      </c>
      <c r="BH1298">
        <v>1963</v>
      </c>
      <c r="BI1298" t="s">
        <v>108</v>
      </c>
      <c r="BJ1298">
        <v>2</v>
      </c>
      <c r="BK1298">
        <v>525</v>
      </c>
      <c r="BL1298" t="s">
        <v>97</v>
      </c>
      <c r="BM1298" t="s">
        <v>97</v>
      </c>
      <c r="BN1298" t="s">
        <v>104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V1298" t="s">
        <v>133</v>
      </c>
      <c r="BX1298">
        <v>0</v>
      </c>
      <c r="BY1298">
        <v>12</v>
      </c>
      <c r="BZ1298">
        <v>2008</v>
      </c>
      <c r="CA1298" t="s">
        <v>109</v>
      </c>
      <c r="CB1298" t="s">
        <v>110</v>
      </c>
      <c r="CC1298">
        <v>155000</v>
      </c>
    </row>
    <row r="1299" spans="1:81" x14ac:dyDescent="0.3">
      <c r="A1299">
        <v>1298</v>
      </c>
      <c r="B1299">
        <v>180</v>
      </c>
      <c r="C1299" t="s">
        <v>141</v>
      </c>
      <c r="D1299">
        <v>35</v>
      </c>
      <c r="E1299">
        <v>3675</v>
      </c>
      <c r="F1299" t="s">
        <v>82</v>
      </c>
      <c r="H1299" t="s">
        <v>83</v>
      </c>
      <c r="I1299" t="s">
        <v>84</v>
      </c>
      <c r="J1299" t="s">
        <v>85</v>
      </c>
      <c r="K1299" t="s">
        <v>86</v>
      </c>
      <c r="L1299" t="s">
        <v>87</v>
      </c>
      <c r="M1299" t="s">
        <v>184</v>
      </c>
      <c r="N1299" t="s">
        <v>89</v>
      </c>
      <c r="O1299" t="s">
        <v>89</v>
      </c>
      <c r="P1299" t="s">
        <v>178</v>
      </c>
      <c r="Q1299" t="s">
        <v>190</v>
      </c>
      <c r="R1299">
        <v>6</v>
      </c>
      <c r="S1299">
        <v>5</v>
      </c>
      <c r="T1299">
        <v>2005</v>
      </c>
      <c r="U1299">
        <v>2006</v>
      </c>
      <c r="V1299" t="s">
        <v>92</v>
      </c>
      <c r="W1299" t="s">
        <v>93</v>
      </c>
      <c r="X1299" t="s">
        <v>94</v>
      </c>
      <c r="Y1299" t="s">
        <v>94</v>
      </c>
      <c r="Z1299" t="s">
        <v>95</v>
      </c>
      <c r="AA1299">
        <v>82</v>
      </c>
      <c r="AB1299" t="s">
        <v>97</v>
      </c>
      <c r="AC1299" t="s">
        <v>97</v>
      </c>
      <c r="AD1299" t="s">
        <v>98</v>
      </c>
      <c r="AE1299" t="s">
        <v>96</v>
      </c>
      <c r="AF1299" t="s">
        <v>97</v>
      </c>
      <c r="AG1299" t="s">
        <v>96</v>
      </c>
      <c r="AH1299" t="s">
        <v>100</v>
      </c>
      <c r="AI1299">
        <v>547</v>
      </c>
      <c r="AJ1299" t="s">
        <v>101</v>
      </c>
      <c r="AK1299">
        <v>0</v>
      </c>
      <c r="AL1299">
        <v>0</v>
      </c>
      <c r="AM1299">
        <v>547</v>
      </c>
      <c r="AN1299" t="s">
        <v>102</v>
      </c>
      <c r="AO1299" t="s">
        <v>96</v>
      </c>
      <c r="AP1299" t="s">
        <v>104</v>
      </c>
      <c r="AQ1299" t="s">
        <v>105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97</v>
      </c>
      <c r="BC1299">
        <v>5</v>
      </c>
      <c r="BD1299" t="s">
        <v>106</v>
      </c>
      <c r="BE1299">
        <v>0</v>
      </c>
      <c r="BG1299" t="s">
        <v>208</v>
      </c>
      <c r="BH1299">
        <v>2005</v>
      </c>
      <c r="BI1299" t="s">
        <v>156</v>
      </c>
      <c r="BJ1299">
        <v>2</v>
      </c>
      <c r="BK1299">
        <v>525</v>
      </c>
      <c r="BL1299" t="s">
        <v>97</v>
      </c>
      <c r="BM1299" t="s">
        <v>97</v>
      </c>
      <c r="BN1299" t="s">
        <v>104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X1299">
        <v>0</v>
      </c>
      <c r="BY1299">
        <v>6</v>
      </c>
      <c r="BZ1299">
        <v>2006</v>
      </c>
      <c r="CA1299" t="s">
        <v>157</v>
      </c>
      <c r="CB1299" t="s">
        <v>158</v>
      </c>
      <c r="CC1299">
        <v>140000</v>
      </c>
    </row>
    <row r="1300" spans="1:81" x14ac:dyDescent="0.3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H1300" t="s">
        <v>230</v>
      </c>
      <c r="I1300" t="s">
        <v>174</v>
      </c>
      <c r="J1300" t="s">
        <v>85</v>
      </c>
      <c r="K1300" t="s">
        <v>121</v>
      </c>
      <c r="L1300" t="s">
        <v>87</v>
      </c>
      <c r="M1300" t="s">
        <v>184</v>
      </c>
      <c r="N1300" t="s">
        <v>113</v>
      </c>
      <c r="O1300" t="s">
        <v>89</v>
      </c>
      <c r="P1300" t="s">
        <v>90</v>
      </c>
      <c r="Q1300" t="s">
        <v>91</v>
      </c>
      <c r="R1300">
        <v>10</v>
      </c>
      <c r="S1300">
        <v>5</v>
      </c>
      <c r="T1300">
        <v>2008</v>
      </c>
      <c r="U1300">
        <v>2008</v>
      </c>
      <c r="V1300" t="s">
        <v>151</v>
      </c>
      <c r="W1300" t="s">
        <v>252</v>
      </c>
      <c r="X1300" t="s">
        <v>202</v>
      </c>
      <c r="Y1300" t="s">
        <v>202</v>
      </c>
      <c r="Z1300" t="s">
        <v>136</v>
      </c>
      <c r="AA1300">
        <v>796</v>
      </c>
      <c r="AB1300" t="s">
        <v>103</v>
      </c>
      <c r="AC1300" t="s">
        <v>97</v>
      </c>
      <c r="AD1300" t="s">
        <v>98</v>
      </c>
      <c r="AE1300" t="s">
        <v>103</v>
      </c>
      <c r="AF1300" t="s">
        <v>97</v>
      </c>
      <c r="AG1300" t="s">
        <v>96</v>
      </c>
      <c r="AH1300" t="s">
        <v>100</v>
      </c>
      <c r="AI1300">
        <v>5644</v>
      </c>
      <c r="AJ1300" t="s">
        <v>101</v>
      </c>
      <c r="AK1300">
        <v>0</v>
      </c>
      <c r="AL1300">
        <v>466</v>
      </c>
      <c r="AM1300">
        <v>6110</v>
      </c>
      <c r="AN1300" t="s">
        <v>102</v>
      </c>
      <c r="AO1300" t="s">
        <v>103</v>
      </c>
      <c r="AP1300" t="s">
        <v>104</v>
      </c>
      <c r="AQ1300" t="s">
        <v>105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103</v>
      </c>
      <c r="BC1300">
        <v>12</v>
      </c>
      <c r="BD1300" t="s">
        <v>106</v>
      </c>
      <c r="BE1300">
        <v>3</v>
      </c>
      <c r="BF1300" t="s">
        <v>96</v>
      </c>
      <c r="BG1300" t="s">
        <v>107</v>
      </c>
      <c r="BH1300">
        <v>2008</v>
      </c>
      <c r="BI1300" t="s">
        <v>156</v>
      </c>
      <c r="BJ1300">
        <v>2</v>
      </c>
      <c r="BK1300">
        <v>1418</v>
      </c>
      <c r="BL1300" t="s">
        <v>97</v>
      </c>
      <c r="BM1300" t="s">
        <v>97</v>
      </c>
      <c r="BN1300" t="s">
        <v>104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96</v>
      </c>
      <c r="BX1300">
        <v>0</v>
      </c>
      <c r="BY1300">
        <v>1</v>
      </c>
      <c r="BZ1300">
        <v>2008</v>
      </c>
      <c r="CA1300" t="s">
        <v>157</v>
      </c>
      <c r="CB1300" t="s">
        <v>158</v>
      </c>
      <c r="CC1300">
        <v>160000</v>
      </c>
    </row>
    <row r="1301" spans="1:81" x14ac:dyDescent="0.3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H1301" t="s">
        <v>83</v>
      </c>
      <c r="I1301" t="s">
        <v>84</v>
      </c>
      <c r="J1301" t="s">
        <v>85</v>
      </c>
      <c r="K1301" t="s">
        <v>86</v>
      </c>
      <c r="L1301" t="s">
        <v>87</v>
      </c>
      <c r="M1301" t="s">
        <v>270</v>
      </c>
      <c r="N1301" t="s">
        <v>89</v>
      </c>
      <c r="O1301" t="s">
        <v>89</v>
      </c>
      <c r="P1301" t="s">
        <v>90</v>
      </c>
      <c r="Q1301" t="s">
        <v>114</v>
      </c>
      <c r="R1301">
        <v>5</v>
      </c>
      <c r="S1301">
        <v>7</v>
      </c>
      <c r="T1301">
        <v>1959</v>
      </c>
      <c r="U1301">
        <v>1994</v>
      </c>
      <c r="V1301" t="s">
        <v>151</v>
      </c>
      <c r="W1301" t="s">
        <v>93</v>
      </c>
      <c r="X1301" t="s">
        <v>95</v>
      </c>
      <c r="Y1301" t="s">
        <v>95</v>
      </c>
      <c r="Z1301" t="s">
        <v>116</v>
      </c>
      <c r="AA1301">
        <v>0</v>
      </c>
      <c r="AB1301" t="s">
        <v>97</v>
      </c>
      <c r="AC1301" t="s">
        <v>97</v>
      </c>
      <c r="AD1301" t="s">
        <v>117</v>
      </c>
      <c r="AE1301" t="s">
        <v>97</v>
      </c>
      <c r="AF1301" t="s">
        <v>97</v>
      </c>
      <c r="AG1301" t="s">
        <v>99</v>
      </c>
      <c r="AH1301" t="s">
        <v>171</v>
      </c>
      <c r="AI1301">
        <v>340</v>
      </c>
      <c r="AJ1301" t="s">
        <v>152</v>
      </c>
      <c r="AK1301">
        <v>906</v>
      </c>
      <c r="AL1301">
        <v>0</v>
      </c>
      <c r="AM1301">
        <v>1246</v>
      </c>
      <c r="AN1301" t="s">
        <v>102</v>
      </c>
      <c r="AO1301" t="s">
        <v>103</v>
      </c>
      <c r="AP1301" t="s">
        <v>104</v>
      </c>
      <c r="AQ1301" t="s">
        <v>105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96</v>
      </c>
      <c r="BC1301">
        <v>6</v>
      </c>
      <c r="BD1301" t="s">
        <v>106</v>
      </c>
      <c r="BE1301">
        <v>0</v>
      </c>
      <c r="BG1301" t="s">
        <v>107</v>
      </c>
      <c r="BH1301">
        <v>1959</v>
      </c>
      <c r="BI1301" t="s">
        <v>108</v>
      </c>
      <c r="BJ1301">
        <v>1</v>
      </c>
      <c r="BK1301">
        <v>305</v>
      </c>
      <c r="BL1301" t="s">
        <v>97</v>
      </c>
      <c r="BM1301" t="s">
        <v>97</v>
      </c>
      <c r="BN1301" t="s">
        <v>104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V1301" t="s">
        <v>164</v>
      </c>
      <c r="BX1301">
        <v>0</v>
      </c>
      <c r="BY1301">
        <v>5</v>
      </c>
      <c r="BZ1301">
        <v>2010</v>
      </c>
      <c r="CA1301" t="s">
        <v>109</v>
      </c>
      <c r="CB1301" t="s">
        <v>110</v>
      </c>
      <c r="CC1301">
        <v>154000</v>
      </c>
    </row>
    <row r="1302" spans="1:81" x14ac:dyDescent="0.3">
      <c r="A1302">
        <v>1301</v>
      </c>
      <c r="B1302">
        <v>60</v>
      </c>
      <c r="C1302" t="s">
        <v>81</v>
      </c>
      <c r="E1302">
        <v>10762</v>
      </c>
      <c r="F1302" t="s">
        <v>82</v>
      </c>
      <c r="H1302" t="s">
        <v>119</v>
      </c>
      <c r="I1302" t="s">
        <v>84</v>
      </c>
      <c r="J1302" t="s">
        <v>85</v>
      </c>
      <c r="K1302" t="s">
        <v>165</v>
      </c>
      <c r="L1302" t="s">
        <v>87</v>
      </c>
      <c r="M1302" t="s">
        <v>192</v>
      </c>
      <c r="N1302" t="s">
        <v>89</v>
      </c>
      <c r="O1302" t="s">
        <v>89</v>
      </c>
      <c r="P1302" t="s">
        <v>90</v>
      </c>
      <c r="Q1302" t="s">
        <v>91</v>
      </c>
      <c r="R1302">
        <v>7</v>
      </c>
      <c r="S1302">
        <v>5</v>
      </c>
      <c r="T1302">
        <v>1999</v>
      </c>
      <c r="U1302">
        <v>1999</v>
      </c>
      <c r="V1302" t="s">
        <v>92</v>
      </c>
      <c r="W1302" t="s">
        <v>93</v>
      </c>
      <c r="X1302" t="s">
        <v>94</v>
      </c>
      <c r="Y1302" t="s">
        <v>94</v>
      </c>
      <c r="Z1302" t="s">
        <v>116</v>
      </c>
      <c r="AA1302">
        <v>344</v>
      </c>
      <c r="AB1302" t="s">
        <v>96</v>
      </c>
      <c r="AC1302" t="s">
        <v>97</v>
      </c>
      <c r="AD1302" t="s">
        <v>98</v>
      </c>
      <c r="AE1302" t="s">
        <v>96</v>
      </c>
      <c r="AF1302" t="s">
        <v>97</v>
      </c>
      <c r="AG1302" t="s">
        <v>99</v>
      </c>
      <c r="AH1302" t="s">
        <v>100</v>
      </c>
      <c r="AI1302">
        <v>694</v>
      </c>
      <c r="AJ1302" t="s">
        <v>101</v>
      </c>
      <c r="AK1302">
        <v>0</v>
      </c>
      <c r="AL1302">
        <v>284</v>
      </c>
      <c r="AM1302">
        <v>978</v>
      </c>
      <c r="AN1302" t="s">
        <v>102</v>
      </c>
      <c r="AO1302" t="s">
        <v>103</v>
      </c>
      <c r="AP1302" t="s">
        <v>104</v>
      </c>
      <c r="AQ1302" t="s">
        <v>105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96</v>
      </c>
      <c r="BC1302">
        <v>9</v>
      </c>
      <c r="BD1302" t="s">
        <v>106</v>
      </c>
      <c r="BE1302">
        <v>1</v>
      </c>
      <c r="BF1302" t="s">
        <v>97</v>
      </c>
      <c r="BG1302" t="s">
        <v>107</v>
      </c>
      <c r="BH1302">
        <v>1999</v>
      </c>
      <c r="BI1302" t="s">
        <v>156</v>
      </c>
      <c r="BJ1302">
        <v>2</v>
      </c>
      <c r="BK1302">
        <v>490</v>
      </c>
      <c r="BL1302" t="s">
        <v>97</v>
      </c>
      <c r="BM1302" t="s">
        <v>97</v>
      </c>
      <c r="BN1302" t="s">
        <v>104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X1302">
        <v>0</v>
      </c>
      <c r="BY1302">
        <v>5</v>
      </c>
      <c r="BZ1302">
        <v>2009</v>
      </c>
      <c r="CA1302" t="s">
        <v>109</v>
      </c>
      <c r="CB1302" t="s">
        <v>110</v>
      </c>
      <c r="CC1302">
        <v>225000</v>
      </c>
    </row>
    <row r="1303" spans="1:81" x14ac:dyDescent="0.3">
      <c r="A1303">
        <v>1302</v>
      </c>
      <c r="B1303">
        <v>70</v>
      </c>
      <c r="C1303" t="s">
        <v>81</v>
      </c>
      <c r="E1303">
        <v>7500</v>
      </c>
      <c r="F1303" t="s">
        <v>82</v>
      </c>
      <c r="H1303" t="s">
        <v>119</v>
      </c>
      <c r="I1303" t="s">
        <v>174</v>
      </c>
      <c r="J1303" t="s">
        <v>85</v>
      </c>
      <c r="K1303" t="s">
        <v>86</v>
      </c>
      <c r="L1303" t="s">
        <v>87</v>
      </c>
      <c r="M1303" t="s">
        <v>122</v>
      </c>
      <c r="N1303" t="s">
        <v>89</v>
      </c>
      <c r="O1303" t="s">
        <v>89</v>
      </c>
      <c r="P1303" t="s">
        <v>90</v>
      </c>
      <c r="Q1303" t="s">
        <v>91</v>
      </c>
      <c r="R1303">
        <v>6</v>
      </c>
      <c r="S1303">
        <v>7</v>
      </c>
      <c r="T1303">
        <v>1942</v>
      </c>
      <c r="U1303">
        <v>1950</v>
      </c>
      <c r="V1303" t="s">
        <v>92</v>
      </c>
      <c r="W1303" t="s">
        <v>93</v>
      </c>
      <c r="X1303" t="s">
        <v>123</v>
      </c>
      <c r="Y1303" t="s">
        <v>123</v>
      </c>
      <c r="Z1303" t="s">
        <v>116</v>
      </c>
      <c r="AA1303">
        <v>0</v>
      </c>
      <c r="AB1303" t="s">
        <v>97</v>
      </c>
      <c r="AC1303" t="s">
        <v>97</v>
      </c>
      <c r="AD1303" t="s">
        <v>117</v>
      </c>
      <c r="AE1303" t="s">
        <v>97</v>
      </c>
      <c r="AF1303" t="s">
        <v>97</v>
      </c>
      <c r="AG1303" t="s">
        <v>99</v>
      </c>
      <c r="AH1303" t="s">
        <v>140</v>
      </c>
      <c r="AI1303">
        <v>547</v>
      </c>
      <c r="AJ1303" t="s">
        <v>101</v>
      </c>
      <c r="AK1303">
        <v>0</v>
      </c>
      <c r="AL1303">
        <v>224</v>
      </c>
      <c r="AM1303">
        <v>771</v>
      </c>
      <c r="AN1303" t="s">
        <v>102</v>
      </c>
      <c r="AO1303" t="s">
        <v>146</v>
      </c>
      <c r="AP1303" t="s">
        <v>104</v>
      </c>
      <c r="AQ1303" t="s">
        <v>105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96</v>
      </c>
      <c r="BC1303">
        <v>7</v>
      </c>
      <c r="BD1303" t="s">
        <v>106</v>
      </c>
      <c r="BE1303">
        <v>2</v>
      </c>
      <c r="BF1303" t="s">
        <v>96</v>
      </c>
      <c r="BG1303" t="s">
        <v>107</v>
      </c>
      <c r="BH1303">
        <v>1942</v>
      </c>
      <c r="BI1303" t="s">
        <v>101</v>
      </c>
      <c r="BJ1303">
        <v>1</v>
      </c>
      <c r="BK1303">
        <v>213</v>
      </c>
      <c r="BL1303" t="s">
        <v>97</v>
      </c>
      <c r="BM1303" t="s">
        <v>97</v>
      </c>
      <c r="BN1303" t="s">
        <v>189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X1303">
        <v>0</v>
      </c>
      <c r="BY1303">
        <v>11</v>
      </c>
      <c r="BZ1303">
        <v>2009</v>
      </c>
      <c r="CA1303" t="s">
        <v>109</v>
      </c>
      <c r="CB1303" t="s">
        <v>110</v>
      </c>
      <c r="CC1303">
        <v>177500</v>
      </c>
    </row>
    <row r="1304" spans="1:81" x14ac:dyDescent="0.3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H1304" t="s">
        <v>83</v>
      </c>
      <c r="I1304" t="s">
        <v>84</v>
      </c>
      <c r="J1304" t="s">
        <v>85</v>
      </c>
      <c r="K1304" t="s">
        <v>86</v>
      </c>
      <c r="L1304" t="s">
        <v>87</v>
      </c>
      <c r="M1304" t="s">
        <v>128</v>
      </c>
      <c r="N1304" t="s">
        <v>89</v>
      </c>
      <c r="O1304" t="s">
        <v>89</v>
      </c>
      <c r="P1304" t="s">
        <v>90</v>
      </c>
      <c r="Q1304" t="s">
        <v>91</v>
      </c>
      <c r="R1304">
        <v>8</v>
      </c>
      <c r="S1304">
        <v>5</v>
      </c>
      <c r="T1304">
        <v>1994</v>
      </c>
      <c r="U1304">
        <v>1994</v>
      </c>
      <c r="V1304" t="s">
        <v>151</v>
      </c>
      <c r="W1304" t="s">
        <v>93</v>
      </c>
      <c r="X1304" t="s">
        <v>94</v>
      </c>
      <c r="Y1304" t="s">
        <v>94</v>
      </c>
      <c r="Z1304" t="s">
        <v>95</v>
      </c>
      <c r="AA1304">
        <v>391</v>
      </c>
      <c r="AB1304" t="s">
        <v>96</v>
      </c>
      <c r="AC1304" t="s">
        <v>97</v>
      </c>
      <c r="AD1304" t="s">
        <v>98</v>
      </c>
      <c r="AE1304" t="s">
        <v>96</v>
      </c>
      <c r="AF1304" t="s">
        <v>97</v>
      </c>
      <c r="AG1304" t="s">
        <v>99</v>
      </c>
      <c r="AH1304" t="s">
        <v>100</v>
      </c>
      <c r="AI1304">
        <v>740</v>
      </c>
      <c r="AJ1304" t="s">
        <v>101</v>
      </c>
      <c r="AK1304">
        <v>0</v>
      </c>
      <c r="AL1304">
        <v>425</v>
      </c>
      <c r="AM1304">
        <v>1165</v>
      </c>
      <c r="AN1304" t="s">
        <v>102</v>
      </c>
      <c r="AO1304" t="s">
        <v>103</v>
      </c>
      <c r="AP1304" t="s">
        <v>104</v>
      </c>
      <c r="AQ1304" t="s">
        <v>105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96</v>
      </c>
      <c r="BC1304">
        <v>8</v>
      </c>
      <c r="BD1304" t="s">
        <v>106</v>
      </c>
      <c r="BE1304">
        <v>1</v>
      </c>
      <c r="BF1304" t="s">
        <v>97</v>
      </c>
      <c r="BG1304" t="s">
        <v>107</v>
      </c>
      <c r="BH1304">
        <v>1994</v>
      </c>
      <c r="BI1304" t="s">
        <v>108</v>
      </c>
      <c r="BJ1304">
        <v>3</v>
      </c>
      <c r="BK1304">
        <v>844</v>
      </c>
      <c r="BL1304" t="s">
        <v>97</v>
      </c>
      <c r="BM1304" t="s">
        <v>97</v>
      </c>
      <c r="BN1304" t="s">
        <v>104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X1304">
        <v>0</v>
      </c>
      <c r="BY1304">
        <v>12</v>
      </c>
      <c r="BZ1304">
        <v>2006</v>
      </c>
      <c r="CA1304" t="s">
        <v>109</v>
      </c>
      <c r="CB1304" t="s">
        <v>110</v>
      </c>
      <c r="CC1304">
        <v>290000</v>
      </c>
    </row>
    <row r="1305" spans="1:81" x14ac:dyDescent="0.3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H1305" t="s">
        <v>83</v>
      </c>
      <c r="I1305" t="s">
        <v>84</v>
      </c>
      <c r="J1305" t="s">
        <v>85</v>
      </c>
      <c r="K1305" t="s">
        <v>86</v>
      </c>
      <c r="L1305" t="s">
        <v>87</v>
      </c>
      <c r="M1305" t="s">
        <v>135</v>
      </c>
      <c r="N1305" t="s">
        <v>89</v>
      </c>
      <c r="O1305" t="s">
        <v>89</v>
      </c>
      <c r="P1305" t="s">
        <v>90</v>
      </c>
      <c r="Q1305" t="s">
        <v>114</v>
      </c>
      <c r="R1305">
        <v>7</v>
      </c>
      <c r="S1305">
        <v>5</v>
      </c>
      <c r="T1305">
        <v>2005</v>
      </c>
      <c r="U1305">
        <v>2005</v>
      </c>
      <c r="V1305" t="s">
        <v>92</v>
      </c>
      <c r="W1305" t="s">
        <v>93</v>
      </c>
      <c r="X1305" t="s">
        <v>94</v>
      </c>
      <c r="Y1305" t="s">
        <v>94</v>
      </c>
      <c r="Z1305" t="s">
        <v>95</v>
      </c>
      <c r="AA1305">
        <v>228</v>
      </c>
      <c r="AB1305" t="s">
        <v>96</v>
      </c>
      <c r="AC1305" t="s">
        <v>97</v>
      </c>
      <c r="AD1305" t="s">
        <v>98</v>
      </c>
      <c r="AE1305" t="s">
        <v>96</v>
      </c>
      <c r="AF1305" t="s">
        <v>97</v>
      </c>
      <c r="AG1305" t="s">
        <v>129</v>
      </c>
      <c r="AH1305" t="s">
        <v>101</v>
      </c>
      <c r="AI1305">
        <v>0</v>
      </c>
      <c r="AJ1305" t="s">
        <v>101</v>
      </c>
      <c r="AK1305">
        <v>0</v>
      </c>
      <c r="AL1305">
        <v>1616</v>
      </c>
      <c r="AM1305">
        <v>1616</v>
      </c>
      <c r="AN1305" t="s">
        <v>102</v>
      </c>
      <c r="AO1305" t="s">
        <v>103</v>
      </c>
      <c r="AP1305" t="s">
        <v>104</v>
      </c>
      <c r="AQ1305" t="s">
        <v>105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96</v>
      </c>
      <c r="BC1305">
        <v>7</v>
      </c>
      <c r="BD1305" t="s">
        <v>106</v>
      </c>
      <c r="BE1305">
        <v>0</v>
      </c>
      <c r="BG1305" t="s">
        <v>107</v>
      </c>
      <c r="BH1305">
        <v>2005</v>
      </c>
      <c r="BI1305" t="s">
        <v>108</v>
      </c>
      <c r="BJ1305">
        <v>3</v>
      </c>
      <c r="BK1305">
        <v>834</v>
      </c>
      <c r="BL1305" t="s">
        <v>97</v>
      </c>
      <c r="BM1305" t="s">
        <v>97</v>
      </c>
      <c r="BN1305" t="s">
        <v>104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X1305">
        <v>0</v>
      </c>
      <c r="BY1305">
        <v>4</v>
      </c>
      <c r="BZ1305">
        <v>2006</v>
      </c>
      <c r="CA1305" t="s">
        <v>109</v>
      </c>
      <c r="CB1305" t="s">
        <v>110</v>
      </c>
      <c r="CC1305">
        <v>232000</v>
      </c>
    </row>
    <row r="1306" spans="1:81" x14ac:dyDescent="0.3">
      <c r="A1306">
        <v>1305</v>
      </c>
      <c r="B1306">
        <v>160</v>
      </c>
      <c r="C1306" t="s">
        <v>141</v>
      </c>
      <c r="D1306">
        <v>32</v>
      </c>
      <c r="E1306">
        <v>3363</v>
      </c>
      <c r="F1306" t="s">
        <v>82</v>
      </c>
      <c r="H1306" t="s">
        <v>83</v>
      </c>
      <c r="I1306" t="s">
        <v>84</v>
      </c>
      <c r="J1306" t="s">
        <v>85</v>
      </c>
      <c r="K1306" t="s">
        <v>86</v>
      </c>
      <c r="L1306" t="s">
        <v>87</v>
      </c>
      <c r="M1306" t="s">
        <v>184</v>
      </c>
      <c r="N1306" t="s">
        <v>89</v>
      </c>
      <c r="O1306" t="s">
        <v>89</v>
      </c>
      <c r="P1306" t="s">
        <v>178</v>
      </c>
      <c r="Q1306" t="s">
        <v>91</v>
      </c>
      <c r="R1306">
        <v>7</v>
      </c>
      <c r="S1306">
        <v>5</v>
      </c>
      <c r="T1306">
        <v>2004</v>
      </c>
      <c r="U1306">
        <v>2004</v>
      </c>
      <c r="V1306" t="s">
        <v>92</v>
      </c>
      <c r="W1306" t="s">
        <v>93</v>
      </c>
      <c r="X1306" t="s">
        <v>94</v>
      </c>
      <c r="Y1306" t="s">
        <v>94</v>
      </c>
      <c r="Z1306" t="s">
        <v>136</v>
      </c>
      <c r="AA1306">
        <v>117</v>
      </c>
      <c r="AB1306" t="s">
        <v>96</v>
      </c>
      <c r="AC1306" t="s">
        <v>97</v>
      </c>
      <c r="AD1306" t="s">
        <v>98</v>
      </c>
      <c r="AE1306" t="s">
        <v>96</v>
      </c>
      <c r="AF1306" t="s">
        <v>97</v>
      </c>
      <c r="AG1306" t="s">
        <v>99</v>
      </c>
      <c r="AH1306" t="s">
        <v>101</v>
      </c>
      <c r="AI1306">
        <v>0</v>
      </c>
      <c r="AJ1306" t="s">
        <v>101</v>
      </c>
      <c r="AK1306">
        <v>0</v>
      </c>
      <c r="AL1306">
        <v>976</v>
      </c>
      <c r="AM1306">
        <v>976</v>
      </c>
      <c r="AN1306" t="s">
        <v>102</v>
      </c>
      <c r="AO1306" t="s">
        <v>103</v>
      </c>
      <c r="AP1306" t="s">
        <v>104</v>
      </c>
      <c r="AQ1306" t="s">
        <v>105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96</v>
      </c>
      <c r="BC1306">
        <v>7</v>
      </c>
      <c r="BD1306" t="s">
        <v>220</v>
      </c>
      <c r="BE1306">
        <v>0</v>
      </c>
      <c r="BG1306" t="s">
        <v>126</v>
      </c>
      <c r="BH1306">
        <v>2004</v>
      </c>
      <c r="BI1306" t="s">
        <v>101</v>
      </c>
      <c r="BJ1306">
        <v>2</v>
      </c>
      <c r="BK1306">
        <v>380</v>
      </c>
      <c r="BL1306" t="s">
        <v>97</v>
      </c>
      <c r="BM1306" t="s">
        <v>97</v>
      </c>
      <c r="BN1306" t="s">
        <v>104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X1306">
        <v>0</v>
      </c>
      <c r="BY1306">
        <v>4</v>
      </c>
      <c r="BZ1306">
        <v>2006</v>
      </c>
      <c r="CA1306" t="s">
        <v>109</v>
      </c>
      <c r="CB1306" t="s">
        <v>110</v>
      </c>
      <c r="CC1306">
        <v>130000</v>
      </c>
    </row>
    <row r="1307" spans="1:81" x14ac:dyDescent="0.3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H1307" t="s">
        <v>119</v>
      </c>
      <c r="I1307" t="s">
        <v>84</v>
      </c>
      <c r="J1307" t="s">
        <v>85</v>
      </c>
      <c r="K1307" t="s">
        <v>121</v>
      </c>
      <c r="L1307" t="s">
        <v>87</v>
      </c>
      <c r="M1307" t="s">
        <v>153</v>
      </c>
      <c r="N1307" t="s">
        <v>89</v>
      </c>
      <c r="O1307" t="s">
        <v>89</v>
      </c>
      <c r="P1307" t="s">
        <v>90</v>
      </c>
      <c r="Q1307" t="s">
        <v>114</v>
      </c>
      <c r="R1307">
        <v>9</v>
      </c>
      <c r="S1307">
        <v>5</v>
      </c>
      <c r="T1307">
        <v>2006</v>
      </c>
      <c r="U1307">
        <v>2007</v>
      </c>
      <c r="V1307" t="s">
        <v>151</v>
      </c>
      <c r="W1307" t="s">
        <v>93</v>
      </c>
      <c r="X1307" t="s">
        <v>94</v>
      </c>
      <c r="Y1307" t="s">
        <v>94</v>
      </c>
      <c r="Z1307" t="s">
        <v>136</v>
      </c>
      <c r="AA1307">
        <v>300</v>
      </c>
      <c r="AB1307" t="s">
        <v>96</v>
      </c>
      <c r="AC1307" t="s">
        <v>97</v>
      </c>
      <c r="AD1307" t="s">
        <v>98</v>
      </c>
      <c r="AE1307" t="s">
        <v>103</v>
      </c>
      <c r="AF1307" t="s">
        <v>97</v>
      </c>
      <c r="AG1307" t="s">
        <v>99</v>
      </c>
      <c r="AH1307" t="s">
        <v>100</v>
      </c>
      <c r="AI1307">
        <v>1572</v>
      </c>
      <c r="AJ1307" t="s">
        <v>101</v>
      </c>
      <c r="AK1307">
        <v>0</v>
      </c>
      <c r="AL1307">
        <v>80</v>
      </c>
      <c r="AM1307">
        <v>1652</v>
      </c>
      <c r="AN1307" t="s">
        <v>102</v>
      </c>
      <c r="AO1307" t="s">
        <v>103</v>
      </c>
      <c r="AP1307" t="s">
        <v>104</v>
      </c>
      <c r="AQ1307" t="s">
        <v>105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103</v>
      </c>
      <c r="BC1307">
        <v>6</v>
      </c>
      <c r="BD1307" t="s">
        <v>106</v>
      </c>
      <c r="BE1307">
        <v>2</v>
      </c>
      <c r="BF1307" t="s">
        <v>103</v>
      </c>
      <c r="BG1307" t="s">
        <v>107</v>
      </c>
      <c r="BH1307">
        <v>2006</v>
      </c>
      <c r="BI1307" t="s">
        <v>156</v>
      </c>
      <c r="BJ1307">
        <v>2</v>
      </c>
      <c r="BK1307">
        <v>840</v>
      </c>
      <c r="BL1307" t="s">
        <v>97</v>
      </c>
      <c r="BM1307" t="s">
        <v>97</v>
      </c>
      <c r="BN1307" t="s">
        <v>104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X1307">
        <v>0</v>
      </c>
      <c r="BY1307">
        <v>11</v>
      </c>
      <c r="BZ1307">
        <v>2009</v>
      </c>
      <c r="CA1307" t="s">
        <v>109</v>
      </c>
      <c r="CB1307" t="s">
        <v>110</v>
      </c>
      <c r="CC1307">
        <v>325000</v>
      </c>
    </row>
    <row r="1308" spans="1:81" x14ac:dyDescent="0.3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H1308" t="s">
        <v>119</v>
      </c>
      <c r="I1308" t="s">
        <v>84</v>
      </c>
      <c r="J1308" t="s">
        <v>85</v>
      </c>
      <c r="K1308" t="s">
        <v>86</v>
      </c>
      <c r="L1308" t="s">
        <v>87</v>
      </c>
      <c r="M1308" t="s">
        <v>153</v>
      </c>
      <c r="N1308" t="s">
        <v>89</v>
      </c>
      <c r="O1308" t="s">
        <v>89</v>
      </c>
      <c r="P1308" t="s">
        <v>178</v>
      </c>
      <c r="Q1308" t="s">
        <v>114</v>
      </c>
      <c r="R1308">
        <v>7</v>
      </c>
      <c r="S1308">
        <v>5</v>
      </c>
      <c r="T1308">
        <v>2005</v>
      </c>
      <c r="U1308">
        <v>2006</v>
      </c>
      <c r="V1308" t="s">
        <v>92</v>
      </c>
      <c r="W1308" t="s">
        <v>93</v>
      </c>
      <c r="X1308" t="s">
        <v>94</v>
      </c>
      <c r="Y1308" t="s">
        <v>94</v>
      </c>
      <c r="Z1308" t="s">
        <v>136</v>
      </c>
      <c r="AA1308">
        <v>94</v>
      </c>
      <c r="AB1308" t="s">
        <v>96</v>
      </c>
      <c r="AC1308" t="s">
        <v>97</v>
      </c>
      <c r="AD1308" t="s">
        <v>98</v>
      </c>
      <c r="AE1308" t="s">
        <v>96</v>
      </c>
      <c r="AF1308" t="s">
        <v>97</v>
      </c>
      <c r="AG1308" t="s">
        <v>99</v>
      </c>
      <c r="AH1308" t="s">
        <v>101</v>
      </c>
      <c r="AI1308">
        <v>0</v>
      </c>
      <c r="AJ1308" t="s">
        <v>101</v>
      </c>
      <c r="AK1308">
        <v>0</v>
      </c>
      <c r="AL1308">
        <v>1368</v>
      </c>
      <c r="AM1308">
        <v>1368</v>
      </c>
      <c r="AN1308" t="s">
        <v>102</v>
      </c>
      <c r="AO1308" t="s">
        <v>103</v>
      </c>
      <c r="AP1308" t="s">
        <v>104</v>
      </c>
      <c r="AQ1308" t="s">
        <v>105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96</v>
      </c>
      <c r="BC1308">
        <v>6</v>
      </c>
      <c r="BD1308" t="s">
        <v>106</v>
      </c>
      <c r="BE1308">
        <v>1</v>
      </c>
      <c r="BF1308" t="s">
        <v>96</v>
      </c>
      <c r="BG1308" t="s">
        <v>107</v>
      </c>
      <c r="BH1308">
        <v>2005</v>
      </c>
      <c r="BI1308" t="s">
        <v>108</v>
      </c>
      <c r="BJ1308">
        <v>2</v>
      </c>
      <c r="BK1308">
        <v>474</v>
      </c>
      <c r="BL1308" t="s">
        <v>97</v>
      </c>
      <c r="BM1308" t="s">
        <v>97</v>
      </c>
      <c r="BN1308" t="s">
        <v>104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X1308">
        <v>0</v>
      </c>
      <c r="BY1308">
        <v>9</v>
      </c>
      <c r="BZ1308">
        <v>2006</v>
      </c>
      <c r="CA1308" t="s">
        <v>157</v>
      </c>
      <c r="CB1308" t="s">
        <v>158</v>
      </c>
      <c r="CC1308">
        <v>202500</v>
      </c>
    </row>
    <row r="1309" spans="1:81" x14ac:dyDescent="0.3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H1309" t="s">
        <v>83</v>
      </c>
      <c r="I1309" t="s">
        <v>84</v>
      </c>
      <c r="J1309" t="s">
        <v>85</v>
      </c>
      <c r="K1309" t="s">
        <v>86</v>
      </c>
      <c r="L1309" t="s">
        <v>87</v>
      </c>
      <c r="M1309" t="s">
        <v>88</v>
      </c>
      <c r="N1309" t="s">
        <v>89</v>
      </c>
      <c r="O1309" t="s">
        <v>89</v>
      </c>
      <c r="P1309" t="s">
        <v>90</v>
      </c>
      <c r="Q1309" t="s">
        <v>114</v>
      </c>
      <c r="R1309">
        <v>5</v>
      </c>
      <c r="S1309">
        <v>5</v>
      </c>
      <c r="T1309">
        <v>1994</v>
      </c>
      <c r="U1309">
        <v>1995</v>
      </c>
      <c r="V1309" t="s">
        <v>92</v>
      </c>
      <c r="W1309" t="s">
        <v>93</v>
      </c>
      <c r="X1309" t="s">
        <v>94</v>
      </c>
      <c r="Y1309" t="s">
        <v>94</v>
      </c>
      <c r="Z1309" t="s">
        <v>116</v>
      </c>
      <c r="AA1309">
        <v>0</v>
      </c>
      <c r="AB1309" t="s">
        <v>97</v>
      </c>
      <c r="AC1309" t="s">
        <v>96</v>
      </c>
      <c r="AD1309" t="s">
        <v>98</v>
      </c>
      <c r="AE1309" t="s">
        <v>96</v>
      </c>
      <c r="AF1309" t="s">
        <v>96</v>
      </c>
      <c r="AG1309" t="s">
        <v>99</v>
      </c>
      <c r="AH1309" t="s">
        <v>118</v>
      </c>
      <c r="AI1309">
        <v>746</v>
      </c>
      <c r="AJ1309" t="s">
        <v>101</v>
      </c>
      <c r="AK1309">
        <v>0</v>
      </c>
      <c r="AL1309">
        <v>244</v>
      </c>
      <c r="AM1309">
        <v>990</v>
      </c>
      <c r="AN1309" t="s">
        <v>102</v>
      </c>
      <c r="AO1309" t="s">
        <v>103</v>
      </c>
      <c r="AP1309" t="s">
        <v>104</v>
      </c>
      <c r="AQ1309" t="s">
        <v>105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97</v>
      </c>
      <c r="BC1309">
        <v>5</v>
      </c>
      <c r="BD1309" t="s">
        <v>106</v>
      </c>
      <c r="BE1309">
        <v>0</v>
      </c>
      <c r="BG1309" t="s">
        <v>126</v>
      </c>
      <c r="BH1309">
        <v>2000</v>
      </c>
      <c r="BI1309" t="s">
        <v>101</v>
      </c>
      <c r="BJ1309">
        <v>2</v>
      </c>
      <c r="BK1309">
        <v>480</v>
      </c>
      <c r="BL1309" t="s">
        <v>97</v>
      </c>
      <c r="BM1309" t="s">
        <v>97</v>
      </c>
      <c r="BN1309" t="s">
        <v>104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X1309">
        <v>0</v>
      </c>
      <c r="BY1309">
        <v>5</v>
      </c>
      <c r="BZ1309">
        <v>2009</v>
      </c>
      <c r="CA1309" t="s">
        <v>109</v>
      </c>
      <c r="CB1309" t="s">
        <v>110</v>
      </c>
      <c r="CC1309">
        <v>138000</v>
      </c>
    </row>
    <row r="1310" spans="1:81" x14ac:dyDescent="0.3">
      <c r="A1310">
        <v>1309</v>
      </c>
      <c r="B1310">
        <v>20</v>
      </c>
      <c r="C1310" t="s">
        <v>141</v>
      </c>
      <c r="D1310">
        <v>100</v>
      </c>
      <c r="E1310">
        <v>12000</v>
      </c>
      <c r="F1310" t="s">
        <v>82</v>
      </c>
      <c r="H1310" t="s">
        <v>83</v>
      </c>
      <c r="I1310" t="s">
        <v>84</v>
      </c>
      <c r="J1310" t="s">
        <v>85</v>
      </c>
      <c r="K1310" t="s">
        <v>86</v>
      </c>
      <c r="L1310" t="s">
        <v>87</v>
      </c>
      <c r="M1310" t="s">
        <v>142</v>
      </c>
      <c r="N1310" t="s">
        <v>89</v>
      </c>
      <c r="O1310" t="s">
        <v>89</v>
      </c>
      <c r="P1310" t="s">
        <v>90</v>
      </c>
      <c r="Q1310" t="s">
        <v>114</v>
      </c>
      <c r="R1310">
        <v>5</v>
      </c>
      <c r="S1310">
        <v>7</v>
      </c>
      <c r="T1310">
        <v>1948</v>
      </c>
      <c r="U1310">
        <v>2005</v>
      </c>
      <c r="V1310" t="s">
        <v>92</v>
      </c>
      <c r="W1310" t="s">
        <v>93</v>
      </c>
      <c r="X1310" t="s">
        <v>115</v>
      </c>
      <c r="Y1310" t="s">
        <v>115</v>
      </c>
      <c r="Z1310" t="s">
        <v>116</v>
      </c>
      <c r="AA1310">
        <v>0</v>
      </c>
      <c r="AB1310" t="s">
        <v>97</v>
      </c>
      <c r="AC1310" t="s">
        <v>97</v>
      </c>
      <c r="AD1310" t="s">
        <v>117</v>
      </c>
      <c r="AE1310" t="s">
        <v>97</v>
      </c>
      <c r="AF1310" t="s">
        <v>97</v>
      </c>
      <c r="AG1310" t="s">
        <v>99</v>
      </c>
      <c r="AH1310" t="s">
        <v>100</v>
      </c>
      <c r="AI1310">
        <v>144</v>
      </c>
      <c r="AJ1310" t="s">
        <v>118</v>
      </c>
      <c r="AK1310">
        <v>608</v>
      </c>
      <c r="AL1310">
        <v>172</v>
      </c>
      <c r="AM1310">
        <v>924</v>
      </c>
      <c r="AN1310" t="s">
        <v>102</v>
      </c>
      <c r="AO1310" t="s">
        <v>103</v>
      </c>
      <c r="AP1310" t="s">
        <v>104</v>
      </c>
      <c r="AQ1310" t="s">
        <v>105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96</v>
      </c>
      <c r="BC1310">
        <v>6</v>
      </c>
      <c r="BD1310" t="s">
        <v>106</v>
      </c>
      <c r="BE1310">
        <v>0</v>
      </c>
      <c r="BG1310" t="s">
        <v>107</v>
      </c>
      <c r="BH1310">
        <v>1948</v>
      </c>
      <c r="BI1310" t="s">
        <v>101</v>
      </c>
      <c r="BJ1310">
        <v>2</v>
      </c>
      <c r="BK1310">
        <v>528</v>
      </c>
      <c r="BL1310" t="s">
        <v>97</v>
      </c>
      <c r="BM1310" t="s">
        <v>97</v>
      </c>
      <c r="BN1310" t="s">
        <v>104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V1310" t="s">
        <v>162</v>
      </c>
      <c r="BX1310">
        <v>0</v>
      </c>
      <c r="BY1310">
        <v>5</v>
      </c>
      <c r="BZ1310">
        <v>2008</v>
      </c>
      <c r="CA1310" t="s">
        <v>109</v>
      </c>
      <c r="CB1310" t="s">
        <v>110</v>
      </c>
      <c r="CC1310">
        <v>147000</v>
      </c>
    </row>
    <row r="1311" spans="1:81" x14ac:dyDescent="0.3">
      <c r="A1311">
        <v>1310</v>
      </c>
      <c r="B1311">
        <v>20</v>
      </c>
      <c r="C1311" t="s">
        <v>81</v>
      </c>
      <c r="E1311">
        <v>7153</v>
      </c>
      <c r="F1311" t="s">
        <v>82</v>
      </c>
      <c r="H1311" t="s">
        <v>83</v>
      </c>
      <c r="I1311" t="s">
        <v>84</v>
      </c>
      <c r="J1311" t="s">
        <v>85</v>
      </c>
      <c r="K1311" t="s">
        <v>86</v>
      </c>
      <c r="L1311" t="s">
        <v>87</v>
      </c>
      <c r="M1311" t="s">
        <v>169</v>
      </c>
      <c r="N1311" t="s">
        <v>89</v>
      </c>
      <c r="O1311" t="s">
        <v>89</v>
      </c>
      <c r="P1311" t="s">
        <v>90</v>
      </c>
      <c r="Q1311" t="s">
        <v>114</v>
      </c>
      <c r="R1311">
        <v>6</v>
      </c>
      <c r="S1311">
        <v>5</v>
      </c>
      <c r="T1311">
        <v>1991</v>
      </c>
      <c r="U1311">
        <v>1991</v>
      </c>
      <c r="V1311" t="s">
        <v>92</v>
      </c>
      <c r="W1311" t="s">
        <v>93</v>
      </c>
      <c r="X1311" t="s">
        <v>139</v>
      </c>
      <c r="Y1311" t="s">
        <v>139</v>
      </c>
      <c r="Z1311" t="s">
        <v>95</v>
      </c>
      <c r="AA1311">
        <v>88</v>
      </c>
      <c r="AB1311" t="s">
        <v>97</v>
      </c>
      <c r="AC1311" t="s">
        <v>97</v>
      </c>
      <c r="AD1311" t="s">
        <v>117</v>
      </c>
      <c r="AE1311" t="s">
        <v>96</v>
      </c>
      <c r="AF1311" t="s">
        <v>97</v>
      </c>
      <c r="AG1311" t="s">
        <v>99</v>
      </c>
      <c r="AH1311" t="s">
        <v>100</v>
      </c>
      <c r="AI1311">
        <v>1200</v>
      </c>
      <c r="AJ1311" t="s">
        <v>101</v>
      </c>
      <c r="AK1311">
        <v>0</v>
      </c>
      <c r="AL1311">
        <v>78</v>
      </c>
      <c r="AM1311">
        <v>1278</v>
      </c>
      <c r="AN1311" t="s">
        <v>102</v>
      </c>
      <c r="AO1311" t="s">
        <v>96</v>
      </c>
      <c r="AP1311" t="s">
        <v>104</v>
      </c>
      <c r="AQ1311" t="s">
        <v>105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96</v>
      </c>
      <c r="BC1311">
        <v>6</v>
      </c>
      <c r="BD1311" t="s">
        <v>106</v>
      </c>
      <c r="BE1311">
        <v>0</v>
      </c>
      <c r="BG1311" t="s">
        <v>107</v>
      </c>
      <c r="BH1311">
        <v>1991</v>
      </c>
      <c r="BI1311" t="s">
        <v>108</v>
      </c>
      <c r="BJ1311">
        <v>2</v>
      </c>
      <c r="BK1311">
        <v>496</v>
      </c>
      <c r="BL1311" t="s">
        <v>97</v>
      </c>
      <c r="BM1311" t="s">
        <v>97</v>
      </c>
      <c r="BN1311" t="s">
        <v>104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V1311" t="s">
        <v>162</v>
      </c>
      <c r="BX1311">
        <v>0</v>
      </c>
      <c r="BY1311">
        <v>6</v>
      </c>
      <c r="BZ1311">
        <v>2008</v>
      </c>
      <c r="CA1311" t="s">
        <v>109</v>
      </c>
      <c r="CB1311" t="s">
        <v>110</v>
      </c>
      <c r="CC1311">
        <v>179200</v>
      </c>
    </row>
    <row r="1312" spans="1:81" x14ac:dyDescent="0.3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H1312" t="s">
        <v>83</v>
      </c>
      <c r="I1312" t="s">
        <v>84</v>
      </c>
      <c r="J1312" t="s">
        <v>85</v>
      </c>
      <c r="K1312" t="s">
        <v>86</v>
      </c>
      <c r="L1312" t="s">
        <v>87</v>
      </c>
      <c r="M1312" t="s">
        <v>122</v>
      </c>
      <c r="N1312" t="s">
        <v>203</v>
      </c>
      <c r="O1312" t="s">
        <v>89</v>
      </c>
      <c r="P1312" t="s">
        <v>90</v>
      </c>
      <c r="Q1312" t="s">
        <v>114</v>
      </c>
      <c r="R1312">
        <v>7</v>
      </c>
      <c r="S1312">
        <v>8</v>
      </c>
      <c r="T1312">
        <v>1959</v>
      </c>
      <c r="U1312">
        <v>2002</v>
      </c>
      <c r="V1312" t="s">
        <v>92</v>
      </c>
      <c r="W1312" t="s">
        <v>93</v>
      </c>
      <c r="X1312" t="s">
        <v>95</v>
      </c>
      <c r="Y1312" t="s">
        <v>139</v>
      </c>
      <c r="Z1312" t="s">
        <v>116</v>
      </c>
      <c r="AA1312">
        <v>0</v>
      </c>
      <c r="AB1312" t="s">
        <v>96</v>
      </c>
      <c r="AC1312" t="s">
        <v>96</v>
      </c>
      <c r="AD1312" t="s">
        <v>98</v>
      </c>
      <c r="AE1312" t="s">
        <v>96</v>
      </c>
      <c r="AF1312" t="s">
        <v>97</v>
      </c>
      <c r="AG1312" t="s">
        <v>129</v>
      </c>
      <c r="AH1312" t="s">
        <v>100</v>
      </c>
      <c r="AI1312">
        <v>1406</v>
      </c>
      <c r="AJ1312" t="s">
        <v>101</v>
      </c>
      <c r="AK1312">
        <v>0</v>
      </c>
      <c r="AL1312">
        <v>496</v>
      </c>
      <c r="AM1312">
        <v>1902</v>
      </c>
      <c r="AN1312" t="s">
        <v>102</v>
      </c>
      <c r="AO1312" t="s">
        <v>97</v>
      </c>
      <c r="AP1312" t="s">
        <v>104</v>
      </c>
      <c r="AQ1312" t="s">
        <v>105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103</v>
      </c>
      <c r="BC1312">
        <v>7</v>
      </c>
      <c r="BD1312" t="s">
        <v>106</v>
      </c>
      <c r="BE1312">
        <v>2</v>
      </c>
      <c r="BF1312" t="s">
        <v>97</v>
      </c>
      <c r="BG1312" t="s">
        <v>107</v>
      </c>
      <c r="BH1312">
        <v>1959</v>
      </c>
      <c r="BI1312" t="s">
        <v>156</v>
      </c>
      <c r="BJ1312">
        <v>2</v>
      </c>
      <c r="BK1312">
        <v>567</v>
      </c>
      <c r="BL1312" t="s">
        <v>97</v>
      </c>
      <c r="BM1312" t="s">
        <v>97</v>
      </c>
      <c r="BN1312" t="s">
        <v>104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X1312">
        <v>0</v>
      </c>
      <c r="BY1312">
        <v>5</v>
      </c>
      <c r="BZ1312">
        <v>2010</v>
      </c>
      <c r="CA1312" t="s">
        <v>109</v>
      </c>
      <c r="CB1312" t="s">
        <v>110</v>
      </c>
      <c r="CC1312">
        <v>335000</v>
      </c>
    </row>
    <row r="1313" spans="1:81" x14ac:dyDescent="0.3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H1313" t="s">
        <v>83</v>
      </c>
      <c r="I1313" t="s">
        <v>84</v>
      </c>
      <c r="J1313" t="s">
        <v>85</v>
      </c>
      <c r="K1313" t="s">
        <v>86</v>
      </c>
      <c r="L1313" t="s">
        <v>87</v>
      </c>
      <c r="M1313" t="s">
        <v>88</v>
      </c>
      <c r="N1313" t="s">
        <v>89</v>
      </c>
      <c r="O1313" t="s">
        <v>89</v>
      </c>
      <c r="P1313" t="s">
        <v>90</v>
      </c>
      <c r="Q1313" t="s">
        <v>114</v>
      </c>
      <c r="R1313">
        <v>7</v>
      </c>
      <c r="S1313">
        <v>5</v>
      </c>
      <c r="T1313">
        <v>2005</v>
      </c>
      <c r="U1313">
        <v>2007</v>
      </c>
      <c r="V1313" t="s">
        <v>92</v>
      </c>
      <c r="W1313" t="s">
        <v>93</v>
      </c>
      <c r="X1313" t="s">
        <v>94</v>
      </c>
      <c r="Y1313" t="s">
        <v>94</v>
      </c>
      <c r="Z1313" t="s">
        <v>95</v>
      </c>
      <c r="AA1313">
        <v>80</v>
      </c>
      <c r="AB1313" t="s">
        <v>96</v>
      </c>
      <c r="AC1313" t="s">
        <v>97</v>
      </c>
      <c r="AD1313" t="s">
        <v>98</v>
      </c>
      <c r="AE1313" t="s">
        <v>96</v>
      </c>
      <c r="AF1313" t="s">
        <v>97</v>
      </c>
      <c r="AG1313" t="s">
        <v>99</v>
      </c>
      <c r="AH1313" t="s">
        <v>100</v>
      </c>
      <c r="AI1313">
        <v>925</v>
      </c>
      <c r="AJ1313" t="s">
        <v>101</v>
      </c>
      <c r="AK1313">
        <v>0</v>
      </c>
      <c r="AL1313">
        <v>349</v>
      </c>
      <c r="AM1313">
        <v>1274</v>
      </c>
      <c r="AN1313" t="s">
        <v>102</v>
      </c>
      <c r="AO1313" t="s">
        <v>103</v>
      </c>
      <c r="AP1313" t="s">
        <v>104</v>
      </c>
      <c r="AQ1313" t="s">
        <v>105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96</v>
      </c>
      <c r="BC1313">
        <v>6</v>
      </c>
      <c r="BD1313" t="s">
        <v>106</v>
      </c>
      <c r="BE1313">
        <v>0</v>
      </c>
      <c r="BG1313" t="s">
        <v>107</v>
      </c>
      <c r="BH1313">
        <v>2005</v>
      </c>
      <c r="BI1313" t="s">
        <v>108</v>
      </c>
      <c r="BJ1313">
        <v>2</v>
      </c>
      <c r="BK1313">
        <v>508</v>
      </c>
      <c r="BL1313" t="s">
        <v>97</v>
      </c>
      <c r="BM1313" t="s">
        <v>97</v>
      </c>
      <c r="BN1313" t="s">
        <v>104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X1313">
        <v>0</v>
      </c>
      <c r="BY1313">
        <v>1</v>
      </c>
      <c r="BZ1313">
        <v>2007</v>
      </c>
      <c r="CA1313" t="s">
        <v>157</v>
      </c>
      <c r="CB1313" t="s">
        <v>158</v>
      </c>
      <c r="CC1313">
        <v>203000</v>
      </c>
    </row>
    <row r="1314" spans="1:81" x14ac:dyDescent="0.3">
      <c r="A1314">
        <v>1313</v>
      </c>
      <c r="B1314">
        <v>60</v>
      </c>
      <c r="C1314" t="s">
        <v>81</v>
      </c>
      <c r="E1314">
        <v>9572</v>
      </c>
      <c r="F1314" t="s">
        <v>82</v>
      </c>
      <c r="H1314" t="s">
        <v>119</v>
      </c>
      <c r="I1314" t="s">
        <v>84</v>
      </c>
      <c r="J1314" t="s">
        <v>85</v>
      </c>
      <c r="K1314" t="s">
        <v>86</v>
      </c>
      <c r="L1314" t="s">
        <v>87</v>
      </c>
      <c r="M1314" t="s">
        <v>128</v>
      </c>
      <c r="N1314" t="s">
        <v>89</v>
      </c>
      <c r="O1314" t="s">
        <v>89</v>
      </c>
      <c r="P1314" t="s">
        <v>90</v>
      </c>
      <c r="Q1314" t="s">
        <v>91</v>
      </c>
      <c r="R1314">
        <v>8</v>
      </c>
      <c r="S1314">
        <v>5</v>
      </c>
      <c r="T1314">
        <v>1990</v>
      </c>
      <c r="U1314">
        <v>1990</v>
      </c>
      <c r="V1314" t="s">
        <v>92</v>
      </c>
      <c r="W1314" t="s">
        <v>93</v>
      </c>
      <c r="X1314" t="s">
        <v>123</v>
      </c>
      <c r="Y1314" t="s">
        <v>123</v>
      </c>
      <c r="Z1314" t="s">
        <v>95</v>
      </c>
      <c r="AA1314">
        <v>336</v>
      </c>
      <c r="AB1314" t="s">
        <v>96</v>
      </c>
      <c r="AC1314" t="s">
        <v>97</v>
      </c>
      <c r="AD1314" t="s">
        <v>98</v>
      </c>
      <c r="AE1314" t="s">
        <v>103</v>
      </c>
      <c r="AF1314" t="s">
        <v>97</v>
      </c>
      <c r="AG1314" t="s">
        <v>99</v>
      </c>
      <c r="AH1314" t="s">
        <v>100</v>
      </c>
      <c r="AI1314">
        <v>482</v>
      </c>
      <c r="AJ1314" t="s">
        <v>101</v>
      </c>
      <c r="AK1314">
        <v>0</v>
      </c>
      <c r="AL1314">
        <v>971</v>
      </c>
      <c r="AM1314">
        <v>1453</v>
      </c>
      <c r="AN1314" t="s">
        <v>102</v>
      </c>
      <c r="AO1314" t="s">
        <v>103</v>
      </c>
      <c r="AP1314" t="s">
        <v>104</v>
      </c>
      <c r="AQ1314" t="s">
        <v>105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96</v>
      </c>
      <c r="BC1314">
        <v>9</v>
      </c>
      <c r="BD1314" t="s">
        <v>106</v>
      </c>
      <c r="BE1314">
        <v>1</v>
      </c>
      <c r="BF1314" t="s">
        <v>103</v>
      </c>
      <c r="BG1314" t="s">
        <v>107</v>
      </c>
      <c r="BH1314">
        <v>1990</v>
      </c>
      <c r="BI1314" t="s">
        <v>108</v>
      </c>
      <c r="BJ1314">
        <v>2</v>
      </c>
      <c r="BK1314">
        <v>750</v>
      </c>
      <c r="BL1314" t="s">
        <v>96</v>
      </c>
      <c r="BM1314" t="s">
        <v>96</v>
      </c>
      <c r="BN1314" t="s">
        <v>104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X1314">
        <v>0</v>
      </c>
      <c r="BY1314">
        <v>6</v>
      </c>
      <c r="BZ1314">
        <v>2007</v>
      </c>
      <c r="CA1314" t="s">
        <v>109</v>
      </c>
      <c r="CB1314" t="s">
        <v>110</v>
      </c>
      <c r="CC1314">
        <v>302000</v>
      </c>
    </row>
    <row r="1315" spans="1:81" x14ac:dyDescent="0.3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H1315" t="s">
        <v>119</v>
      </c>
      <c r="I1315" t="s">
        <v>84</v>
      </c>
      <c r="J1315" t="s">
        <v>85</v>
      </c>
      <c r="K1315" t="s">
        <v>121</v>
      </c>
      <c r="L1315" t="s">
        <v>87</v>
      </c>
      <c r="M1315" t="s">
        <v>128</v>
      </c>
      <c r="N1315" t="s">
        <v>89</v>
      </c>
      <c r="O1315" t="s">
        <v>89</v>
      </c>
      <c r="P1315" t="s">
        <v>90</v>
      </c>
      <c r="Q1315" t="s">
        <v>91</v>
      </c>
      <c r="R1315">
        <v>9</v>
      </c>
      <c r="S1315">
        <v>5</v>
      </c>
      <c r="T1315">
        <v>1999</v>
      </c>
      <c r="U1315">
        <v>1999</v>
      </c>
      <c r="V1315" t="s">
        <v>92</v>
      </c>
      <c r="W1315" t="s">
        <v>93</v>
      </c>
      <c r="X1315" t="s">
        <v>94</v>
      </c>
      <c r="Y1315" t="s">
        <v>94</v>
      </c>
      <c r="Z1315" t="s">
        <v>95</v>
      </c>
      <c r="AA1315">
        <v>165</v>
      </c>
      <c r="AB1315" t="s">
        <v>96</v>
      </c>
      <c r="AC1315" t="s">
        <v>97</v>
      </c>
      <c r="AD1315" t="s">
        <v>98</v>
      </c>
      <c r="AE1315" t="s">
        <v>96</v>
      </c>
      <c r="AF1315" t="s">
        <v>97</v>
      </c>
      <c r="AG1315" t="s">
        <v>99</v>
      </c>
      <c r="AH1315" t="s">
        <v>101</v>
      </c>
      <c r="AI1315">
        <v>0</v>
      </c>
      <c r="AJ1315" t="s">
        <v>101</v>
      </c>
      <c r="AK1315">
        <v>0</v>
      </c>
      <c r="AL1315">
        <v>1393</v>
      </c>
      <c r="AM1315">
        <v>1393</v>
      </c>
      <c r="AN1315" t="s">
        <v>102</v>
      </c>
      <c r="AO1315" t="s">
        <v>103</v>
      </c>
      <c r="AP1315" t="s">
        <v>104</v>
      </c>
      <c r="AQ1315" t="s">
        <v>105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96</v>
      </c>
      <c r="BC1315">
        <v>10</v>
      </c>
      <c r="BD1315" t="s">
        <v>106</v>
      </c>
      <c r="BE1315">
        <v>1</v>
      </c>
      <c r="BF1315" t="s">
        <v>97</v>
      </c>
      <c r="BG1315" t="s">
        <v>155</v>
      </c>
      <c r="BH1315">
        <v>1999</v>
      </c>
      <c r="BI1315" t="s">
        <v>156</v>
      </c>
      <c r="BJ1315">
        <v>3</v>
      </c>
      <c r="BK1315">
        <v>779</v>
      </c>
      <c r="BL1315" t="s">
        <v>97</v>
      </c>
      <c r="BM1315" t="s">
        <v>97</v>
      </c>
      <c r="BN1315" t="s">
        <v>104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X1315">
        <v>0</v>
      </c>
      <c r="BY1315">
        <v>5</v>
      </c>
      <c r="BZ1315">
        <v>2010</v>
      </c>
      <c r="CA1315" t="s">
        <v>109</v>
      </c>
      <c r="CB1315" t="s">
        <v>110</v>
      </c>
      <c r="CC1315">
        <v>333168</v>
      </c>
    </row>
    <row r="1316" spans="1:81" x14ac:dyDescent="0.3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H1316" t="s">
        <v>83</v>
      </c>
      <c r="I1316" t="s">
        <v>84</v>
      </c>
      <c r="J1316" t="s">
        <v>85</v>
      </c>
      <c r="K1316" t="s">
        <v>86</v>
      </c>
      <c r="L1316" t="s">
        <v>87</v>
      </c>
      <c r="M1316" t="s">
        <v>184</v>
      </c>
      <c r="N1316" t="s">
        <v>89</v>
      </c>
      <c r="O1316" t="s">
        <v>89</v>
      </c>
      <c r="P1316" t="s">
        <v>90</v>
      </c>
      <c r="Q1316" t="s">
        <v>114</v>
      </c>
      <c r="R1316">
        <v>4</v>
      </c>
      <c r="S1316">
        <v>6</v>
      </c>
      <c r="T1316">
        <v>1954</v>
      </c>
      <c r="U1316">
        <v>1954</v>
      </c>
      <c r="V1316" t="s">
        <v>151</v>
      </c>
      <c r="W1316" t="s">
        <v>93</v>
      </c>
      <c r="X1316" t="s">
        <v>123</v>
      </c>
      <c r="Y1316" t="s">
        <v>123</v>
      </c>
      <c r="Z1316" t="s">
        <v>116</v>
      </c>
      <c r="AA1316">
        <v>0</v>
      </c>
      <c r="AB1316" t="s">
        <v>97</v>
      </c>
      <c r="AC1316" t="s">
        <v>97</v>
      </c>
      <c r="AD1316" t="s">
        <v>117</v>
      </c>
      <c r="AE1316" t="s">
        <v>97</v>
      </c>
      <c r="AF1316" t="s">
        <v>97</v>
      </c>
      <c r="AG1316" t="s">
        <v>99</v>
      </c>
      <c r="AH1316" t="s">
        <v>152</v>
      </c>
      <c r="AI1316">
        <v>732</v>
      </c>
      <c r="AJ1316" t="s">
        <v>101</v>
      </c>
      <c r="AK1316">
        <v>0</v>
      </c>
      <c r="AL1316">
        <v>216</v>
      </c>
      <c r="AM1316">
        <v>948</v>
      </c>
      <c r="AN1316" t="s">
        <v>102</v>
      </c>
      <c r="AO1316" t="s">
        <v>103</v>
      </c>
      <c r="AP1316" t="s">
        <v>104</v>
      </c>
      <c r="AQ1316" t="s">
        <v>105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97</v>
      </c>
      <c r="BC1316">
        <v>5</v>
      </c>
      <c r="BD1316" t="s">
        <v>106</v>
      </c>
      <c r="BE1316">
        <v>1</v>
      </c>
      <c r="BF1316" t="s">
        <v>97</v>
      </c>
      <c r="BG1316" t="s">
        <v>126</v>
      </c>
      <c r="BH1316">
        <v>1956</v>
      </c>
      <c r="BI1316" t="s">
        <v>101</v>
      </c>
      <c r="BJ1316">
        <v>1</v>
      </c>
      <c r="BK1316">
        <v>280</v>
      </c>
      <c r="BL1316" t="s">
        <v>97</v>
      </c>
      <c r="BM1316" t="s">
        <v>97</v>
      </c>
      <c r="BN1316" t="s">
        <v>104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X1316">
        <v>0</v>
      </c>
      <c r="BY1316">
        <v>10</v>
      </c>
      <c r="BZ1316">
        <v>2007</v>
      </c>
      <c r="CA1316" t="s">
        <v>109</v>
      </c>
      <c r="CB1316" t="s">
        <v>110</v>
      </c>
      <c r="CC1316">
        <v>119000</v>
      </c>
    </row>
    <row r="1317" spans="1:81" x14ac:dyDescent="0.3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H1317" t="s">
        <v>83</v>
      </c>
      <c r="I1317" t="s">
        <v>84</v>
      </c>
      <c r="J1317" t="s">
        <v>85</v>
      </c>
      <c r="K1317" t="s">
        <v>86</v>
      </c>
      <c r="L1317" t="s">
        <v>87</v>
      </c>
      <c r="M1317" t="s">
        <v>270</v>
      </c>
      <c r="N1317" t="s">
        <v>89</v>
      </c>
      <c r="O1317" t="s">
        <v>89</v>
      </c>
      <c r="P1317" t="s">
        <v>90</v>
      </c>
      <c r="Q1317" t="s">
        <v>91</v>
      </c>
      <c r="R1317">
        <v>6</v>
      </c>
      <c r="S1317">
        <v>5</v>
      </c>
      <c r="T1317">
        <v>1969</v>
      </c>
      <c r="U1317">
        <v>1969</v>
      </c>
      <c r="V1317" t="s">
        <v>92</v>
      </c>
      <c r="W1317" t="s">
        <v>93</v>
      </c>
      <c r="X1317" t="s">
        <v>139</v>
      </c>
      <c r="Y1317" t="s">
        <v>139</v>
      </c>
      <c r="Z1317" t="s">
        <v>116</v>
      </c>
      <c r="AA1317">
        <v>0</v>
      </c>
      <c r="AB1317" t="s">
        <v>97</v>
      </c>
      <c r="AC1317" t="s">
        <v>97</v>
      </c>
      <c r="AD1317" t="s">
        <v>117</v>
      </c>
      <c r="AE1317" t="s">
        <v>146</v>
      </c>
      <c r="AF1317" t="s">
        <v>97</v>
      </c>
      <c r="AG1317" t="s">
        <v>120</v>
      </c>
      <c r="AH1317" t="s">
        <v>118</v>
      </c>
      <c r="AI1317">
        <v>500</v>
      </c>
      <c r="AJ1317" t="s">
        <v>171</v>
      </c>
      <c r="AK1317">
        <v>276</v>
      </c>
      <c r="AL1317">
        <v>176</v>
      </c>
      <c r="AM1317">
        <v>952</v>
      </c>
      <c r="AN1317" t="s">
        <v>102</v>
      </c>
      <c r="AO1317" t="s">
        <v>97</v>
      </c>
      <c r="AP1317" t="s">
        <v>104</v>
      </c>
      <c r="AQ1317" t="s">
        <v>105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97</v>
      </c>
      <c r="BC1317">
        <v>9</v>
      </c>
      <c r="BD1317" t="s">
        <v>106</v>
      </c>
      <c r="BE1317">
        <v>2</v>
      </c>
      <c r="BF1317" t="s">
        <v>96</v>
      </c>
      <c r="BG1317" t="s">
        <v>107</v>
      </c>
      <c r="BH1317">
        <v>1969</v>
      </c>
      <c r="BI1317" t="s">
        <v>101</v>
      </c>
      <c r="BJ1317">
        <v>2</v>
      </c>
      <c r="BK1317">
        <v>576</v>
      </c>
      <c r="BL1317" t="s">
        <v>97</v>
      </c>
      <c r="BM1317" t="s">
        <v>97</v>
      </c>
      <c r="BN1317" t="s">
        <v>104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X1317">
        <v>0</v>
      </c>
      <c r="BY1317">
        <v>6</v>
      </c>
      <c r="BZ1317">
        <v>2008</v>
      </c>
      <c r="CA1317" t="s">
        <v>109</v>
      </c>
      <c r="CB1317" t="s">
        <v>110</v>
      </c>
      <c r="CC1317">
        <v>206900</v>
      </c>
    </row>
    <row r="1318" spans="1:81" x14ac:dyDescent="0.3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H1318" t="s">
        <v>119</v>
      </c>
      <c r="I1318" t="s">
        <v>84</v>
      </c>
      <c r="J1318" t="s">
        <v>85</v>
      </c>
      <c r="K1318" t="s">
        <v>86</v>
      </c>
      <c r="L1318" t="s">
        <v>87</v>
      </c>
      <c r="M1318" t="s">
        <v>88</v>
      </c>
      <c r="N1318" t="s">
        <v>89</v>
      </c>
      <c r="O1318" t="s">
        <v>89</v>
      </c>
      <c r="P1318" t="s">
        <v>90</v>
      </c>
      <c r="Q1318" t="s">
        <v>114</v>
      </c>
      <c r="R1318">
        <v>8</v>
      </c>
      <c r="S1318">
        <v>5</v>
      </c>
      <c r="T1318">
        <v>2008</v>
      </c>
      <c r="U1318">
        <v>2008</v>
      </c>
      <c r="V1318" t="s">
        <v>92</v>
      </c>
      <c r="W1318" t="s">
        <v>93</v>
      </c>
      <c r="X1318" t="s">
        <v>94</v>
      </c>
      <c r="Y1318" t="s">
        <v>94</v>
      </c>
      <c r="Z1318" t="s">
        <v>136</v>
      </c>
      <c r="AA1318">
        <v>270</v>
      </c>
      <c r="AB1318" t="s">
        <v>96</v>
      </c>
      <c r="AC1318" t="s">
        <v>97</v>
      </c>
      <c r="AD1318" t="s">
        <v>98</v>
      </c>
      <c r="AE1318" t="s">
        <v>103</v>
      </c>
      <c r="AF1318" t="s">
        <v>97</v>
      </c>
      <c r="AG1318" t="s">
        <v>96</v>
      </c>
      <c r="AH1318" t="s">
        <v>101</v>
      </c>
      <c r="AI1318">
        <v>0</v>
      </c>
      <c r="AJ1318" t="s">
        <v>101</v>
      </c>
      <c r="AK1318">
        <v>0</v>
      </c>
      <c r="AL1318">
        <v>1622</v>
      </c>
      <c r="AM1318">
        <v>1622</v>
      </c>
      <c r="AN1318" t="s">
        <v>102</v>
      </c>
      <c r="AO1318" t="s">
        <v>103</v>
      </c>
      <c r="AP1318" t="s">
        <v>104</v>
      </c>
      <c r="AQ1318" t="s">
        <v>105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103</v>
      </c>
      <c r="BC1318">
        <v>8</v>
      </c>
      <c r="BD1318" t="s">
        <v>106</v>
      </c>
      <c r="BE1318">
        <v>1</v>
      </c>
      <c r="BF1318" t="s">
        <v>96</v>
      </c>
      <c r="BG1318" t="s">
        <v>107</v>
      </c>
      <c r="BH1318">
        <v>2008</v>
      </c>
      <c r="BI1318" t="s">
        <v>108</v>
      </c>
      <c r="BJ1318">
        <v>3</v>
      </c>
      <c r="BK1318">
        <v>860</v>
      </c>
      <c r="BL1318" t="s">
        <v>97</v>
      </c>
      <c r="BM1318" t="s">
        <v>97</v>
      </c>
      <c r="BN1318" t="s">
        <v>104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X1318">
        <v>0</v>
      </c>
      <c r="BY1318">
        <v>1</v>
      </c>
      <c r="BZ1318">
        <v>2009</v>
      </c>
      <c r="CA1318" t="s">
        <v>109</v>
      </c>
      <c r="CB1318" t="s">
        <v>110</v>
      </c>
      <c r="CC1318">
        <v>295493</v>
      </c>
    </row>
    <row r="1319" spans="1:81" x14ac:dyDescent="0.3">
      <c r="A1319">
        <v>1318</v>
      </c>
      <c r="B1319">
        <v>120</v>
      </c>
      <c r="C1319" t="s">
        <v>191</v>
      </c>
      <c r="D1319">
        <v>47</v>
      </c>
      <c r="E1319">
        <v>4230</v>
      </c>
      <c r="F1319" t="s">
        <v>82</v>
      </c>
      <c r="G1319" t="s">
        <v>82</v>
      </c>
      <c r="H1319" t="s">
        <v>83</v>
      </c>
      <c r="I1319" t="s">
        <v>84</v>
      </c>
      <c r="J1319" t="s">
        <v>85</v>
      </c>
      <c r="K1319" t="s">
        <v>121</v>
      </c>
      <c r="L1319" t="s">
        <v>87</v>
      </c>
      <c r="M1319" t="s">
        <v>135</v>
      </c>
      <c r="N1319" t="s">
        <v>89</v>
      </c>
      <c r="O1319" t="s">
        <v>89</v>
      </c>
      <c r="P1319" t="s">
        <v>178</v>
      </c>
      <c r="Q1319" t="s">
        <v>114</v>
      </c>
      <c r="R1319">
        <v>7</v>
      </c>
      <c r="S1319">
        <v>5</v>
      </c>
      <c r="T1319">
        <v>2006</v>
      </c>
      <c r="U1319">
        <v>2007</v>
      </c>
      <c r="V1319" t="s">
        <v>92</v>
      </c>
      <c r="W1319" t="s">
        <v>93</v>
      </c>
      <c r="X1319" t="s">
        <v>94</v>
      </c>
      <c r="Y1319" t="s">
        <v>94</v>
      </c>
      <c r="Z1319" t="s">
        <v>116</v>
      </c>
      <c r="AA1319">
        <v>0</v>
      </c>
      <c r="AB1319" t="s">
        <v>96</v>
      </c>
      <c r="AC1319" t="s">
        <v>97</v>
      </c>
      <c r="AD1319" t="s">
        <v>98</v>
      </c>
      <c r="AE1319" t="s">
        <v>103</v>
      </c>
      <c r="AF1319" t="s">
        <v>96</v>
      </c>
      <c r="AG1319" t="s">
        <v>99</v>
      </c>
      <c r="AH1319" t="s">
        <v>101</v>
      </c>
      <c r="AI1319">
        <v>0</v>
      </c>
      <c r="AJ1319" t="s">
        <v>101</v>
      </c>
      <c r="AK1319">
        <v>0</v>
      </c>
      <c r="AL1319">
        <v>1352</v>
      </c>
      <c r="AM1319">
        <v>1352</v>
      </c>
      <c r="AN1319" t="s">
        <v>102</v>
      </c>
      <c r="AO1319" t="s">
        <v>103</v>
      </c>
      <c r="AP1319" t="s">
        <v>104</v>
      </c>
      <c r="AQ1319" t="s">
        <v>105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96</v>
      </c>
      <c r="BC1319">
        <v>5</v>
      </c>
      <c r="BD1319" t="s">
        <v>106</v>
      </c>
      <c r="BE1319">
        <v>1</v>
      </c>
      <c r="BF1319" t="s">
        <v>96</v>
      </c>
      <c r="BG1319" t="s">
        <v>107</v>
      </c>
      <c r="BH1319">
        <v>2006</v>
      </c>
      <c r="BI1319" t="s">
        <v>108</v>
      </c>
      <c r="BJ1319">
        <v>2</v>
      </c>
      <c r="BK1319">
        <v>466</v>
      </c>
      <c r="BL1319" t="s">
        <v>97</v>
      </c>
      <c r="BM1319" t="s">
        <v>97</v>
      </c>
      <c r="BN1319" t="s">
        <v>104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X1319">
        <v>0</v>
      </c>
      <c r="BY1319">
        <v>4</v>
      </c>
      <c r="BZ1319">
        <v>2007</v>
      </c>
      <c r="CA1319" t="s">
        <v>157</v>
      </c>
      <c r="CB1319" t="s">
        <v>158</v>
      </c>
      <c r="CC1319">
        <v>208900</v>
      </c>
    </row>
    <row r="1320" spans="1:81" x14ac:dyDescent="0.3">
      <c r="A1320">
        <v>1319</v>
      </c>
      <c r="B1320">
        <v>20</v>
      </c>
      <c r="C1320" t="s">
        <v>81</v>
      </c>
      <c r="E1320">
        <v>14781</v>
      </c>
      <c r="F1320" t="s">
        <v>82</v>
      </c>
      <c r="H1320" t="s">
        <v>159</v>
      </c>
      <c r="I1320" t="s">
        <v>84</v>
      </c>
      <c r="J1320" t="s">
        <v>85</v>
      </c>
      <c r="K1320" t="s">
        <v>165</v>
      </c>
      <c r="L1320" t="s">
        <v>87</v>
      </c>
      <c r="M1320" t="s">
        <v>88</v>
      </c>
      <c r="N1320" t="s">
        <v>89</v>
      </c>
      <c r="O1320" t="s">
        <v>89</v>
      </c>
      <c r="P1320" t="s">
        <v>90</v>
      </c>
      <c r="Q1320" t="s">
        <v>114</v>
      </c>
      <c r="R1320">
        <v>8</v>
      </c>
      <c r="S1320">
        <v>5</v>
      </c>
      <c r="T1320">
        <v>2001</v>
      </c>
      <c r="U1320">
        <v>2002</v>
      </c>
      <c r="V1320" t="s">
        <v>151</v>
      </c>
      <c r="W1320" t="s">
        <v>93</v>
      </c>
      <c r="X1320" t="s">
        <v>94</v>
      </c>
      <c r="Y1320" t="s">
        <v>94</v>
      </c>
      <c r="Z1320" t="s">
        <v>95</v>
      </c>
      <c r="AA1320">
        <v>178</v>
      </c>
      <c r="AB1320" t="s">
        <v>96</v>
      </c>
      <c r="AC1320" t="s">
        <v>97</v>
      </c>
      <c r="AD1320" t="s">
        <v>98</v>
      </c>
      <c r="AE1320" t="s">
        <v>96</v>
      </c>
      <c r="AF1320" t="s">
        <v>97</v>
      </c>
      <c r="AG1320" t="s">
        <v>96</v>
      </c>
      <c r="AH1320" t="s">
        <v>101</v>
      </c>
      <c r="AI1320">
        <v>0</v>
      </c>
      <c r="AJ1320" t="s">
        <v>101</v>
      </c>
      <c r="AK1320">
        <v>0</v>
      </c>
      <c r="AL1320">
        <v>1753</v>
      </c>
      <c r="AM1320">
        <v>1753</v>
      </c>
      <c r="AN1320" t="s">
        <v>102</v>
      </c>
      <c r="AO1320" t="s">
        <v>103</v>
      </c>
      <c r="AP1320" t="s">
        <v>104</v>
      </c>
      <c r="AQ1320" t="s">
        <v>105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96</v>
      </c>
      <c r="BC1320">
        <v>7</v>
      </c>
      <c r="BD1320" t="s">
        <v>106</v>
      </c>
      <c r="BE1320">
        <v>1</v>
      </c>
      <c r="BF1320" t="s">
        <v>97</v>
      </c>
      <c r="BG1320" t="s">
        <v>107</v>
      </c>
      <c r="BH1320">
        <v>2001</v>
      </c>
      <c r="BI1320" t="s">
        <v>108</v>
      </c>
      <c r="BJ1320">
        <v>3</v>
      </c>
      <c r="BK1320">
        <v>748</v>
      </c>
      <c r="BL1320" t="s">
        <v>97</v>
      </c>
      <c r="BM1320" t="s">
        <v>97</v>
      </c>
      <c r="BN1320" t="s">
        <v>104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X1320">
        <v>0</v>
      </c>
      <c r="BY1320">
        <v>8</v>
      </c>
      <c r="BZ1320">
        <v>2006</v>
      </c>
      <c r="CA1320" t="s">
        <v>109</v>
      </c>
      <c r="CB1320" t="s">
        <v>110</v>
      </c>
      <c r="CC1320">
        <v>275000</v>
      </c>
    </row>
    <row r="1321" spans="1:81" x14ac:dyDescent="0.3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H1321" t="s">
        <v>83</v>
      </c>
      <c r="I1321" t="s">
        <v>174</v>
      </c>
      <c r="J1321" t="s">
        <v>85</v>
      </c>
      <c r="K1321" t="s">
        <v>86</v>
      </c>
      <c r="L1321" t="s">
        <v>87</v>
      </c>
      <c r="M1321" t="s">
        <v>184</v>
      </c>
      <c r="N1321" t="s">
        <v>89</v>
      </c>
      <c r="O1321" t="s">
        <v>89</v>
      </c>
      <c r="P1321" t="s">
        <v>90</v>
      </c>
      <c r="Q1321" t="s">
        <v>114</v>
      </c>
      <c r="R1321">
        <v>4</v>
      </c>
      <c r="S1321">
        <v>5</v>
      </c>
      <c r="T1321">
        <v>1954</v>
      </c>
      <c r="U1321">
        <v>1954</v>
      </c>
      <c r="V1321" t="s">
        <v>151</v>
      </c>
      <c r="W1321" t="s">
        <v>93</v>
      </c>
      <c r="X1321" t="s">
        <v>123</v>
      </c>
      <c r="Y1321" t="s">
        <v>123</v>
      </c>
      <c r="Z1321" t="s">
        <v>95</v>
      </c>
      <c r="AA1321">
        <v>132</v>
      </c>
      <c r="AB1321" t="s">
        <v>97</v>
      </c>
      <c r="AC1321" t="s">
        <v>97</v>
      </c>
      <c r="AD1321" t="s">
        <v>98</v>
      </c>
      <c r="AE1321" t="s">
        <v>97</v>
      </c>
      <c r="AF1321" t="s">
        <v>97</v>
      </c>
      <c r="AG1321" t="s">
        <v>99</v>
      </c>
      <c r="AH1321" t="s">
        <v>118</v>
      </c>
      <c r="AI1321">
        <v>492</v>
      </c>
      <c r="AJ1321" t="s">
        <v>101</v>
      </c>
      <c r="AK1321">
        <v>0</v>
      </c>
      <c r="AL1321">
        <v>372</v>
      </c>
      <c r="AM1321">
        <v>864</v>
      </c>
      <c r="AN1321" t="s">
        <v>102</v>
      </c>
      <c r="AO1321" t="s">
        <v>103</v>
      </c>
      <c r="AP1321" t="s">
        <v>104</v>
      </c>
      <c r="AQ1321" t="s">
        <v>105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97</v>
      </c>
      <c r="BC1321">
        <v>5</v>
      </c>
      <c r="BD1321" t="s">
        <v>106</v>
      </c>
      <c r="BE1321">
        <v>0</v>
      </c>
      <c r="BG1321" t="s">
        <v>107</v>
      </c>
      <c r="BH1321">
        <v>1954</v>
      </c>
      <c r="BI1321" t="s">
        <v>101</v>
      </c>
      <c r="BJ1321">
        <v>1</v>
      </c>
      <c r="BK1321">
        <v>248</v>
      </c>
      <c r="BL1321" t="s">
        <v>97</v>
      </c>
      <c r="BM1321" t="s">
        <v>97</v>
      </c>
      <c r="BN1321" t="s">
        <v>104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X1321">
        <v>0</v>
      </c>
      <c r="BY1321">
        <v>2</v>
      </c>
      <c r="BZ1321">
        <v>2007</v>
      </c>
      <c r="CA1321" t="s">
        <v>109</v>
      </c>
      <c r="CB1321" t="s">
        <v>110</v>
      </c>
      <c r="CC1321">
        <v>111000</v>
      </c>
    </row>
    <row r="1322" spans="1:81" x14ac:dyDescent="0.3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H1322" t="s">
        <v>83</v>
      </c>
      <c r="I1322" t="s">
        <v>84</v>
      </c>
      <c r="J1322" t="s">
        <v>85</v>
      </c>
      <c r="K1322" t="s">
        <v>86</v>
      </c>
      <c r="L1322" t="s">
        <v>87</v>
      </c>
      <c r="M1322" t="s">
        <v>270</v>
      </c>
      <c r="N1322" t="s">
        <v>89</v>
      </c>
      <c r="O1322" t="s">
        <v>89</v>
      </c>
      <c r="P1322" t="s">
        <v>90</v>
      </c>
      <c r="Q1322" t="s">
        <v>114</v>
      </c>
      <c r="R1322">
        <v>6</v>
      </c>
      <c r="S1322">
        <v>3</v>
      </c>
      <c r="T1322">
        <v>1957</v>
      </c>
      <c r="U1322">
        <v>1957</v>
      </c>
      <c r="V1322" t="s">
        <v>151</v>
      </c>
      <c r="W1322" t="s">
        <v>93</v>
      </c>
      <c r="X1322" t="s">
        <v>95</v>
      </c>
      <c r="Y1322" t="s">
        <v>95</v>
      </c>
      <c r="Z1322" t="s">
        <v>116</v>
      </c>
      <c r="AA1322">
        <v>0</v>
      </c>
      <c r="AB1322" t="s">
        <v>97</v>
      </c>
      <c r="AC1322" t="s">
        <v>97</v>
      </c>
      <c r="AD1322" t="s">
        <v>117</v>
      </c>
      <c r="AE1322" t="s">
        <v>97</v>
      </c>
      <c r="AF1322" t="s">
        <v>97</v>
      </c>
      <c r="AG1322" t="s">
        <v>99</v>
      </c>
      <c r="AH1322" t="s">
        <v>118</v>
      </c>
      <c r="AI1322">
        <v>189</v>
      </c>
      <c r="AJ1322" t="s">
        <v>152</v>
      </c>
      <c r="AK1322">
        <v>661</v>
      </c>
      <c r="AL1322">
        <v>628</v>
      </c>
      <c r="AM1322">
        <v>1478</v>
      </c>
      <c r="AN1322" t="s">
        <v>102</v>
      </c>
      <c r="AO1322" t="s">
        <v>96</v>
      </c>
      <c r="AP1322" t="s">
        <v>104</v>
      </c>
      <c r="AQ1322" t="s">
        <v>105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97</v>
      </c>
      <c r="BC1322">
        <v>6</v>
      </c>
      <c r="BD1322" t="s">
        <v>106</v>
      </c>
      <c r="BE1322">
        <v>2</v>
      </c>
      <c r="BF1322" t="s">
        <v>96</v>
      </c>
      <c r="BG1322" t="s">
        <v>107</v>
      </c>
      <c r="BH1322">
        <v>1957</v>
      </c>
      <c r="BI1322" t="s">
        <v>108</v>
      </c>
      <c r="BJ1322">
        <v>2</v>
      </c>
      <c r="BK1322">
        <v>442</v>
      </c>
      <c r="BL1322" t="s">
        <v>97</v>
      </c>
      <c r="BM1322" t="s">
        <v>97</v>
      </c>
      <c r="BN1322" t="s">
        <v>104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X1322">
        <v>0</v>
      </c>
      <c r="BY1322">
        <v>6</v>
      </c>
      <c r="BZ1322">
        <v>2009</v>
      </c>
      <c r="CA1322" t="s">
        <v>109</v>
      </c>
      <c r="CB1322" t="s">
        <v>110</v>
      </c>
      <c r="CC1322">
        <v>156500</v>
      </c>
    </row>
    <row r="1323" spans="1:81" x14ac:dyDescent="0.3">
      <c r="A1323">
        <v>1322</v>
      </c>
      <c r="B1323">
        <v>20</v>
      </c>
      <c r="C1323" t="s">
        <v>81</v>
      </c>
      <c r="E1323">
        <v>6627</v>
      </c>
      <c r="F1323" t="s">
        <v>82</v>
      </c>
      <c r="H1323" t="s">
        <v>119</v>
      </c>
      <c r="I1323" t="s">
        <v>84</v>
      </c>
      <c r="J1323" t="s">
        <v>85</v>
      </c>
      <c r="K1323" t="s">
        <v>121</v>
      </c>
      <c r="L1323" t="s">
        <v>87</v>
      </c>
      <c r="M1323" t="s">
        <v>147</v>
      </c>
      <c r="N1323" t="s">
        <v>113</v>
      </c>
      <c r="O1323" t="s">
        <v>89</v>
      </c>
      <c r="P1323" t="s">
        <v>90</v>
      </c>
      <c r="Q1323" t="s">
        <v>114</v>
      </c>
      <c r="R1323">
        <v>3</v>
      </c>
      <c r="S1323">
        <v>6</v>
      </c>
      <c r="T1323">
        <v>1949</v>
      </c>
      <c r="U1323">
        <v>1950</v>
      </c>
      <c r="V1323" t="s">
        <v>151</v>
      </c>
      <c r="W1323" t="s">
        <v>93</v>
      </c>
      <c r="X1323" t="s">
        <v>94</v>
      </c>
      <c r="Y1323" t="s">
        <v>94</v>
      </c>
      <c r="Z1323" t="s">
        <v>116</v>
      </c>
      <c r="AA1323">
        <v>0</v>
      </c>
      <c r="AB1323" t="s">
        <v>97</v>
      </c>
      <c r="AC1323" t="s">
        <v>97</v>
      </c>
      <c r="AD1323" t="s">
        <v>117</v>
      </c>
      <c r="AI1323">
        <v>0</v>
      </c>
      <c r="AK1323">
        <v>0</v>
      </c>
      <c r="AL1323">
        <v>0</v>
      </c>
      <c r="AM1323">
        <v>0</v>
      </c>
      <c r="AN1323" t="s">
        <v>253</v>
      </c>
      <c r="AO1323" t="s">
        <v>97</v>
      </c>
      <c r="AP1323" t="s">
        <v>176</v>
      </c>
      <c r="AQ1323" t="s">
        <v>105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97</v>
      </c>
      <c r="BC1323">
        <v>4</v>
      </c>
      <c r="BD1323" t="s">
        <v>106</v>
      </c>
      <c r="BE1323">
        <v>0</v>
      </c>
      <c r="BG1323" t="s">
        <v>126</v>
      </c>
      <c r="BH1323">
        <v>1955</v>
      </c>
      <c r="BI1323" t="s">
        <v>101</v>
      </c>
      <c r="BJ1323">
        <v>1</v>
      </c>
      <c r="BK1323">
        <v>287</v>
      </c>
      <c r="BL1323" t="s">
        <v>97</v>
      </c>
      <c r="BM1323" t="s">
        <v>146</v>
      </c>
      <c r="BN1323" t="s">
        <v>104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X1323">
        <v>0</v>
      </c>
      <c r="BY1323">
        <v>7</v>
      </c>
      <c r="BZ1323">
        <v>2008</v>
      </c>
      <c r="CA1323" t="s">
        <v>109</v>
      </c>
      <c r="CB1323" t="s">
        <v>110</v>
      </c>
      <c r="CC1323">
        <v>72500</v>
      </c>
    </row>
    <row r="1324" spans="1:81" x14ac:dyDescent="0.3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H1324" t="s">
        <v>119</v>
      </c>
      <c r="I1324" t="s">
        <v>84</v>
      </c>
      <c r="J1324" t="s">
        <v>85</v>
      </c>
      <c r="K1324" t="s">
        <v>86</v>
      </c>
      <c r="L1324" t="s">
        <v>87</v>
      </c>
      <c r="M1324" t="s">
        <v>128</v>
      </c>
      <c r="N1324" t="s">
        <v>89</v>
      </c>
      <c r="O1324" t="s">
        <v>89</v>
      </c>
      <c r="P1324" t="s">
        <v>90</v>
      </c>
      <c r="Q1324" t="s">
        <v>91</v>
      </c>
      <c r="R1324">
        <v>7</v>
      </c>
      <c r="S1324">
        <v>5</v>
      </c>
      <c r="T1324">
        <v>1992</v>
      </c>
      <c r="U1324">
        <v>1992</v>
      </c>
      <c r="V1324" t="s">
        <v>92</v>
      </c>
      <c r="W1324" t="s">
        <v>93</v>
      </c>
      <c r="X1324" t="s">
        <v>139</v>
      </c>
      <c r="Y1324" t="s">
        <v>139</v>
      </c>
      <c r="Z1324" t="s">
        <v>116</v>
      </c>
      <c r="AA1324">
        <v>0</v>
      </c>
      <c r="AB1324" t="s">
        <v>96</v>
      </c>
      <c r="AC1324" t="s">
        <v>97</v>
      </c>
      <c r="AD1324" t="s">
        <v>98</v>
      </c>
      <c r="AE1324" t="s">
        <v>96</v>
      </c>
      <c r="AF1324" t="s">
        <v>97</v>
      </c>
      <c r="AG1324" t="s">
        <v>99</v>
      </c>
      <c r="AH1324" t="s">
        <v>100</v>
      </c>
      <c r="AI1324">
        <v>674</v>
      </c>
      <c r="AJ1324" t="s">
        <v>101</v>
      </c>
      <c r="AK1324">
        <v>0</v>
      </c>
      <c r="AL1324">
        <v>76</v>
      </c>
      <c r="AM1324">
        <v>750</v>
      </c>
      <c r="AN1324" t="s">
        <v>102</v>
      </c>
      <c r="AO1324" t="s">
        <v>103</v>
      </c>
      <c r="AP1324" t="s">
        <v>104</v>
      </c>
      <c r="AQ1324" t="s">
        <v>105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96</v>
      </c>
      <c r="BC1324">
        <v>8</v>
      </c>
      <c r="BD1324" t="s">
        <v>106</v>
      </c>
      <c r="BE1324">
        <v>1</v>
      </c>
      <c r="BF1324" t="s">
        <v>97</v>
      </c>
      <c r="BG1324" t="s">
        <v>107</v>
      </c>
      <c r="BH1324">
        <v>1992</v>
      </c>
      <c r="BI1324" t="s">
        <v>108</v>
      </c>
      <c r="BJ1324">
        <v>2</v>
      </c>
      <c r="BK1324">
        <v>564</v>
      </c>
      <c r="BL1324" t="s">
        <v>97</v>
      </c>
      <c r="BM1324" t="s">
        <v>97</v>
      </c>
      <c r="BN1324" t="s">
        <v>104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X1324">
        <v>0</v>
      </c>
      <c r="BY1324">
        <v>6</v>
      </c>
      <c r="BZ1324">
        <v>2010</v>
      </c>
      <c r="CA1324" t="s">
        <v>109</v>
      </c>
      <c r="CB1324" t="s">
        <v>110</v>
      </c>
      <c r="CC1324">
        <v>190000</v>
      </c>
    </row>
    <row r="1325" spans="1:81" x14ac:dyDescent="0.3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H1325" t="s">
        <v>83</v>
      </c>
      <c r="I1325" t="s">
        <v>198</v>
      </c>
      <c r="J1325" t="s">
        <v>85</v>
      </c>
      <c r="K1325" t="s">
        <v>86</v>
      </c>
      <c r="L1325" t="s">
        <v>87</v>
      </c>
      <c r="M1325" t="s">
        <v>147</v>
      </c>
      <c r="N1325" t="s">
        <v>89</v>
      </c>
      <c r="O1325" t="s">
        <v>89</v>
      </c>
      <c r="P1325" t="s">
        <v>90</v>
      </c>
      <c r="Q1325" t="s">
        <v>114</v>
      </c>
      <c r="R1325">
        <v>4</v>
      </c>
      <c r="S1325">
        <v>7</v>
      </c>
      <c r="T1325">
        <v>1940</v>
      </c>
      <c r="U1325">
        <v>1950</v>
      </c>
      <c r="V1325" t="s">
        <v>151</v>
      </c>
      <c r="W1325" t="s">
        <v>93</v>
      </c>
      <c r="X1325" t="s">
        <v>94</v>
      </c>
      <c r="Y1325" t="s">
        <v>94</v>
      </c>
      <c r="Z1325" t="s">
        <v>116</v>
      </c>
      <c r="AA1325">
        <v>0</v>
      </c>
      <c r="AB1325" t="s">
        <v>146</v>
      </c>
      <c r="AC1325" t="s">
        <v>97</v>
      </c>
      <c r="AD1325" t="s">
        <v>117</v>
      </c>
      <c r="AE1325" t="s">
        <v>97</v>
      </c>
      <c r="AF1325" t="s">
        <v>97</v>
      </c>
      <c r="AG1325" t="s">
        <v>99</v>
      </c>
      <c r="AH1325" t="s">
        <v>171</v>
      </c>
      <c r="AI1325">
        <v>280</v>
      </c>
      <c r="AJ1325" t="s">
        <v>101</v>
      </c>
      <c r="AK1325">
        <v>0</v>
      </c>
      <c r="AL1325">
        <v>140</v>
      </c>
      <c r="AM1325">
        <v>420</v>
      </c>
      <c r="AN1325" t="s">
        <v>102</v>
      </c>
      <c r="AO1325" t="s">
        <v>96</v>
      </c>
      <c r="AP1325" t="s">
        <v>104</v>
      </c>
      <c r="AQ1325" t="s">
        <v>105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146</v>
      </c>
      <c r="BC1325">
        <v>5</v>
      </c>
      <c r="BD1325" t="s">
        <v>106</v>
      </c>
      <c r="BE1325">
        <v>0</v>
      </c>
      <c r="BJ1325">
        <v>0</v>
      </c>
      <c r="BK1325">
        <v>0</v>
      </c>
      <c r="BN1325" t="s">
        <v>104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X1325">
        <v>0</v>
      </c>
      <c r="BY1325">
        <v>12</v>
      </c>
      <c r="BZ1325">
        <v>2009</v>
      </c>
      <c r="CA1325" t="s">
        <v>109</v>
      </c>
      <c r="CB1325" t="s">
        <v>110</v>
      </c>
      <c r="CC1325">
        <v>82500</v>
      </c>
    </row>
    <row r="1326" spans="1:81" x14ac:dyDescent="0.3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H1326" t="s">
        <v>83</v>
      </c>
      <c r="I1326" t="s">
        <v>84</v>
      </c>
      <c r="J1326" t="s">
        <v>85</v>
      </c>
      <c r="K1326" t="s">
        <v>86</v>
      </c>
      <c r="L1326" t="s">
        <v>87</v>
      </c>
      <c r="M1326" t="s">
        <v>135</v>
      </c>
      <c r="N1326" t="s">
        <v>89</v>
      </c>
      <c r="O1326" t="s">
        <v>89</v>
      </c>
      <c r="P1326" t="s">
        <v>90</v>
      </c>
      <c r="Q1326" t="s">
        <v>114</v>
      </c>
      <c r="R1326">
        <v>8</v>
      </c>
      <c r="S1326">
        <v>5</v>
      </c>
      <c r="T1326">
        <v>2006</v>
      </c>
      <c r="U1326">
        <v>2007</v>
      </c>
      <c r="V1326" t="s">
        <v>92</v>
      </c>
      <c r="W1326" t="s">
        <v>93</v>
      </c>
      <c r="X1326" t="s">
        <v>94</v>
      </c>
      <c r="Y1326" t="s">
        <v>94</v>
      </c>
      <c r="Z1326" t="s">
        <v>95</v>
      </c>
      <c r="AA1326">
        <v>428</v>
      </c>
      <c r="AB1326" t="s">
        <v>96</v>
      </c>
      <c r="AC1326" t="s">
        <v>97</v>
      </c>
      <c r="AD1326" t="s">
        <v>98</v>
      </c>
      <c r="AE1326" t="s">
        <v>103</v>
      </c>
      <c r="AF1326" t="s">
        <v>97</v>
      </c>
      <c r="AG1326" t="s">
        <v>129</v>
      </c>
      <c r="AH1326" t="s">
        <v>101</v>
      </c>
      <c r="AI1326">
        <v>0</v>
      </c>
      <c r="AJ1326" t="s">
        <v>101</v>
      </c>
      <c r="AK1326">
        <v>0</v>
      </c>
      <c r="AL1326">
        <v>1795</v>
      </c>
      <c r="AM1326">
        <v>1795</v>
      </c>
      <c r="AN1326" t="s">
        <v>102</v>
      </c>
      <c r="AO1326" t="s">
        <v>103</v>
      </c>
      <c r="AP1326" t="s">
        <v>104</v>
      </c>
      <c r="AQ1326" t="s">
        <v>105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96</v>
      </c>
      <c r="BC1326">
        <v>7</v>
      </c>
      <c r="BD1326" t="s">
        <v>106</v>
      </c>
      <c r="BE1326">
        <v>1</v>
      </c>
      <c r="BF1326" t="s">
        <v>96</v>
      </c>
      <c r="BG1326" t="s">
        <v>107</v>
      </c>
      <c r="BH1326">
        <v>2007</v>
      </c>
      <c r="BI1326" t="s">
        <v>108</v>
      </c>
      <c r="BJ1326">
        <v>3</v>
      </c>
      <c r="BK1326">
        <v>895</v>
      </c>
      <c r="BL1326" t="s">
        <v>97</v>
      </c>
      <c r="BM1326" t="s">
        <v>97</v>
      </c>
      <c r="BN1326" t="s">
        <v>104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X1326">
        <v>0</v>
      </c>
      <c r="BY1326">
        <v>2</v>
      </c>
      <c r="BZ1326">
        <v>2007</v>
      </c>
      <c r="CA1326" t="s">
        <v>157</v>
      </c>
      <c r="CB1326" t="s">
        <v>158</v>
      </c>
      <c r="CC1326">
        <v>147000</v>
      </c>
    </row>
    <row r="1327" spans="1:81" x14ac:dyDescent="0.3">
      <c r="A1327">
        <v>1326</v>
      </c>
      <c r="B1327">
        <v>30</v>
      </c>
      <c r="C1327" t="s">
        <v>141</v>
      </c>
      <c r="D1327">
        <v>40</v>
      </c>
      <c r="E1327">
        <v>3636</v>
      </c>
      <c r="F1327" t="s">
        <v>82</v>
      </c>
      <c r="H1327" t="s">
        <v>83</v>
      </c>
      <c r="I1327" t="s">
        <v>84</v>
      </c>
      <c r="J1327" t="s">
        <v>85</v>
      </c>
      <c r="K1327" t="s">
        <v>86</v>
      </c>
      <c r="L1327" t="s">
        <v>87</v>
      </c>
      <c r="M1327" t="s">
        <v>175</v>
      </c>
      <c r="N1327" t="s">
        <v>89</v>
      </c>
      <c r="O1327" t="s">
        <v>89</v>
      </c>
      <c r="P1327" t="s">
        <v>90</v>
      </c>
      <c r="Q1327" t="s">
        <v>114</v>
      </c>
      <c r="R1327">
        <v>4</v>
      </c>
      <c r="S1327">
        <v>4</v>
      </c>
      <c r="T1327">
        <v>1922</v>
      </c>
      <c r="U1327">
        <v>1950</v>
      </c>
      <c r="V1327" t="s">
        <v>92</v>
      </c>
      <c r="W1327" t="s">
        <v>93</v>
      </c>
      <c r="X1327" t="s">
        <v>185</v>
      </c>
      <c r="Y1327" t="s">
        <v>185</v>
      </c>
      <c r="Z1327" t="s">
        <v>116</v>
      </c>
      <c r="AA1327">
        <v>0</v>
      </c>
      <c r="AB1327" t="s">
        <v>97</v>
      </c>
      <c r="AC1327" t="s">
        <v>97</v>
      </c>
      <c r="AD1327" t="s">
        <v>125</v>
      </c>
      <c r="AE1327" t="s">
        <v>97</v>
      </c>
      <c r="AF1327" t="s">
        <v>146</v>
      </c>
      <c r="AG1327" t="s">
        <v>99</v>
      </c>
      <c r="AH1327" t="s">
        <v>101</v>
      </c>
      <c r="AI1327">
        <v>0</v>
      </c>
      <c r="AJ1327" t="s">
        <v>101</v>
      </c>
      <c r="AK1327">
        <v>0</v>
      </c>
      <c r="AL1327">
        <v>796</v>
      </c>
      <c r="AM1327">
        <v>796</v>
      </c>
      <c r="AN1327" t="s">
        <v>102</v>
      </c>
      <c r="AO1327" t="s">
        <v>146</v>
      </c>
      <c r="AP1327" t="s">
        <v>176</v>
      </c>
      <c r="AQ1327" t="s">
        <v>105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97</v>
      </c>
      <c r="BC1327">
        <v>5</v>
      </c>
      <c r="BD1327" t="s">
        <v>106</v>
      </c>
      <c r="BE1327">
        <v>0</v>
      </c>
      <c r="BJ1327">
        <v>0</v>
      </c>
      <c r="BK1327">
        <v>0</v>
      </c>
      <c r="BN1327" t="s">
        <v>176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V1327" t="s">
        <v>133</v>
      </c>
      <c r="BX1327">
        <v>0</v>
      </c>
      <c r="BY1327">
        <v>1</v>
      </c>
      <c r="BZ1327">
        <v>2008</v>
      </c>
      <c r="CA1327" t="s">
        <v>109</v>
      </c>
      <c r="CB1327" t="s">
        <v>110</v>
      </c>
      <c r="CC1327">
        <v>55000</v>
      </c>
    </row>
    <row r="1328" spans="1:81" x14ac:dyDescent="0.3">
      <c r="A1328">
        <v>1327</v>
      </c>
      <c r="B1328">
        <v>30</v>
      </c>
      <c r="C1328" t="s">
        <v>238</v>
      </c>
      <c r="D1328">
        <v>70</v>
      </c>
      <c r="E1328">
        <v>4270</v>
      </c>
      <c r="F1328" t="s">
        <v>82</v>
      </c>
      <c r="H1328" t="s">
        <v>83</v>
      </c>
      <c r="I1328" t="s">
        <v>174</v>
      </c>
      <c r="J1328" t="s">
        <v>85</v>
      </c>
      <c r="K1328" t="s">
        <v>86</v>
      </c>
      <c r="L1328" t="s">
        <v>193</v>
      </c>
      <c r="M1328" t="s">
        <v>184</v>
      </c>
      <c r="N1328" t="s">
        <v>89</v>
      </c>
      <c r="O1328" t="s">
        <v>89</v>
      </c>
      <c r="P1328" t="s">
        <v>90</v>
      </c>
      <c r="Q1328" t="s">
        <v>114</v>
      </c>
      <c r="R1328">
        <v>3</v>
      </c>
      <c r="S1328">
        <v>6</v>
      </c>
      <c r="T1328">
        <v>1931</v>
      </c>
      <c r="U1328">
        <v>2006</v>
      </c>
      <c r="V1328" t="s">
        <v>92</v>
      </c>
      <c r="W1328" t="s">
        <v>93</v>
      </c>
      <c r="X1328" t="s">
        <v>115</v>
      </c>
      <c r="Y1328" t="s">
        <v>115</v>
      </c>
      <c r="Z1328" t="s">
        <v>116</v>
      </c>
      <c r="AA1328">
        <v>0</v>
      </c>
      <c r="AB1328" t="s">
        <v>97</v>
      </c>
      <c r="AC1328" t="s">
        <v>97</v>
      </c>
      <c r="AD1328" t="s">
        <v>125</v>
      </c>
      <c r="AE1328" t="s">
        <v>97</v>
      </c>
      <c r="AF1328" t="s">
        <v>97</v>
      </c>
      <c r="AG1328" t="s">
        <v>99</v>
      </c>
      <c r="AH1328" t="s">
        <v>152</v>
      </c>
      <c r="AI1328">
        <v>544</v>
      </c>
      <c r="AJ1328" t="s">
        <v>101</v>
      </c>
      <c r="AK1328">
        <v>0</v>
      </c>
      <c r="AL1328">
        <v>0</v>
      </c>
      <c r="AM1328">
        <v>544</v>
      </c>
      <c r="AN1328" t="s">
        <v>102</v>
      </c>
      <c r="AO1328" t="s">
        <v>103</v>
      </c>
      <c r="AP1328" t="s">
        <v>104</v>
      </c>
      <c r="AQ1328" t="s">
        <v>105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96</v>
      </c>
      <c r="BC1328">
        <v>6</v>
      </c>
      <c r="BD1328" t="s">
        <v>106</v>
      </c>
      <c r="BE1328">
        <v>0</v>
      </c>
      <c r="BJ1328">
        <v>0</v>
      </c>
      <c r="BK1328">
        <v>0</v>
      </c>
      <c r="BN1328" t="s">
        <v>104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X1328">
        <v>0</v>
      </c>
      <c r="BY1328">
        <v>5</v>
      </c>
      <c r="BZ1328">
        <v>2007</v>
      </c>
      <c r="CA1328" t="s">
        <v>109</v>
      </c>
      <c r="CB1328" t="s">
        <v>110</v>
      </c>
      <c r="CC1328">
        <v>79000</v>
      </c>
    </row>
    <row r="1329" spans="1:81" x14ac:dyDescent="0.3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H1329" t="s">
        <v>83</v>
      </c>
      <c r="I1329" t="s">
        <v>84</v>
      </c>
      <c r="J1329" t="s">
        <v>85</v>
      </c>
      <c r="K1329" t="s">
        <v>86</v>
      </c>
      <c r="L1329" t="s">
        <v>87</v>
      </c>
      <c r="M1329" t="s">
        <v>130</v>
      </c>
      <c r="N1329" t="s">
        <v>89</v>
      </c>
      <c r="O1329" t="s">
        <v>89</v>
      </c>
      <c r="P1329" t="s">
        <v>90</v>
      </c>
      <c r="Q1329" t="s">
        <v>114</v>
      </c>
      <c r="R1329">
        <v>5</v>
      </c>
      <c r="S1329">
        <v>9</v>
      </c>
      <c r="T1329">
        <v>1982</v>
      </c>
      <c r="U1329">
        <v>2008</v>
      </c>
      <c r="V1329" t="s">
        <v>92</v>
      </c>
      <c r="W1329" t="s">
        <v>93</v>
      </c>
      <c r="X1329" t="s">
        <v>94</v>
      </c>
      <c r="Y1329" t="s">
        <v>94</v>
      </c>
      <c r="Z1329" t="s">
        <v>116</v>
      </c>
      <c r="AA1329">
        <v>0</v>
      </c>
      <c r="AB1329" t="s">
        <v>96</v>
      </c>
      <c r="AC1329" t="s">
        <v>96</v>
      </c>
      <c r="AD1329" t="s">
        <v>117</v>
      </c>
      <c r="AE1329" t="s">
        <v>97</v>
      </c>
      <c r="AF1329" t="s">
        <v>97</v>
      </c>
      <c r="AG1329" t="s">
        <v>99</v>
      </c>
      <c r="AH1329" t="s">
        <v>118</v>
      </c>
      <c r="AI1329">
        <v>641</v>
      </c>
      <c r="AJ1329" t="s">
        <v>101</v>
      </c>
      <c r="AK1329">
        <v>0</v>
      </c>
      <c r="AL1329">
        <v>175</v>
      </c>
      <c r="AM1329">
        <v>816</v>
      </c>
      <c r="AN1329" t="s">
        <v>102</v>
      </c>
      <c r="AO1329" t="s">
        <v>103</v>
      </c>
      <c r="AP1329" t="s">
        <v>104</v>
      </c>
      <c r="AQ1329" t="s">
        <v>105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96</v>
      </c>
      <c r="BC1329">
        <v>5</v>
      </c>
      <c r="BD1329" t="s">
        <v>106</v>
      </c>
      <c r="BE1329">
        <v>1</v>
      </c>
      <c r="BF1329" t="s">
        <v>103</v>
      </c>
      <c r="BG1329" t="s">
        <v>107</v>
      </c>
      <c r="BH1329">
        <v>1982</v>
      </c>
      <c r="BI1329" t="s">
        <v>101</v>
      </c>
      <c r="BJ1329">
        <v>1</v>
      </c>
      <c r="BK1329">
        <v>264</v>
      </c>
      <c r="BL1329" t="s">
        <v>97</v>
      </c>
      <c r="BM1329" t="s">
        <v>97</v>
      </c>
      <c r="BN1329" t="s">
        <v>104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V1329" t="s">
        <v>133</v>
      </c>
      <c r="BX1329">
        <v>0</v>
      </c>
      <c r="BY1329">
        <v>10</v>
      </c>
      <c r="BZ1329">
        <v>2008</v>
      </c>
      <c r="CA1329" t="s">
        <v>109</v>
      </c>
      <c r="CB1329" t="s">
        <v>110</v>
      </c>
      <c r="CC1329">
        <v>130500</v>
      </c>
    </row>
    <row r="1330" spans="1:81" x14ac:dyDescent="0.3">
      <c r="A1330">
        <v>1329</v>
      </c>
      <c r="B1330">
        <v>50</v>
      </c>
      <c r="C1330" t="s">
        <v>141</v>
      </c>
      <c r="D1330">
        <v>60</v>
      </c>
      <c r="E1330">
        <v>10440</v>
      </c>
      <c r="F1330" t="s">
        <v>82</v>
      </c>
      <c r="G1330" t="s">
        <v>173</v>
      </c>
      <c r="H1330" t="s">
        <v>83</v>
      </c>
      <c r="I1330" t="s">
        <v>84</v>
      </c>
      <c r="J1330" t="s">
        <v>85</v>
      </c>
      <c r="K1330" t="s">
        <v>121</v>
      </c>
      <c r="L1330" t="s">
        <v>87</v>
      </c>
      <c r="M1330" t="s">
        <v>142</v>
      </c>
      <c r="N1330" t="s">
        <v>89</v>
      </c>
      <c r="O1330" t="s">
        <v>89</v>
      </c>
      <c r="P1330" t="s">
        <v>90</v>
      </c>
      <c r="Q1330" t="s">
        <v>131</v>
      </c>
      <c r="R1330">
        <v>6</v>
      </c>
      <c r="S1330">
        <v>7</v>
      </c>
      <c r="T1330">
        <v>1920</v>
      </c>
      <c r="U1330">
        <v>1950</v>
      </c>
      <c r="V1330" t="s">
        <v>92</v>
      </c>
      <c r="W1330" t="s">
        <v>93</v>
      </c>
      <c r="X1330" t="s">
        <v>95</v>
      </c>
      <c r="Y1330" t="s">
        <v>123</v>
      </c>
      <c r="Z1330" t="s">
        <v>116</v>
      </c>
      <c r="AA1330">
        <v>0</v>
      </c>
      <c r="AB1330" t="s">
        <v>96</v>
      </c>
      <c r="AC1330" t="s">
        <v>96</v>
      </c>
      <c r="AD1330" t="s">
        <v>125</v>
      </c>
      <c r="AE1330" t="s">
        <v>96</v>
      </c>
      <c r="AF1330" t="s">
        <v>97</v>
      </c>
      <c r="AG1330" t="s">
        <v>99</v>
      </c>
      <c r="AH1330" t="s">
        <v>171</v>
      </c>
      <c r="AI1330">
        <v>493</v>
      </c>
      <c r="AJ1330" t="s">
        <v>101</v>
      </c>
      <c r="AK1330">
        <v>0</v>
      </c>
      <c r="AL1330">
        <v>1017</v>
      </c>
      <c r="AM1330">
        <v>1510</v>
      </c>
      <c r="AN1330" t="s">
        <v>205</v>
      </c>
      <c r="AO1330" t="s">
        <v>103</v>
      </c>
      <c r="AP1330" t="s">
        <v>104</v>
      </c>
      <c r="AQ1330" t="s">
        <v>105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97</v>
      </c>
      <c r="BC1330">
        <v>8</v>
      </c>
      <c r="BD1330" t="s">
        <v>193</v>
      </c>
      <c r="BE1330">
        <v>2</v>
      </c>
      <c r="BF1330" t="s">
        <v>97</v>
      </c>
      <c r="BG1330" t="s">
        <v>126</v>
      </c>
      <c r="BH1330">
        <v>1920</v>
      </c>
      <c r="BI1330" t="s">
        <v>101</v>
      </c>
      <c r="BJ1330">
        <v>2</v>
      </c>
      <c r="BK1330">
        <v>520</v>
      </c>
      <c r="BL1330" t="s">
        <v>146</v>
      </c>
      <c r="BM1330" t="s">
        <v>97</v>
      </c>
      <c r="BN1330" t="s">
        <v>104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V1330" t="s">
        <v>133</v>
      </c>
      <c r="BW1330" t="s">
        <v>134</v>
      </c>
      <c r="BX1330">
        <v>1150</v>
      </c>
      <c r="BY1330">
        <v>6</v>
      </c>
      <c r="BZ1330">
        <v>2008</v>
      </c>
      <c r="CA1330" t="s">
        <v>109</v>
      </c>
      <c r="CB1330" t="s">
        <v>110</v>
      </c>
      <c r="CC1330">
        <v>256000</v>
      </c>
    </row>
    <row r="1331" spans="1:81" x14ac:dyDescent="0.3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H1331" t="s">
        <v>119</v>
      </c>
      <c r="I1331" t="s">
        <v>84</v>
      </c>
      <c r="J1331" t="s">
        <v>85</v>
      </c>
      <c r="K1331" t="s">
        <v>86</v>
      </c>
      <c r="L1331" t="s">
        <v>87</v>
      </c>
      <c r="M1331" t="s">
        <v>192</v>
      </c>
      <c r="N1331" t="s">
        <v>89</v>
      </c>
      <c r="O1331" t="s">
        <v>89</v>
      </c>
      <c r="P1331" t="s">
        <v>90</v>
      </c>
      <c r="Q1331" t="s">
        <v>91</v>
      </c>
      <c r="R1331">
        <v>7</v>
      </c>
      <c r="S1331">
        <v>5</v>
      </c>
      <c r="T1331">
        <v>1998</v>
      </c>
      <c r="U1331">
        <v>1998</v>
      </c>
      <c r="V1331" t="s">
        <v>151</v>
      </c>
      <c r="W1331" t="s">
        <v>93</v>
      </c>
      <c r="X1331" t="s">
        <v>94</v>
      </c>
      <c r="Y1331" t="s">
        <v>94</v>
      </c>
      <c r="Z1331" t="s">
        <v>116</v>
      </c>
      <c r="AA1331">
        <v>0</v>
      </c>
      <c r="AB1331" t="s">
        <v>97</v>
      </c>
      <c r="AC1331" t="s">
        <v>97</v>
      </c>
      <c r="AD1331" t="s">
        <v>98</v>
      </c>
      <c r="AE1331" t="s">
        <v>96</v>
      </c>
      <c r="AF1331" t="s">
        <v>97</v>
      </c>
      <c r="AG1331" t="s">
        <v>99</v>
      </c>
      <c r="AH1331" t="s">
        <v>101</v>
      </c>
      <c r="AI1331">
        <v>0</v>
      </c>
      <c r="AJ1331" t="s">
        <v>101</v>
      </c>
      <c r="AK1331">
        <v>0</v>
      </c>
      <c r="AL1331">
        <v>935</v>
      </c>
      <c r="AM1331">
        <v>935</v>
      </c>
      <c r="AN1331" t="s">
        <v>102</v>
      </c>
      <c r="AO1331" t="s">
        <v>96</v>
      </c>
      <c r="AP1331" t="s">
        <v>104</v>
      </c>
      <c r="AQ1331" t="s">
        <v>105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97</v>
      </c>
      <c r="BC1331">
        <v>8</v>
      </c>
      <c r="BD1331" t="s">
        <v>106</v>
      </c>
      <c r="BE1331">
        <v>1</v>
      </c>
      <c r="BF1331" t="s">
        <v>97</v>
      </c>
      <c r="BG1331" t="s">
        <v>107</v>
      </c>
      <c r="BH1331">
        <v>1998</v>
      </c>
      <c r="BI1331" t="s">
        <v>156</v>
      </c>
      <c r="BJ1331">
        <v>2</v>
      </c>
      <c r="BK1331">
        <v>462</v>
      </c>
      <c r="BL1331" t="s">
        <v>97</v>
      </c>
      <c r="BM1331" t="s">
        <v>97</v>
      </c>
      <c r="BN1331" t="s">
        <v>104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X1331">
        <v>0</v>
      </c>
      <c r="BY1331">
        <v>6</v>
      </c>
      <c r="BZ1331">
        <v>2006</v>
      </c>
      <c r="CA1331" t="s">
        <v>109</v>
      </c>
      <c r="CB1331" t="s">
        <v>110</v>
      </c>
      <c r="CC1331">
        <v>176500</v>
      </c>
    </row>
    <row r="1332" spans="1:81" x14ac:dyDescent="0.3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H1332" t="s">
        <v>83</v>
      </c>
      <c r="I1332" t="s">
        <v>84</v>
      </c>
      <c r="J1332" t="s">
        <v>85</v>
      </c>
      <c r="K1332" t="s">
        <v>86</v>
      </c>
      <c r="L1332" t="s">
        <v>87</v>
      </c>
      <c r="M1332" t="s">
        <v>135</v>
      </c>
      <c r="N1332" t="s">
        <v>89</v>
      </c>
      <c r="O1332" t="s">
        <v>89</v>
      </c>
      <c r="P1332" t="s">
        <v>90</v>
      </c>
      <c r="Q1332" t="s">
        <v>114</v>
      </c>
      <c r="R1332">
        <v>8</v>
      </c>
      <c r="S1332">
        <v>5</v>
      </c>
      <c r="T1332">
        <v>2006</v>
      </c>
      <c r="U1332">
        <v>2006</v>
      </c>
      <c r="V1332" t="s">
        <v>151</v>
      </c>
      <c r="W1332" t="s">
        <v>93</v>
      </c>
      <c r="X1332" t="s">
        <v>94</v>
      </c>
      <c r="Y1332" t="s">
        <v>94</v>
      </c>
      <c r="Z1332" t="s">
        <v>136</v>
      </c>
      <c r="AA1332">
        <v>410</v>
      </c>
      <c r="AB1332" t="s">
        <v>96</v>
      </c>
      <c r="AC1332" t="s">
        <v>97</v>
      </c>
      <c r="AD1332" t="s">
        <v>98</v>
      </c>
      <c r="AE1332" t="s">
        <v>96</v>
      </c>
      <c r="AF1332" t="s">
        <v>96</v>
      </c>
      <c r="AG1332" t="s">
        <v>129</v>
      </c>
      <c r="AH1332" t="s">
        <v>101</v>
      </c>
      <c r="AI1332">
        <v>0</v>
      </c>
      <c r="AJ1332" t="s">
        <v>101</v>
      </c>
      <c r="AK1332">
        <v>0</v>
      </c>
      <c r="AL1332">
        <v>1588</v>
      </c>
      <c r="AM1332">
        <v>1588</v>
      </c>
      <c r="AN1332" t="s">
        <v>102</v>
      </c>
      <c r="AO1332" t="s">
        <v>103</v>
      </c>
      <c r="AP1332" t="s">
        <v>104</v>
      </c>
      <c r="AQ1332" t="s">
        <v>105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96</v>
      </c>
      <c r="BC1332">
        <v>7</v>
      </c>
      <c r="BD1332" t="s">
        <v>106</v>
      </c>
      <c r="BE1332">
        <v>1</v>
      </c>
      <c r="BF1332" t="s">
        <v>96</v>
      </c>
      <c r="BG1332" t="s">
        <v>107</v>
      </c>
      <c r="BH1332">
        <v>2006</v>
      </c>
      <c r="BI1332" t="s">
        <v>108</v>
      </c>
      <c r="BJ1332">
        <v>3</v>
      </c>
      <c r="BK1332">
        <v>825</v>
      </c>
      <c r="BL1332" t="s">
        <v>97</v>
      </c>
      <c r="BM1332" t="s">
        <v>97</v>
      </c>
      <c r="BN1332" t="s">
        <v>104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X1332">
        <v>0</v>
      </c>
      <c r="BY1332">
        <v>12</v>
      </c>
      <c r="BZ1332">
        <v>2007</v>
      </c>
      <c r="CA1332" t="s">
        <v>109</v>
      </c>
      <c r="CB1332" t="s">
        <v>110</v>
      </c>
      <c r="CC1332">
        <v>227000</v>
      </c>
    </row>
    <row r="1333" spans="1:81" x14ac:dyDescent="0.3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H1333" t="s">
        <v>119</v>
      </c>
      <c r="I1333" t="s">
        <v>84</v>
      </c>
      <c r="J1333" t="s">
        <v>85</v>
      </c>
      <c r="K1333" t="s">
        <v>86</v>
      </c>
      <c r="L1333" t="s">
        <v>87</v>
      </c>
      <c r="M1333" t="s">
        <v>88</v>
      </c>
      <c r="N1333" t="s">
        <v>89</v>
      </c>
      <c r="O1333" t="s">
        <v>89</v>
      </c>
      <c r="P1333" t="s">
        <v>90</v>
      </c>
      <c r="Q1333" t="s">
        <v>196</v>
      </c>
      <c r="R1333">
        <v>5</v>
      </c>
      <c r="S1333">
        <v>5</v>
      </c>
      <c r="T1333">
        <v>1976</v>
      </c>
      <c r="U1333">
        <v>1976</v>
      </c>
      <c r="V1333" t="s">
        <v>92</v>
      </c>
      <c r="W1333" t="s">
        <v>93</v>
      </c>
      <c r="X1333" t="s">
        <v>115</v>
      </c>
      <c r="Y1333" t="s">
        <v>115</v>
      </c>
      <c r="Z1333" t="s">
        <v>116</v>
      </c>
      <c r="AA1333">
        <v>0</v>
      </c>
      <c r="AB1333" t="s">
        <v>97</v>
      </c>
      <c r="AC1333" t="s">
        <v>97</v>
      </c>
      <c r="AD1333" t="s">
        <v>117</v>
      </c>
      <c r="AE1333" t="s">
        <v>97</v>
      </c>
      <c r="AF1333" t="s">
        <v>97</v>
      </c>
      <c r="AG1333" t="s">
        <v>129</v>
      </c>
      <c r="AH1333" t="s">
        <v>118</v>
      </c>
      <c r="AI1333">
        <v>483</v>
      </c>
      <c r="AJ1333" t="s">
        <v>101</v>
      </c>
      <c r="AK1333">
        <v>0</v>
      </c>
      <c r="AL1333">
        <v>428</v>
      </c>
      <c r="AM1333">
        <v>911</v>
      </c>
      <c r="AN1333" t="s">
        <v>102</v>
      </c>
      <c r="AO1333" t="s">
        <v>96</v>
      </c>
      <c r="AP1333" t="s">
        <v>104</v>
      </c>
      <c r="AQ1333" t="s">
        <v>105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97</v>
      </c>
      <c r="BC1333">
        <v>6</v>
      </c>
      <c r="BD1333" t="s">
        <v>106</v>
      </c>
      <c r="BE1333">
        <v>0</v>
      </c>
      <c r="BG1333" t="s">
        <v>126</v>
      </c>
      <c r="BH1333">
        <v>1976</v>
      </c>
      <c r="BI1333" t="s">
        <v>101</v>
      </c>
      <c r="BJ1333">
        <v>2</v>
      </c>
      <c r="BK1333">
        <v>576</v>
      </c>
      <c r="BL1333" t="s">
        <v>97</v>
      </c>
      <c r="BM1333" t="s">
        <v>97</v>
      </c>
      <c r="BN1333" t="s">
        <v>104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X1333">
        <v>0</v>
      </c>
      <c r="BY1333">
        <v>7</v>
      </c>
      <c r="BZ1333">
        <v>2006</v>
      </c>
      <c r="CA1333" t="s">
        <v>109</v>
      </c>
      <c r="CB1333" t="s">
        <v>110</v>
      </c>
      <c r="CC1333">
        <v>132500</v>
      </c>
    </row>
    <row r="1334" spans="1:81" x14ac:dyDescent="0.3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H1334" t="s">
        <v>83</v>
      </c>
      <c r="I1334" t="s">
        <v>84</v>
      </c>
      <c r="J1334" t="s">
        <v>85</v>
      </c>
      <c r="K1334" t="s">
        <v>86</v>
      </c>
      <c r="L1334" t="s">
        <v>193</v>
      </c>
      <c r="M1334" t="s">
        <v>184</v>
      </c>
      <c r="N1334" t="s">
        <v>89</v>
      </c>
      <c r="O1334" t="s">
        <v>89</v>
      </c>
      <c r="P1334" t="s">
        <v>90</v>
      </c>
      <c r="Q1334" t="s">
        <v>114</v>
      </c>
      <c r="R1334">
        <v>4</v>
      </c>
      <c r="S1334">
        <v>6</v>
      </c>
      <c r="T1334">
        <v>1938</v>
      </c>
      <c r="U1334">
        <v>1958</v>
      </c>
      <c r="V1334" t="s">
        <v>92</v>
      </c>
      <c r="W1334" t="s">
        <v>93</v>
      </c>
      <c r="X1334" t="s">
        <v>115</v>
      </c>
      <c r="Y1334" t="s">
        <v>115</v>
      </c>
      <c r="Z1334" t="s">
        <v>116</v>
      </c>
      <c r="AA1334">
        <v>0</v>
      </c>
      <c r="AB1334" t="s">
        <v>97</v>
      </c>
      <c r="AC1334" t="s">
        <v>97</v>
      </c>
      <c r="AD1334" t="s">
        <v>117</v>
      </c>
      <c r="AE1334" t="s">
        <v>97</v>
      </c>
      <c r="AF1334" t="s">
        <v>97</v>
      </c>
      <c r="AG1334" t="s">
        <v>120</v>
      </c>
      <c r="AH1334" t="s">
        <v>118</v>
      </c>
      <c r="AI1334">
        <v>690</v>
      </c>
      <c r="AJ1334" t="s">
        <v>101</v>
      </c>
      <c r="AK1334">
        <v>0</v>
      </c>
      <c r="AL1334">
        <v>126</v>
      </c>
      <c r="AM1334">
        <v>816</v>
      </c>
      <c r="AN1334" t="s">
        <v>102</v>
      </c>
      <c r="AO1334" t="s">
        <v>103</v>
      </c>
      <c r="AP1334" t="s">
        <v>104</v>
      </c>
      <c r="AQ1334" t="s">
        <v>105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97</v>
      </c>
      <c r="BC1334">
        <v>3</v>
      </c>
      <c r="BD1334" t="s">
        <v>106</v>
      </c>
      <c r="BE1334">
        <v>1</v>
      </c>
      <c r="BF1334" t="s">
        <v>96</v>
      </c>
      <c r="BG1334" t="s">
        <v>126</v>
      </c>
      <c r="BH1334">
        <v>1958</v>
      </c>
      <c r="BI1334" t="s">
        <v>101</v>
      </c>
      <c r="BJ1334">
        <v>1</v>
      </c>
      <c r="BK1334">
        <v>288</v>
      </c>
      <c r="BL1334" t="s">
        <v>146</v>
      </c>
      <c r="BM1334" t="s">
        <v>146</v>
      </c>
      <c r="BN1334" t="s">
        <v>104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X1334">
        <v>0</v>
      </c>
      <c r="BY1334">
        <v>5</v>
      </c>
      <c r="BZ1334">
        <v>2009</v>
      </c>
      <c r="CA1334" t="s">
        <v>109</v>
      </c>
      <c r="CB1334" t="s">
        <v>110</v>
      </c>
      <c r="CC1334">
        <v>100000</v>
      </c>
    </row>
    <row r="1335" spans="1:81" x14ac:dyDescent="0.3">
      <c r="A1335">
        <v>1334</v>
      </c>
      <c r="B1335">
        <v>50</v>
      </c>
      <c r="C1335" t="s">
        <v>141</v>
      </c>
      <c r="D1335">
        <v>60</v>
      </c>
      <c r="E1335">
        <v>7200</v>
      </c>
      <c r="F1335" t="s">
        <v>82</v>
      </c>
      <c r="H1335" t="s">
        <v>83</v>
      </c>
      <c r="I1335" t="s">
        <v>84</v>
      </c>
      <c r="J1335" t="s">
        <v>85</v>
      </c>
      <c r="K1335" t="s">
        <v>121</v>
      </c>
      <c r="L1335" t="s">
        <v>87</v>
      </c>
      <c r="M1335" t="s">
        <v>175</v>
      </c>
      <c r="N1335" t="s">
        <v>89</v>
      </c>
      <c r="O1335" t="s">
        <v>89</v>
      </c>
      <c r="P1335" t="s">
        <v>90</v>
      </c>
      <c r="Q1335" t="s">
        <v>131</v>
      </c>
      <c r="R1335">
        <v>5</v>
      </c>
      <c r="S1335">
        <v>6</v>
      </c>
      <c r="T1335">
        <v>1938</v>
      </c>
      <c r="U1335">
        <v>1995</v>
      </c>
      <c r="V1335" t="s">
        <v>92</v>
      </c>
      <c r="W1335" t="s">
        <v>93</v>
      </c>
      <c r="X1335" t="s">
        <v>123</v>
      </c>
      <c r="Y1335" t="s">
        <v>123</v>
      </c>
      <c r="Z1335" t="s">
        <v>116</v>
      </c>
      <c r="AA1335">
        <v>0</v>
      </c>
      <c r="AB1335" t="s">
        <v>97</v>
      </c>
      <c r="AC1335" t="s">
        <v>97</v>
      </c>
      <c r="AD1335" t="s">
        <v>117</v>
      </c>
      <c r="AE1335" t="s">
        <v>97</v>
      </c>
      <c r="AF1335" t="s">
        <v>97</v>
      </c>
      <c r="AG1335" t="s">
        <v>99</v>
      </c>
      <c r="AH1335" t="s">
        <v>101</v>
      </c>
      <c r="AI1335">
        <v>0</v>
      </c>
      <c r="AJ1335" t="s">
        <v>101</v>
      </c>
      <c r="AK1335">
        <v>0</v>
      </c>
      <c r="AL1335">
        <v>803</v>
      </c>
      <c r="AM1335">
        <v>803</v>
      </c>
      <c r="AN1335" t="s">
        <v>102</v>
      </c>
      <c r="AO1335" t="s">
        <v>103</v>
      </c>
      <c r="AP1335" t="s">
        <v>104</v>
      </c>
      <c r="AQ1335" t="s">
        <v>105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96</v>
      </c>
      <c r="BC1335">
        <v>6</v>
      </c>
      <c r="BD1335" t="s">
        <v>106</v>
      </c>
      <c r="BE1335">
        <v>0</v>
      </c>
      <c r="BG1335" t="s">
        <v>126</v>
      </c>
      <c r="BH1335">
        <v>1951</v>
      </c>
      <c r="BI1335" t="s">
        <v>101</v>
      </c>
      <c r="BJ1335">
        <v>1</v>
      </c>
      <c r="BK1335">
        <v>297</v>
      </c>
      <c r="BL1335" t="s">
        <v>97</v>
      </c>
      <c r="BM1335" t="s">
        <v>97</v>
      </c>
      <c r="BN1335" t="s">
        <v>104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V1335" t="s">
        <v>133</v>
      </c>
      <c r="BX1335">
        <v>0</v>
      </c>
      <c r="BY1335">
        <v>7</v>
      </c>
      <c r="BZ1335">
        <v>2006</v>
      </c>
      <c r="CA1335" t="s">
        <v>109</v>
      </c>
      <c r="CB1335" t="s">
        <v>110</v>
      </c>
      <c r="CC1335">
        <v>125500</v>
      </c>
    </row>
    <row r="1336" spans="1:81" x14ac:dyDescent="0.3">
      <c r="A1336">
        <v>1335</v>
      </c>
      <c r="B1336">
        <v>160</v>
      </c>
      <c r="C1336" t="s">
        <v>141</v>
      </c>
      <c r="D1336">
        <v>24</v>
      </c>
      <c r="E1336">
        <v>2368</v>
      </c>
      <c r="F1336" t="s">
        <v>82</v>
      </c>
      <c r="H1336" t="s">
        <v>83</v>
      </c>
      <c r="I1336" t="s">
        <v>84</v>
      </c>
      <c r="J1336" t="s">
        <v>85</v>
      </c>
      <c r="K1336" t="s">
        <v>86</v>
      </c>
      <c r="L1336" t="s">
        <v>87</v>
      </c>
      <c r="M1336" t="s">
        <v>227</v>
      </c>
      <c r="N1336" t="s">
        <v>89</v>
      </c>
      <c r="O1336" t="s">
        <v>89</v>
      </c>
      <c r="P1336" t="s">
        <v>178</v>
      </c>
      <c r="Q1336" t="s">
        <v>91</v>
      </c>
      <c r="R1336">
        <v>5</v>
      </c>
      <c r="S1336">
        <v>6</v>
      </c>
      <c r="T1336">
        <v>1970</v>
      </c>
      <c r="U1336">
        <v>1970</v>
      </c>
      <c r="V1336" t="s">
        <v>92</v>
      </c>
      <c r="W1336" t="s">
        <v>93</v>
      </c>
      <c r="X1336" t="s">
        <v>139</v>
      </c>
      <c r="Y1336" t="s">
        <v>139</v>
      </c>
      <c r="Z1336" t="s">
        <v>116</v>
      </c>
      <c r="AA1336">
        <v>312</v>
      </c>
      <c r="AB1336" t="s">
        <v>97</v>
      </c>
      <c r="AC1336" t="s">
        <v>97</v>
      </c>
      <c r="AD1336" t="s">
        <v>117</v>
      </c>
      <c r="AE1336" t="s">
        <v>97</v>
      </c>
      <c r="AF1336" t="s">
        <v>97</v>
      </c>
      <c r="AG1336" t="s">
        <v>99</v>
      </c>
      <c r="AH1336" t="s">
        <v>171</v>
      </c>
      <c r="AI1336">
        <v>765</v>
      </c>
      <c r="AJ1336" t="s">
        <v>101</v>
      </c>
      <c r="AK1336">
        <v>0</v>
      </c>
      <c r="AL1336">
        <v>0</v>
      </c>
      <c r="AM1336">
        <v>765</v>
      </c>
      <c r="AN1336" t="s">
        <v>102</v>
      </c>
      <c r="AO1336" t="s">
        <v>97</v>
      </c>
      <c r="AP1336" t="s">
        <v>104</v>
      </c>
      <c r="AQ1336" t="s">
        <v>105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97</v>
      </c>
      <c r="BC1336">
        <v>7</v>
      </c>
      <c r="BD1336" t="s">
        <v>145</v>
      </c>
      <c r="BE1336">
        <v>0</v>
      </c>
      <c r="BG1336" t="s">
        <v>107</v>
      </c>
      <c r="BH1336">
        <v>1970</v>
      </c>
      <c r="BI1336" t="s">
        <v>101</v>
      </c>
      <c r="BJ1336">
        <v>2</v>
      </c>
      <c r="BK1336">
        <v>440</v>
      </c>
      <c r="BL1336" t="s">
        <v>97</v>
      </c>
      <c r="BM1336" t="s">
        <v>97</v>
      </c>
      <c r="BN1336" t="s">
        <v>104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X1336">
        <v>0</v>
      </c>
      <c r="BY1336">
        <v>5</v>
      </c>
      <c r="BZ1336">
        <v>2009</v>
      </c>
      <c r="CA1336" t="s">
        <v>109</v>
      </c>
      <c r="CB1336" t="s">
        <v>110</v>
      </c>
      <c r="CC1336">
        <v>125000</v>
      </c>
    </row>
    <row r="1337" spans="1:81" x14ac:dyDescent="0.3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H1337" t="s">
        <v>83</v>
      </c>
      <c r="I1337" t="s">
        <v>84</v>
      </c>
      <c r="J1337" t="s">
        <v>85</v>
      </c>
      <c r="K1337" t="s">
        <v>86</v>
      </c>
      <c r="L1337" t="s">
        <v>87</v>
      </c>
      <c r="M1337" t="s">
        <v>137</v>
      </c>
      <c r="N1337" t="s">
        <v>89</v>
      </c>
      <c r="O1337" t="s">
        <v>89</v>
      </c>
      <c r="P1337" t="s">
        <v>90</v>
      </c>
      <c r="Q1337" t="s">
        <v>114</v>
      </c>
      <c r="R1337">
        <v>6</v>
      </c>
      <c r="S1337">
        <v>5</v>
      </c>
      <c r="T1337">
        <v>1977</v>
      </c>
      <c r="U1337">
        <v>1977</v>
      </c>
      <c r="V1337" t="s">
        <v>92</v>
      </c>
      <c r="W1337" t="s">
        <v>93</v>
      </c>
      <c r="X1337" t="s">
        <v>160</v>
      </c>
      <c r="Y1337" t="s">
        <v>160</v>
      </c>
      <c r="Z1337" t="s">
        <v>95</v>
      </c>
      <c r="AA1337">
        <v>360</v>
      </c>
      <c r="AB1337" t="s">
        <v>97</v>
      </c>
      <c r="AC1337" t="s">
        <v>97</v>
      </c>
      <c r="AD1337" t="s">
        <v>117</v>
      </c>
      <c r="AE1337" t="s">
        <v>96</v>
      </c>
      <c r="AF1337" t="s">
        <v>97</v>
      </c>
      <c r="AG1337" t="s">
        <v>99</v>
      </c>
      <c r="AH1337" t="s">
        <v>118</v>
      </c>
      <c r="AI1337">
        <v>686</v>
      </c>
      <c r="AJ1337" t="s">
        <v>101</v>
      </c>
      <c r="AK1337">
        <v>0</v>
      </c>
      <c r="AL1337">
        <v>664</v>
      </c>
      <c r="AM1337">
        <v>1350</v>
      </c>
      <c r="AN1337" t="s">
        <v>102</v>
      </c>
      <c r="AO1337" t="s">
        <v>97</v>
      </c>
      <c r="AP1337" t="s">
        <v>104</v>
      </c>
      <c r="AQ1337" t="s">
        <v>105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97</v>
      </c>
      <c r="BC1337">
        <v>6</v>
      </c>
      <c r="BD1337" t="s">
        <v>106</v>
      </c>
      <c r="BE1337">
        <v>1</v>
      </c>
      <c r="BF1337" t="s">
        <v>97</v>
      </c>
      <c r="BG1337" t="s">
        <v>107</v>
      </c>
      <c r="BH1337">
        <v>1977</v>
      </c>
      <c r="BI1337" t="s">
        <v>108</v>
      </c>
      <c r="BJ1337">
        <v>2</v>
      </c>
      <c r="BK1337">
        <v>630</v>
      </c>
      <c r="BL1337" t="s">
        <v>97</v>
      </c>
      <c r="BM1337" t="s">
        <v>97</v>
      </c>
      <c r="BN1337" t="s">
        <v>104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X1337">
        <v>0</v>
      </c>
      <c r="BY1337">
        <v>4</v>
      </c>
      <c r="BZ1337">
        <v>2009</v>
      </c>
      <c r="CA1337" t="s">
        <v>109</v>
      </c>
      <c r="CB1337" t="s">
        <v>110</v>
      </c>
      <c r="CC1337">
        <v>167900</v>
      </c>
    </row>
    <row r="1338" spans="1:81" x14ac:dyDescent="0.3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H1338" t="s">
        <v>119</v>
      </c>
      <c r="I1338" t="s">
        <v>84</v>
      </c>
      <c r="J1338" t="s">
        <v>85</v>
      </c>
      <c r="K1338" t="s">
        <v>86</v>
      </c>
      <c r="L1338" t="s">
        <v>87</v>
      </c>
      <c r="M1338" t="s">
        <v>137</v>
      </c>
      <c r="N1338" t="s">
        <v>113</v>
      </c>
      <c r="O1338" t="s">
        <v>89</v>
      </c>
      <c r="P1338" t="s">
        <v>166</v>
      </c>
      <c r="Q1338" t="s">
        <v>114</v>
      </c>
      <c r="R1338">
        <v>5</v>
      </c>
      <c r="S1338">
        <v>5</v>
      </c>
      <c r="T1338">
        <v>1973</v>
      </c>
      <c r="U1338">
        <v>1973</v>
      </c>
      <c r="V1338" t="s">
        <v>92</v>
      </c>
      <c r="W1338" t="s">
        <v>93</v>
      </c>
      <c r="X1338" t="s">
        <v>160</v>
      </c>
      <c r="Y1338" t="s">
        <v>160</v>
      </c>
      <c r="Z1338" t="s">
        <v>95</v>
      </c>
      <c r="AA1338">
        <v>564</v>
      </c>
      <c r="AB1338" t="s">
        <v>97</v>
      </c>
      <c r="AC1338" t="s">
        <v>97</v>
      </c>
      <c r="AD1338" t="s">
        <v>117</v>
      </c>
      <c r="AE1338" t="s">
        <v>97</v>
      </c>
      <c r="AF1338" t="s">
        <v>97</v>
      </c>
      <c r="AG1338" t="s">
        <v>99</v>
      </c>
      <c r="AH1338" t="s">
        <v>101</v>
      </c>
      <c r="AI1338">
        <v>0</v>
      </c>
      <c r="AJ1338" t="s">
        <v>101</v>
      </c>
      <c r="AK1338">
        <v>0</v>
      </c>
      <c r="AL1338">
        <v>1656</v>
      </c>
      <c r="AM1338">
        <v>1656</v>
      </c>
      <c r="AN1338" t="s">
        <v>102</v>
      </c>
      <c r="AO1338" t="s">
        <v>97</v>
      </c>
      <c r="AP1338" t="s">
        <v>104</v>
      </c>
      <c r="AQ1338" t="s">
        <v>105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97</v>
      </c>
      <c r="BC1338">
        <v>8</v>
      </c>
      <c r="BD1338" t="s">
        <v>106</v>
      </c>
      <c r="BE1338">
        <v>0</v>
      </c>
      <c r="BG1338" t="s">
        <v>126</v>
      </c>
      <c r="BH1338">
        <v>1973</v>
      </c>
      <c r="BI1338" t="s">
        <v>101</v>
      </c>
      <c r="BJ1338">
        <v>2</v>
      </c>
      <c r="BK1338">
        <v>506</v>
      </c>
      <c r="BL1338" t="s">
        <v>97</v>
      </c>
      <c r="BM1338" t="s">
        <v>97</v>
      </c>
      <c r="BN1338" t="s">
        <v>104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X1338">
        <v>0</v>
      </c>
      <c r="BY1338">
        <v>11</v>
      </c>
      <c r="BZ1338">
        <v>2008</v>
      </c>
      <c r="CA1338" t="s">
        <v>109</v>
      </c>
      <c r="CB1338" t="s">
        <v>110</v>
      </c>
      <c r="CC1338">
        <v>135000</v>
      </c>
    </row>
    <row r="1339" spans="1:81" x14ac:dyDescent="0.3">
      <c r="A1339">
        <v>1338</v>
      </c>
      <c r="B1339">
        <v>30</v>
      </c>
      <c r="C1339" t="s">
        <v>141</v>
      </c>
      <c r="D1339">
        <v>153</v>
      </c>
      <c r="E1339">
        <v>4118</v>
      </c>
      <c r="F1339" t="s">
        <v>82</v>
      </c>
      <c r="G1339" t="s">
        <v>173</v>
      </c>
      <c r="H1339" t="s">
        <v>119</v>
      </c>
      <c r="I1339" t="s">
        <v>174</v>
      </c>
      <c r="J1339" t="s">
        <v>85</v>
      </c>
      <c r="K1339" t="s">
        <v>121</v>
      </c>
      <c r="L1339" t="s">
        <v>193</v>
      </c>
      <c r="M1339" t="s">
        <v>142</v>
      </c>
      <c r="N1339" t="s">
        <v>113</v>
      </c>
      <c r="O1339" t="s">
        <v>89</v>
      </c>
      <c r="P1339" t="s">
        <v>90</v>
      </c>
      <c r="Q1339" t="s">
        <v>114</v>
      </c>
      <c r="R1339">
        <v>4</v>
      </c>
      <c r="S1339">
        <v>4</v>
      </c>
      <c r="T1339">
        <v>1941</v>
      </c>
      <c r="U1339">
        <v>1950</v>
      </c>
      <c r="V1339" t="s">
        <v>92</v>
      </c>
      <c r="W1339" t="s">
        <v>93</v>
      </c>
      <c r="X1339" t="s">
        <v>123</v>
      </c>
      <c r="Y1339" t="s">
        <v>123</v>
      </c>
      <c r="Z1339" t="s">
        <v>116</v>
      </c>
      <c r="AA1339">
        <v>0</v>
      </c>
      <c r="AB1339" t="s">
        <v>97</v>
      </c>
      <c r="AC1339" t="s">
        <v>97</v>
      </c>
      <c r="AD1339" t="s">
        <v>117</v>
      </c>
      <c r="AE1339" t="s">
        <v>97</v>
      </c>
      <c r="AF1339" t="s">
        <v>97</v>
      </c>
      <c r="AG1339" t="s">
        <v>99</v>
      </c>
      <c r="AH1339" t="s">
        <v>101</v>
      </c>
      <c r="AI1339">
        <v>0</v>
      </c>
      <c r="AJ1339" t="s">
        <v>101</v>
      </c>
      <c r="AK1339">
        <v>0</v>
      </c>
      <c r="AL1339">
        <v>693</v>
      </c>
      <c r="AM1339">
        <v>693</v>
      </c>
      <c r="AN1339" t="s">
        <v>221</v>
      </c>
      <c r="AO1339" t="s">
        <v>146</v>
      </c>
      <c r="AP1339" t="s">
        <v>176</v>
      </c>
      <c r="AQ1339" t="s">
        <v>163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146</v>
      </c>
      <c r="BC1339">
        <v>4</v>
      </c>
      <c r="BD1339" t="s">
        <v>106</v>
      </c>
      <c r="BE1339">
        <v>0</v>
      </c>
      <c r="BJ1339">
        <v>0</v>
      </c>
      <c r="BK1339">
        <v>0</v>
      </c>
      <c r="BN1339" t="s">
        <v>176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X1339">
        <v>0</v>
      </c>
      <c r="BY1339">
        <v>3</v>
      </c>
      <c r="BZ1339">
        <v>2006</v>
      </c>
      <c r="CA1339" t="s">
        <v>109</v>
      </c>
      <c r="CB1339" t="s">
        <v>110</v>
      </c>
      <c r="CC1339">
        <v>52500</v>
      </c>
    </row>
    <row r="1340" spans="1:81" x14ac:dyDescent="0.3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H1340" t="s">
        <v>119</v>
      </c>
      <c r="I1340" t="s">
        <v>84</v>
      </c>
      <c r="J1340" t="s">
        <v>85</v>
      </c>
      <c r="K1340" t="s">
        <v>121</v>
      </c>
      <c r="L1340" t="s">
        <v>87</v>
      </c>
      <c r="M1340" t="s">
        <v>88</v>
      </c>
      <c r="N1340" t="s">
        <v>89</v>
      </c>
      <c r="O1340" t="s">
        <v>89</v>
      </c>
      <c r="P1340" t="s">
        <v>90</v>
      </c>
      <c r="Q1340" t="s">
        <v>91</v>
      </c>
      <c r="R1340">
        <v>7</v>
      </c>
      <c r="S1340">
        <v>5</v>
      </c>
      <c r="T1340">
        <v>2002</v>
      </c>
      <c r="U1340">
        <v>2002</v>
      </c>
      <c r="V1340" t="s">
        <v>92</v>
      </c>
      <c r="W1340" t="s">
        <v>93</v>
      </c>
      <c r="X1340" t="s">
        <v>94</v>
      </c>
      <c r="Y1340" t="s">
        <v>94</v>
      </c>
      <c r="Z1340" t="s">
        <v>116</v>
      </c>
      <c r="AA1340">
        <v>0</v>
      </c>
      <c r="AB1340" t="s">
        <v>96</v>
      </c>
      <c r="AC1340" t="s">
        <v>97</v>
      </c>
      <c r="AD1340" t="s">
        <v>98</v>
      </c>
      <c r="AE1340" t="s">
        <v>96</v>
      </c>
      <c r="AF1340" t="s">
        <v>97</v>
      </c>
      <c r="AG1340" t="s">
        <v>99</v>
      </c>
      <c r="AH1340" t="s">
        <v>100</v>
      </c>
      <c r="AI1340">
        <v>700</v>
      </c>
      <c r="AJ1340" t="s">
        <v>101</v>
      </c>
      <c r="AK1340">
        <v>0</v>
      </c>
      <c r="AL1340">
        <v>216</v>
      </c>
      <c r="AM1340">
        <v>916</v>
      </c>
      <c r="AN1340" t="s">
        <v>102</v>
      </c>
      <c r="AO1340" t="s">
        <v>103</v>
      </c>
      <c r="AP1340" t="s">
        <v>104</v>
      </c>
      <c r="AQ1340" t="s">
        <v>105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96</v>
      </c>
      <c r="BC1340">
        <v>8</v>
      </c>
      <c r="BD1340" t="s">
        <v>106</v>
      </c>
      <c r="BE1340">
        <v>0</v>
      </c>
      <c r="BG1340" t="s">
        <v>155</v>
      </c>
      <c r="BH1340">
        <v>2002</v>
      </c>
      <c r="BI1340" t="s">
        <v>108</v>
      </c>
      <c r="BJ1340">
        <v>2</v>
      </c>
      <c r="BK1340">
        <v>492</v>
      </c>
      <c r="BL1340" t="s">
        <v>97</v>
      </c>
      <c r="BM1340" t="s">
        <v>97</v>
      </c>
      <c r="BN1340" t="s">
        <v>104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X1340">
        <v>0</v>
      </c>
      <c r="BY1340">
        <v>6</v>
      </c>
      <c r="BZ1340">
        <v>2006</v>
      </c>
      <c r="CA1340" t="s">
        <v>109</v>
      </c>
      <c r="CB1340" t="s">
        <v>110</v>
      </c>
      <c r="CC1340">
        <v>200000</v>
      </c>
    </row>
    <row r="1341" spans="1:81" x14ac:dyDescent="0.3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H1341" t="s">
        <v>119</v>
      </c>
      <c r="I1341" t="s">
        <v>84</v>
      </c>
      <c r="J1341" t="s">
        <v>85</v>
      </c>
      <c r="K1341" t="s">
        <v>121</v>
      </c>
      <c r="L1341" t="s">
        <v>87</v>
      </c>
      <c r="M1341" t="s">
        <v>88</v>
      </c>
      <c r="N1341" t="s">
        <v>89</v>
      </c>
      <c r="O1341" t="s">
        <v>89</v>
      </c>
      <c r="P1341" t="s">
        <v>90</v>
      </c>
      <c r="Q1341" t="s">
        <v>114</v>
      </c>
      <c r="R1341">
        <v>5</v>
      </c>
      <c r="S1341">
        <v>7</v>
      </c>
      <c r="T1341">
        <v>1972</v>
      </c>
      <c r="U1341">
        <v>1972</v>
      </c>
      <c r="V1341" t="s">
        <v>151</v>
      </c>
      <c r="W1341" t="s">
        <v>93</v>
      </c>
      <c r="X1341" t="s">
        <v>115</v>
      </c>
      <c r="Y1341" t="s">
        <v>115</v>
      </c>
      <c r="Z1341" t="s">
        <v>116</v>
      </c>
      <c r="AA1341">
        <v>0</v>
      </c>
      <c r="AB1341" t="s">
        <v>97</v>
      </c>
      <c r="AC1341" t="s">
        <v>96</v>
      </c>
      <c r="AD1341" t="s">
        <v>117</v>
      </c>
      <c r="AE1341" t="s">
        <v>97</v>
      </c>
      <c r="AF1341" t="s">
        <v>97</v>
      </c>
      <c r="AG1341" t="s">
        <v>120</v>
      </c>
      <c r="AH1341" t="s">
        <v>152</v>
      </c>
      <c r="AI1341">
        <v>360</v>
      </c>
      <c r="AJ1341" t="s">
        <v>101</v>
      </c>
      <c r="AK1341">
        <v>0</v>
      </c>
      <c r="AL1341">
        <v>504</v>
      </c>
      <c r="AM1341">
        <v>864</v>
      </c>
      <c r="AN1341" t="s">
        <v>102</v>
      </c>
      <c r="AO1341" t="s">
        <v>103</v>
      </c>
      <c r="AP1341" t="s">
        <v>104</v>
      </c>
      <c r="AQ1341" t="s">
        <v>105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97</v>
      </c>
      <c r="BC1341">
        <v>5</v>
      </c>
      <c r="BD1341" t="s">
        <v>106</v>
      </c>
      <c r="BE1341">
        <v>0</v>
      </c>
      <c r="BG1341" t="s">
        <v>107</v>
      </c>
      <c r="BH1341">
        <v>1972</v>
      </c>
      <c r="BI1341" t="s">
        <v>108</v>
      </c>
      <c r="BJ1341">
        <v>1</v>
      </c>
      <c r="BK1341">
        <v>288</v>
      </c>
      <c r="BL1341" t="s">
        <v>97</v>
      </c>
      <c r="BM1341" t="s">
        <v>97</v>
      </c>
      <c r="BN1341" t="s">
        <v>104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X1341">
        <v>0</v>
      </c>
      <c r="BY1341">
        <v>6</v>
      </c>
      <c r="BZ1341">
        <v>2006</v>
      </c>
      <c r="CA1341" t="s">
        <v>109</v>
      </c>
      <c r="CB1341" t="s">
        <v>110</v>
      </c>
      <c r="CC1341">
        <v>128500</v>
      </c>
    </row>
    <row r="1342" spans="1:81" x14ac:dyDescent="0.3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H1342" t="s">
        <v>83</v>
      </c>
      <c r="I1342" t="s">
        <v>84</v>
      </c>
      <c r="J1342" t="s">
        <v>85</v>
      </c>
      <c r="K1342" t="s">
        <v>86</v>
      </c>
      <c r="L1342" t="s">
        <v>87</v>
      </c>
      <c r="M1342" t="s">
        <v>270</v>
      </c>
      <c r="N1342" t="s">
        <v>89</v>
      </c>
      <c r="O1342" t="s">
        <v>89</v>
      </c>
      <c r="P1342" t="s">
        <v>90</v>
      </c>
      <c r="Q1342" t="s">
        <v>114</v>
      </c>
      <c r="R1342">
        <v>4</v>
      </c>
      <c r="S1342">
        <v>5</v>
      </c>
      <c r="T1342">
        <v>1971</v>
      </c>
      <c r="U1342">
        <v>1971</v>
      </c>
      <c r="V1342" t="s">
        <v>92</v>
      </c>
      <c r="W1342" t="s">
        <v>93</v>
      </c>
      <c r="X1342" t="s">
        <v>115</v>
      </c>
      <c r="Y1342" t="s">
        <v>115</v>
      </c>
      <c r="Z1342" t="s">
        <v>116</v>
      </c>
      <c r="AA1342">
        <v>0</v>
      </c>
      <c r="AB1342" t="s">
        <v>97</v>
      </c>
      <c r="AC1342" t="s">
        <v>97</v>
      </c>
      <c r="AD1342" t="s">
        <v>117</v>
      </c>
      <c r="AE1342" t="s">
        <v>97</v>
      </c>
      <c r="AF1342" t="s">
        <v>97</v>
      </c>
      <c r="AG1342" t="s">
        <v>99</v>
      </c>
      <c r="AH1342" t="s">
        <v>101</v>
      </c>
      <c r="AI1342">
        <v>0</v>
      </c>
      <c r="AJ1342" t="s">
        <v>101</v>
      </c>
      <c r="AK1342">
        <v>0</v>
      </c>
      <c r="AL1342">
        <v>858</v>
      </c>
      <c r="AM1342">
        <v>858</v>
      </c>
      <c r="AN1342" t="s">
        <v>102</v>
      </c>
      <c r="AO1342" t="s">
        <v>97</v>
      </c>
      <c r="AP1342" t="s">
        <v>104</v>
      </c>
      <c r="AQ1342" t="s">
        <v>105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97</v>
      </c>
      <c r="BC1342">
        <v>5</v>
      </c>
      <c r="BD1342" t="s">
        <v>106</v>
      </c>
      <c r="BE1342">
        <v>0</v>
      </c>
      <c r="BG1342" t="s">
        <v>126</v>
      </c>
      <c r="BH1342">
        <v>1974</v>
      </c>
      <c r="BI1342" t="s">
        <v>101</v>
      </c>
      <c r="BJ1342">
        <v>4</v>
      </c>
      <c r="BK1342">
        <v>480</v>
      </c>
      <c r="BL1342" t="s">
        <v>97</v>
      </c>
      <c r="BM1342" t="s">
        <v>97</v>
      </c>
      <c r="BN1342" t="s">
        <v>104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V1342" t="s">
        <v>162</v>
      </c>
      <c r="BX1342">
        <v>0</v>
      </c>
      <c r="BY1342">
        <v>6</v>
      </c>
      <c r="BZ1342">
        <v>2007</v>
      </c>
      <c r="CA1342" t="s">
        <v>109</v>
      </c>
      <c r="CB1342" t="s">
        <v>110</v>
      </c>
      <c r="CC1342">
        <v>123000</v>
      </c>
    </row>
    <row r="1343" spans="1:81" x14ac:dyDescent="0.3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H1343" t="s">
        <v>83</v>
      </c>
      <c r="I1343" t="s">
        <v>84</v>
      </c>
      <c r="J1343" t="s">
        <v>85</v>
      </c>
      <c r="K1343" t="s">
        <v>86</v>
      </c>
      <c r="L1343" t="s">
        <v>87</v>
      </c>
      <c r="M1343" t="s">
        <v>169</v>
      </c>
      <c r="N1343" t="s">
        <v>170</v>
      </c>
      <c r="O1343" t="s">
        <v>89</v>
      </c>
      <c r="P1343" t="s">
        <v>90</v>
      </c>
      <c r="Q1343" t="s">
        <v>114</v>
      </c>
      <c r="R1343">
        <v>6</v>
      </c>
      <c r="S1343">
        <v>5</v>
      </c>
      <c r="T1343">
        <v>2003</v>
      </c>
      <c r="U1343">
        <v>2004</v>
      </c>
      <c r="V1343" t="s">
        <v>92</v>
      </c>
      <c r="W1343" t="s">
        <v>93</v>
      </c>
      <c r="X1343" t="s">
        <v>94</v>
      </c>
      <c r="Y1343" t="s">
        <v>94</v>
      </c>
      <c r="Z1343" t="s">
        <v>116</v>
      </c>
      <c r="AA1343">
        <v>0</v>
      </c>
      <c r="AB1343" t="s">
        <v>97</v>
      </c>
      <c r="AC1343" t="s">
        <v>97</v>
      </c>
      <c r="AD1343" t="s">
        <v>98</v>
      </c>
      <c r="AE1343" t="s">
        <v>96</v>
      </c>
      <c r="AF1343" t="s">
        <v>97</v>
      </c>
      <c r="AG1343" t="s">
        <v>99</v>
      </c>
      <c r="AH1343" t="s">
        <v>100</v>
      </c>
      <c r="AI1343">
        <v>814</v>
      </c>
      <c r="AJ1343" t="s">
        <v>101</v>
      </c>
      <c r="AK1343">
        <v>0</v>
      </c>
      <c r="AL1343">
        <v>300</v>
      </c>
      <c r="AM1343">
        <v>1114</v>
      </c>
      <c r="AN1343" t="s">
        <v>102</v>
      </c>
      <c r="AO1343" t="s">
        <v>103</v>
      </c>
      <c r="AP1343" t="s">
        <v>104</v>
      </c>
      <c r="AQ1343" t="s">
        <v>105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96</v>
      </c>
      <c r="BC1343">
        <v>6</v>
      </c>
      <c r="BD1343" t="s">
        <v>106</v>
      </c>
      <c r="BE1343">
        <v>0</v>
      </c>
      <c r="BG1343" t="s">
        <v>126</v>
      </c>
      <c r="BH1343">
        <v>2004</v>
      </c>
      <c r="BI1343" t="s">
        <v>101</v>
      </c>
      <c r="BJ1343">
        <v>2</v>
      </c>
      <c r="BK1343">
        <v>576</v>
      </c>
      <c r="BL1343" t="s">
        <v>97</v>
      </c>
      <c r="BM1343" t="s">
        <v>97</v>
      </c>
      <c r="BN1343" t="s">
        <v>104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X1343">
        <v>0</v>
      </c>
      <c r="BY1343">
        <v>7</v>
      </c>
      <c r="BZ1343">
        <v>2008</v>
      </c>
      <c r="CA1343" t="s">
        <v>109</v>
      </c>
      <c r="CB1343" t="s">
        <v>110</v>
      </c>
      <c r="CC1343">
        <v>155000</v>
      </c>
    </row>
    <row r="1344" spans="1:81" x14ac:dyDescent="0.3">
      <c r="A1344">
        <v>1343</v>
      </c>
      <c r="B1344">
        <v>60</v>
      </c>
      <c r="C1344" t="s">
        <v>81</v>
      </c>
      <c r="E1344">
        <v>9375</v>
      </c>
      <c r="F1344" t="s">
        <v>82</v>
      </c>
      <c r="H1344" t="s">
        <v>83</v>
      </c>
      <c r="I1344" t="s">
        <v>84</v>
      </c>
      <c r="J1344" t="s">
        <v>85</v>
      </c>
      <c r="K1344" t="s">
        <v>86</v>
      </c>
      <c r="L1344" t="s">
        <v>87</v>
      </c>
      <c r="M1344" t="s">
        <v>88</v>
      </c>
      <c r="N1344" t="s">
        <v>89</v>
      </c>
      <c r="O1344" t="s">
        <v>89</v>
      </c>
      <c r="P1344" t="s">
        <v>90</v>
      </c>
      <c r="Q1344" t="s">
        <v>91</v>
      </c>
      <c r="R1344">
        <v>8</v>
      </c>
      <c r="S1344">
        <v>5</v>
      </c>
      <c r="T1344">
        <v>2002</v>
      </c>
      <c r="U1344">
        <v>2002</v>
      </c>
      <c r="V1344" t="s">
        <v>92</v>
      </c>
      <c r="W1344" t="s">
        <v>93</v>
      </c>
      <c r="X1344" t="s">
        <v>94</v>
      </c>
      <c r="Y1344" t="s">
        <v>94</v>
      </c>
      <c r="Z1344" t="s">
        <v>95</v>
      </c>
      <c r="AA1344">
        <v>149</v>
      </c>
      <c r="AB1344" t="s">
        <v>96</v>
      </c>
      <c r="AC1344" t="s">
        <v>97</v>
      </c>
      <c r="AD1344" t="s">
        <v>98</v>
      </c>
      <c r="AE1344" t="s">
        <v>96</v>
      </c>
      <c r="AF1344" t="s">
        <v>97</v>
      </c>
      <c r="AG1344" t="s">
        <v>99</v>
      </c>
      <c r="AH1344" t="s">
        <v>101</v>
      </c>
      <c r="AI1344">
        <v>0</v>
      </c>
      <c r="AJ1344" t="s">
        <v>101</v>
      </c>
      <c r="AK1344">
        <v>0</v>
      </c>
      <c r="AL1344">
        <v>1284</v>
      </c>
      <c r="AM1344">
        <v>1284</v>
      </c>
      <c r="AN1344" t="s">
        <v>102</v>
      </c>
      <c r="AO1344" t="s">
        <v>103</v>
      </c>
      <c r="AP1344" t="s">
        <v>104</v>
      </c>
      <c r="AQ1344" t="s">
        <v>105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96</v>
      </c>
      <c r="BC1344">
        <v>7</v>
      </c>
      <c r="BD1344" t="s">
        <v>106</v>
      </c>
      <c r="BE1344">
        <v>1</v>
      </c>
      <c r="BF1344" t="s">
        <v>96</v>
      </c>
      <c r="BG1344" t="s">
        <v>107</v>
      </c>
      <c r="BH1344">
        <v>2002</v>
      </c>
      <c r="BI1344" t="s">
        <v>108</v>
      </c>
      <c r="BJ1344">
        <v>2</v>
      </c>
      <c r="BK1344">
        <v>647</v>
      </c>
      <c r="BL1344" t="s">
        <v>97</v>
      </c>
      <c r="BM1344" t="s">
        <v>97</v>
      </c>
      <c r="BN1344" t="s">
        <v>104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X1344">
        <v>0</v>
      </c>
      <c r="BY1344">
        <v>8</v>
      </c>
      <c r="BZ1344">
        <v>2007</v>
      </c>
      <c r="CA1344" t="s">
        <v>109</v>
      </c>
      <c r="CB1344" t="s">
        <v>110</v>
      </c>
      <c r="CC1344">
        <v>228500</v>
      </c>
    </row>
    <row r="1345" spans="1:81" x14ac:dyDescent="0.3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H1345" t="s">
        <v>83</v>
      </c>
      <c r="I1345" t="s">
        <v>174</v>
      </c>
      <c r="J1345" t="s">
        <v>85</v>
      </c>
      <c r="K1345" t="s">
        <v>86</v>
      </c>
      <c r="L1345" t="s">
        <v>87</v>
      </c>
      <c r="M1345" t="s">
        <v>122</v>
      </c>
      <c r="N1345" t="s">
        <v>89</v>
      </c>
      <c r="O1345" t="s">
        <v>89</v>
      </c>
      <c r="P1345" t="s">
        <v>90</v>
      </c>
      <c r="Q1345" t="s">
        <v>131</v>
      </c>
      <c r="R1345">
        <v>6</v>
      </c>
      <c r="S1345">
        <v>6</v>
      </c>
      <c r="T1345">
        <v>1928</v>
      </c>
      <c r="U1345">
        <v>1950</v>
      </c>
      <c r="V1345" t="s">
        <v>92</v>
      </c>
      <c r="W1345" t="s">
        <v>93</v>
      </c>
      <c r="X1345" t="s">
        <v>95</v>
      </c>
      <c r="Y1345" t="s">
        <v>136</v>
      </c>
      <c r="Z1345" t="s">
        <v>116</v>
      </c>
      <c r="AA1345">
        <v>0</v>
      </c>
      <c r="AB1345" t="s">
        <v>97</v>
      </c>
      <c r="AC1345" t="s">
        <v>97</v>
      </c>
      <c r="AD1345" t="s">
        <v>125</v>
      </c>
      <c r="AE1345" t="s">
        <v>97</v>
      </c>
      <c r="AF1345" t="s">
        <v>97</v>
      </c>
      <c r="AG1345" t="s">
        <v>99</v>
      </c>
      <c r="AH1345" t="s">
        <v>101</v>
      </c>
      <c r="AI1345">
        <v>0</v>
      </c>
      <c r="AJ1345" t="s">
        <v>101</v>
      </c>
      <c r="AK1345">
        <v>0</v>
      </c>
      <c r="AL1345">
        <v>896</v>
      </c>
      <c r="AM1345">
        <v>896</v>
      </c>
      <c r="AN1345" t="s">
        <v>102</v>
      </c>
      <c r="AO1345" t="s">
        <v>96</v>
      </c>
      <c r="AP1345" t="s">
        <v>104</v>
      </c>
      <c r="AQ1345" t="s">
        <v>105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97</v>
      </c>
      <c r="BC1345">
        <v>9</v>
      </c>
      <c r="BD1345" t="s">
        <v>106</v>
      </c>
      <c r="BE1345">
        <v>1</v>
      </c>
      <c r="BF1345" t="s">
        <v>97</v>
      </c>
      <c r="BG1345" t="s">
        <v>126</v>
      </c>
      <c r="BH1345">
        <v>1929</v>
      </c>
      <c r="BI1345" t="s">
        <v>101</v>
      </c>
      <c r="BJ1345">
        <v>2</v>
      </c>
      <c r="BK1345">
        <v>342</v>
      </c>
      <c r="BL1345" t="s">
        <v>146</v>
      </c>
      <c r="BM1345" t="s">
        <v>146</v>
      </c>
      <c r="BN1345" t="s">
        <v>104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X1345">
        <v>0</v>
      </c>
      <c r="BY1345">
        <v>3</v>
      </c>
      <c r="BZ1345">
        <v>2009</v>
      </c>
      <c r="CA1345" t="s">
        <v>109</v>
      </c>
      <c r="CB1345" t="s">
        <v>110</v>
      </c>
      <c r="CC1345">
        <v>177000</v>
      </c>
    </row>
    <row r="1346" spans="1:81" x14ac:dyDescent="0.3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H1346" t="s">
        <v>119</v>
      </c>
      <c r="I1346" t="s">
        <v>84</v>
      </c>
      <c r="J1346" t="s">
        <v>85</v>
      </c>
      <c r="K1346" t="s">
        <v>121</v>
      </c>
      <c r="L1346" t="s">
        <v>87</v>
      </c>
      <c r="M1346" t="s">
        <v>88</v>
      </c>
      <c r="N1346" t="s">
        <v>89</v>
      </c>
      <c r="O1346" t="s">
        <v>89</v>
      </c>
      <c r="P1346" t="s">
        <v>90</v>
      </c>
      <c r="Q1346" t="s">
        <v>91</v>
      </c>
      <c r="R1346">
        <v>7</v>
      </c>
      <c r="S1346">
        <v>5</v>
      </c>
      <c r="T1346">
        <v>2006</v>
      </c>
      <c r="U1346">
        <v>2006</v>
      </c>
      <c r="V1346" t="s">
        <v>92</v>
      </c>
      <c r="W1346" t="s">
        <v>93</v>
      </c>
      <c r="X1346" t="s">
        <v>94</v>
      </c>
      <c r="Y1346" t="s">
        <v>94</v>
      </c>
      <c r="Z1346" t="s">
        <v>116</v>
      </c>
      <c r="AA1346">
        <v>0</v>
      </c>
      <c r="AB1346" t="s">
        <v>96</v>
      </c>
      <c r="AC1346" t="s">
        <v>97</v>
      </c>
      <c r="AD1346" t="s">
        <v>98</v>
      </c>
      <c r="AE1346" t="s">
        <v>96</v>
      </c>
      <c r="AF1346" t="s">
        <v>97</v>
      </c>
      <c r="AG1346" t="s">
        <v>99</v>
      </c>
      <c r="AH1346" t="s">
        <v>101</v>
      </c>
      <c r="AI1346">
        <v>0</v>
      </c>
      <c r="AJ1346" t="s">
        <v>101</v>
      </c>
      <c r="AK1346">
        <v>0</v>
      </c>
      <c r="AL1346">
        <v>728</v>
      </c>
      <c r="AM1346">
        <v>728</v>
      </c>
      <c r="AN1346" t="s">
        <v>102</v>
      </c>
      <c r="AO1346" t="s">
        <v>103</v>
      </c>
      <c r="AP1346" t="s">
        <v>104</v>
      </c>
      <c r="AQ1346" t="s">
        <v>105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96</v>
      </c>
      <c r="BC1346">
        <v>8</v>
      </c>
      <c r="BD1346" t="s">
        <v>106</v>
      </c>
      <c r="BE1346">
        <v>1</v>
      </c>
      <c r="BF1346" t="s">
        <v>97</v>
      </c>
      <c r="BG1346" t="s">
        <v>107</v>
      </c>
      <c r="BH1346">
        <v>2006</v>
      </c>
      <c r="BI1346" t="s">
        <v>156</v>
      </c>
      <c r="BJ1346">
        <v>2</v>
      </c>
      <c r="BK1346">
        <v>440</v>
      </c>
      <c r="BL1346" t="s">
        <v>97</v>
      </c>
      <c r="BM1346" t="s">
        <v>97</v>
      </c>
      <c r="BN1346" t="s">
        <v>104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X1346">
        <v>0</v>
      </c>
      <c r="BY1346">
        <v>7</v>
      </c>
      <c r="BZ1346">
        <v>2007</v>
      </c>
      <c r="CA1346" t="s">
        <v>157</v>
      </c>
      <c r="CB1346" t="s">
        <v>158</v>
      </c>
      <c r="CC1346">
        <v>155835</v>
      </c>
    </row>
    <row r="1347" spans="1:81" x14ac:dyDescent="0.3">
      <c r="A1347">
        <v>1346</v>
      </c>
      <c r="B1347">
        <v>30</v>
      </c>
      <c r="C1347" t="s">
        <v>141</v>
      </c>
      <c r="D1347">
        <v>50</v>
      </c>
      <c r="E1347">
        <v>6000</v>
      </c>
      <c r="F1347" t="s">
        <v>82</v>
      </c>
      <c r="H1347" t="s">
        <v>83</v>
      </c>
      <c r="I1347" t="s">
        <v>84</v>
      </c>
      <c r="J1347" t="s">
        <v>85</v>
      </c>
      <c r="K1347" t="s">
        <v>86</v>
      </c>
      <c r="L1347" t="s">
        <v>87</v>
      </c>
      <c r="M1347" t="s">
        <v>142</v>
      </c>
      <c r="N1347" t="s">
        <v>89</v>
      </c>
      <c r="O1347" t="s">
        <v>89</v>
      </c>
      <c r="P1347" t="s">
        <v>90</v>
      </c>
      <c r="Q1347" t="s">
        <v>114</v>
      </c>
      <c r="R1347">
        <v>4</v>
      </c>
      <c r="S1347">
        <v>4</v>
      </c>
      <c r="T1347">
        <v>1920</v>
      </c>
      <c r="U1347">
        <v>1950</v>
      </c>
      <c r="V1347" t="s">
        <v>151</v>
      </c>
      <c r="W1347" t="s">
        <v>93</v>
      </c>
      <c r="X1347" t="s">
        <v>115</v>
      </c>
      <c r="Y1347" t="s">
        <v>115</v>
      </c>
      <c r="Z1347" t="s">
        <v>116</v>
      </c>
      <c r="AA1347">
        <v>0</v>
      </c>
      <c r="AB1347" t="s">
        <v>97</v>
      </c>
      <c r="AC1347" t="s">
        <v>97</v>
      </c>
      <c r="AD1347" t="s">
        <v>98</v>
      </c>
      <c r="AE1347" t="s">
        <v>97</v>
      </c>
      <c r="AF1347" t="s">
        <v>97</v>
      </c>
      <c r="AG1347" t="s">
        <v>99</v>
      </c>
      <c r="AH1347" t="s">
        <v>118</v>
      </c>
      <c r="AI1347">
        <v>250</v>
      </c>
      <c r="AJ1347" t="s">
        <v>101</v>
      </c>
      <c r="AK1347">
        <v>0</v>
      </c>
      <c r="AL1347">
        <v>710</v>
      </c>
      <c r="AM1347">
        <v>960</v>
      </c>
      <c r="AN1347" t="s">
        <v>102</v>
      </c>
      <c r="AO1347" t="s">
        <v>96</v>
      </c>
      <c r="AP1347" t="s">
        <v>104</v>
      </c>
      <c r="AQ1347" t="s">
        <v>163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146</v>
      </c>
      <c r="BC1347">
        <v>5</v>
      </c>
      <c r="BD1347" t="s">
        <v>106</v>
      </c>
      <c r="BE1347">
        <v>0</v>
      </c>
      <c r="BG1347" t="s">
        <v>126</v>
      </c>
      <c r="BH1347">
        <v>1997</v>
      </c>
      <c r="BI1347" t="s">
        <v>101</v>
      </c>
      <c r="BJ1347">
        <v>1</v>
      </c>
      <c r="BK1347">
        <v>308</v>
      </c>
      <c r="BL1347" t="s">
        <v>97</v>
      </c>
      <c r="BM1347" t="s">
        <v>97</v>
      </c>
      <c r="BN1347" t="s">
        <v>104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X1347">
        <v>0</v>
      </c>
      <c r="BY1347">
        <v>7</v>
      </c>
      <c r="BZ1347">
        <v>2007</v>
      </c>
      <c r="CA1347" t="s">
        <v>109</v>
      </c>
      <c r="CB1347" t="s">
        <v>110</v>
      </c>
      <c r="CC1347">
        <v>108500</v>
      </c>
    </row>
    <row r="1348" spans="1:81" x14ac:dyDescent="0.3">
      <c r="A1348">
        <v>1347</v>
      </c>
      <c r="B1348">
        <v>20</v>
      </c>
      <c r="C1348" t="s">
        <v>81</v>
      </c>
      <c r="E1348">
        <v>20781</v>
      </c>
      <c r="F1348" t="s">
        <v>82</v>
      </c>
      <c r="H1348" t="s">
        <v>159</v>
      </c>
      <c r="I1348" t="s">
        <v>84</v>
      </c>
      <c r="J1348" t="s">
        <v>85</v>
      </c>
      <c r="K1348" t="s">
        <v>165</v>
      </c>
      <c r="L1348" t="s">
        <v>87</v>
      </c>
      <c r="M1348" t="s">
        <v>137</v>
      </c>
      <c r="N1348" t="s">
        <v>138</v>
      </c>
      <c r="O1348" t="s">
        <v>89</v>
      </c>
      <c r="P1348" t="s">
        <v>90</v>
      </c>
      <c r="Q1348" t="s">
        <v>114</v>
      </c>
      <c r="R1348">
        <v>7</v>
      </c>
      <c r="S1348">
        <v>7</v>
      </c>
      <c r="T1348">
        <v>1968</v>
      </c>
      <c r="U1348">
        <v>2003</v>
      </c>
      <c r="V1348" t="s">
        <v>151</v>
      </c>
      <c r="W1348" t="s">
        <v>93</v>
      </c>
      <c r="X1348" t="s">
        <v>95</v>
      </c>
      <c r="Y1348" t="s">
        <v>139</v>
      </c>
      <c r="Z1348" t="s">
        <v>116</v>
      </c>
      <c r="AA1348">
        <v>0</v>
      </c>
      <c r="AB1348" t="s">
        <v>97</v>
      </c>
      <c r="AC1348" t="s">
        <v>97</v>
      </c>
      <c r="AD1348" t="s">
        <v>117</v>
      </c>
      <c r="AE1348" t="s">
        <v>97</v>
      </c>
      <c r="AF1348" t="s">
        <v>97</v>
      </c>
      <c r="AG1348" t="s">
        <v>99</v>
      </c>
      <c r="AH1348" t="s">
        <v>140</v>
      </c>
      <c r="AI1348">
        <v>297</v>
      </c>
      <c r="AJ1348" t="s">
        <v>152</v>
      </c>
      <c r="AK1348">
        <v>68</v>
      </c>
      <c r="AL1348">
        <v>1203</v>
      </c>
      <c r="AM1348">
        <v>1568</v>
      </c>
      <c r="AN1348" t="s">
        <v>102</v>
      </c>
      <c r="AO1348" t="s">
        <v>97</v>
      </c>
      <c r="AP1348" t="s">
        <v>104</v>
      </c>
      <c r="AQ1348" t="s">
        <v>105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97</v>
      </c>
      <c r="BC1348">
        <v>9</v>
      </c>
      <c r="BD1348" t="s">
        <v>106</v>
      </c>
      <c r="BE1348">
        <v>1</v>
      </c>
      <c r="BF1348" t="s">
        <v>96</v>
      </c>
      <c r="BG1348" t="s">
        <v>107</v>
      </c>
      <c r="BH1348">
        <v>1968</v>
      </c>
      <c r="BI1348" t="s">
        <v>108</v>
      </c>
      <c r="BJ1348">
        <v>2</v>
      </c>
      <c r="BK1348">
        <v>508</v>
      </c>
      <c r="BL1348" t="s">
        <v>96</v>
      </c>
      <c r="BM1348" t="s">
        <v>97</v>
      </c>
      <c r="BN1348" t="s">
        <v>104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X1348">
        <v>0</v>
      </c>
      <c r="BY1348">
        <v>6</v>
      </c>
      <c r="BZ1348">
        <v>2006</v>
      </c>
      <c r="CA1348" t="s">
        <v>109</v>
      </c>
      <c r="CB1348" t="s">
        <v>110</v>
      </c>
      <c r="CC1348">
        <v>262500</v>
      </c>
    </row>
    <row r="1349" spans="1:81" x14ac:dyDescent="0.3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H1349" t="s">
        <v>119</v>
      </c>
      <c r="I1349" t="s">
        <v>198</v>
      </c>
      <c r="J1349" t="s">
        <v>85</v>
      </c>
      <c r="K1349" t="s">
        <v>121</v>
      </c>
      <c r="L1349" t="s">
        <v>87</v>
      </c>
      <c r="M1349" t="s">
        <v>188</v>
      </c>
      <c r="N1349" t="s">
        <v>89</v>
      </c>
      <c r="O1349" t="s">
        <v>89</v>
      </c>
      <c r="P1349" t="s">
        <v>90</v>
      </c>
      <c r="Q1349" t="s">
        <v>114</v>
      </c>
      <c r="R1349">
        <v>8</v>
      </c>
      <c r="S1349">
        <v>5</v>
      </c>
      <c r="T1349">
        <v>2006</v>
      </c>
      <c r="U1349">
        <v>2007</v>
      </c>
      <c r="V1349" t="s">
        <v>92</v>
      </c>
      <c r="W1349" t="s">
        <v>93</v>
      </c>
      <c r="X1349" t="s">
        <v>94</v>
      </c>
      <c r="Y1349" t="s">
        <v>94</v>
      </c>
      <c r="Z1349" t="s">
        <v>136</v>
      </c>
      <c r="AA1349">
        <v>100</v>
      </c>
      <c r="AB1349" t="s">
        <v>96</v>
      </c>
      <c r="AC1349" t="s">
        <v>97</v>
      </c>
      <c r="AD1349" t="s">
        <v>98</v>
      </c>
      <c r="AE1349" t="s">
        <v>103</v>
      </c>
      <c r="AF1349" t="s">
        <v>97</v>
      </c>
      <c r="AG1349" t="s">
        <v>96</v>
      </c>
      <c r="AH1349" t="s">
        <v>100</v>
      </c>
      <c r="AI1349">
        <v>80</v>
      </c>
      <c r="AJ1349" t="s">
        <v>101</v>
      </c>
      <c r="AK1349">
        <v>0</v>
      </c>
      <c r="AL1349">
        <v>1652</v>
      </c>
      <c r="AM1349">
        <v>1732</v>
      </c>
      <c r="AN1349" t="s">
        <v>102</v>
      </c>
      <c r="AO1349" t="s">
        <v>103</v>
      </c>
      <c r="AP1349" t="s">
        <v>104</v>
      </c>
      <c r="AQ1349" t="s">
        <v>105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96</v>
      </c>
      <c r="BC1349">
        <v>7</v>
      </c>
      <c r="BD1349" t="s">
        <v>106</v>
      </c>
      <c r="BE1349">
        <v>1</v>
      </c>
      <c r="BF1349" t="s">
        <v>96</v>
      </c>
      <c r="BG1349" t="s">
        <v>107</v>
      </c>
      <c r="BH1349">
        <v>2006</v>
      </c>
      <c r="BI1349" t="s">
        <v>156</v>
      </c>
      <c r="BJ1349">
        <v>3</v>
      </c>
      <c r="BK1349">
        <v>712</v>
      </c>
      <c r="BL1349" t="s">
        <v>97</v>
      </c>
      <c r="BM1349" t="s">
        <v>97</v>
      </c>
      <c r="BN1349" t="s">
        <v>104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X1349">
        <v>0</v>
      </c>
      <c r="BY1349">
        <v>5</v>
      </c>
      <c r="BZ1349">
        <v>2007</v>
      </c>
      <c r="CA1349" t="s">
        <v>157</v>
      </c>
      <c r="CB1349" t="s">
        <v>158</v>
      </c>
      <c r="CC1349">
        <v>283463</v>
      </c>
    </row>
    <row r="1350" spans="1:81" x14ac:dyDescent="0.3">
      <c r="A1350">
        <v>1349</v>
      </c>
      <c r="B1350">
        <v>20</v>
      </c>
      <c r="C1350" t="s">
        <v>81</v>
      </c>
      <c r="E1350">
        <v>16196</v>
      </c>
      <c r="F1350" t="s">
        <v>82</v>
      </c>
      <c r="H1350" t="s">
        <v>230</v>
      </c>
      <c r="I1350" t="s">
        <v>194</v>
      </c>
      <c r="J1350" t="s">
        <v>85</v>
      </c>
      <c r="K1350" t="s">
        <v>86</v>
      </c>
      <c r="L1350" t="s">
        <v>87</v>
      </c>
      <c r="M1350" t="s">
        <v>169</v>
      </c>
      <c r="N1350" t="s">
        <v>89</v>
      </c>
      <c r="O1350" t="s">
        <v>89</v>
      </c>
      <c r="P1350" t="s">
        <v>90</v>
      </c>
      <c r="Q1350" t="s">
        <v>114</v>
      </c>
      <c r="R1350">
        <v>7</v>
      </c>
      <c r="S1350">
        <v>5</v>
      </c>
      <c r="T1350">
        <v>1998</v>
      </c>
      <c r="U1350">
        <v>1998</v>
      </c>
      <c r="V1350" t="s">
        <v>92</v>
      </c>
      <c r="W1350" t="s">
        <v>93</v>
      </c>
      <c r="X1350" t="s">
        <v>94</v>
      </c>
      <c r="Y1350" t="s">
        <v>94</v>
      </c>
      <c r="Z1350" t="s">
        <v>116</v>
      </c>
      <c r="AA1350">
        <v>0</v>
      </c>
      <c r="AB1350" t="s">
        <v>96</v>
      </c>
      <c r="AC1350" t="s">
        <v>97</v>
      </c>
      <c r="AD1350" t="s">
        <v>98</v>
      </c>
      <c r="AE1350" t="s">
        <v>96</v>
      </c>
      <c r="AF1350" t="s">
        <v>97</v>
      </c>
      <c r="AG1350" t="s">
        <v>96</v>
      </c>
      <c r="AH1350" t="s">
        <v>100</v>
      </c>
      <c r="AI1350">
        <v>1443</v>
      </c>
      <c r="AJ1350" t="s">
        <v>101</v>
      </c>
      <c r="AK1350">
        <v>0</v>
      </c>
      <c r="AL1350">
        <v>39</v>
      </c>
      <c r="AM1350">
        <v>1482</v>
      </c>
      <c r="AN1350" t="s">
        <v>102</v>
      </c>
      <c r="AO1350" t="s">
        <v>103</v>
      </c>
      <c r="AP1350" t="s">
        <v>104</v>
      </c>
      <c r="AQ1350" t="s">
        <v>105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96</v>
      </c>
      <c r="BC1350">
        <v>5</v>
      </c>
      <c r="BD1350" t="s">
        <v>106</v>
      </c>
      <c r="BE1350">
        <v>1</v>
      </c>
      <c r="BF1350" t="s">
        <v>146</v>
      </c>
      <c r="BG1350" t="s">
        <v>107</v>
      </c>
      <c r="BH1350">
        <v>1998</v>
      </c>
      <c r="BI1350" t="s">
        <v>108</v>
      </c>
      <c r="BJ1350">
        <v>2</v>
      </c>
      <c r="BK1350">
        <v>514</v>
      </c>
      <c r="BL1350" t="s">
        <v>97</v>
      </c>
      <c r="BM1350" t="s">
        <v>97</v>
      </c>
      <c r="BN1350" t="s">
        <v>104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X1350">
        <v>0</v>
      </c>
      <c r="BY1350">
        <v>8</v>
      </c>
      <c r="BZ1350">
        <v>2007</v>
      </c>
      <c r="CA1350" t="s">
        <v>109</v>
      </c>
      <c r="CB1350" t="s">
        <v>110</v>
      </c>
      <c r="CC1350">
        <v>215000</v>
      </c>
    </row>
    <row r="1351" spans="1:81" x14ac:dyDescent="0.3">
      <c r="A1351">
        <v>1350</v>
      </c>
      <c r="B1351">
        <v>70</v>
      </c>
      <c r="C1351" t="s">
        <v>141</v>
      </c>
      <c r="D1351">
        <v>50</v>
      </c>
      <c r="E1351">
        <v>5250</v>
      </c>
      <c r="F1351" t="s">
        <v>82</v>
      </c>
      <c r="G1351" t="s">
        <v>82</v>
      </c>
      <c r="H1351" t="s">
        <v>83</v>
      </c>
      <c r="I1351" t="s">
        <v>84</v>
      </c>
      <c r="J1351" t="s">
        <v>85</v>
      </c>
      <c r="K1351" t="s">
        <v>86</v>
      </c>
      <c r="L1351" t="s">
        <v>87</v>
      </c>
      <c r="M1351" t="s">
        <v>142</v>
      </c>
      <c r="N1351" t="s">
        <v>89</v>
      </c>
      <c r="O1351" t="s">
        <v>89</v>
      </c>
      <c r="P1351" t="s">
        <v>90</v>
      </c>
      <c r="Q1351" t="s">
        <v>91</v>
      </c>
      <c r="R1351">
        <v>8</v>
      </c>
      <c r="S1351">
        <v>5</v>
      </c>
      <c r="T1351">
        <v>1872</v>
      </c>
      <c r="U1351">
        <v>1987</v>
      </c>
      <c r="V1351" t="s">
        <v>92</v>
      </c>
      <c r="W1351" t="s">
        <v>93</v>
      </c>
      <c r="X1351" t="s">
        <v>115</v>
      </c>
      <c r="Y1351" t="s">
        <v>115</v>
      </c>
      <c r="Z1351" t="s">
        <v>116</v>
      </c>
      <c r="AA1351">
        <v>0</v>
      </c>
      <c r="AB1351" t="s">
        <v>97</v>
      </c>
      <c r="AC1351" t="s">
        <v>96</v>
      </c>
      <c r="AD1351" t="s">
        <v>125</v>
      </c>
      <c r="AE1351" t="s">
        <v>97</v>
      </c>
      <c r="AF1351" t="s">
        <v>146</v>
      </c>
      <c r="AG1351" t="s">
        <v>99</v>
      </c>
      <c r="AH1351" t="s">
        <v>171</v>
      </c>
      <c r="AI1351">
        <v>259</v>
      </c>
      <c r="AJ1351" t="s">
        <v>101</v>
      </c>
      <c r="AK1351">
        <v>0</v>
      </c>
      <c r="AL1351">
        <v>425</v>
      </c>
      <c r="AM1351">
        <v>684</v>
      </c>
      <c r="AN1351" t="s">
        <v>250</v>
      </c>
      <c r="AO1351" t="s">
        <v>146</v>
      </c>
      <c r="AP1351" t="s">
        <v>176</v>
      </c>
      <c r="AQ1351" t="s">
        <v>105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97</v>
      </c>
      <c r="BC1351">
        <v>8</v>
      </c>
      <c r="BD1351" t="s">
        <v>106</v>
      </c>
      <c r="BE1351">
        <v>0</v>
      </c>
      <c r="BJ1351">
        <v>0</v>
      </c>
      <c r="BK1351">
        <v>0</v>
      </c>
      <c r="BN1351" t="s">
        <v>104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X1351">
        <v>0</v>
      </c>
      <c r="BY1351">
        <v>12</v>
      </c>
      <c r="BZ1351">
        <v>2008</v>
      </c>
      <c r="CA1351" t="s">
        <v>109</v>
      </c>
      <c r="CB1351" t="s">
        <v>110</v>
      </c>
      <c r="CC1351">
        <v>122000</v>
      </c>
    </row>
    <row r="1352" spans="1:81" x14ac:dyDescent="0.3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H1352" t="s">
        <v>83</v>
      </c>
      <c r="I1352" t="s">
        <v>84</v>
      </c>
      <c r="J1352" t="s">
        <v>85</v>
      </c>
      <c r="K1352" t="s">
        <v>86</v>
      </c>
      <c r="L1352" t="s">
        <v>87</v>
      </c>
      <c r="M1352" t="s">
        <v>270</v>
      </c>
      <c r="N1352" t="s">
        <v>143</v>
      </c>
      <c r="O1352" t="s">
        <v>89</v>
      </c>
      <c r="P1352" t="s">
        <v>166</v>
      </c>
      <c r="Q1352" t="s">
        <v>91</v>
      </c>
      <c r="R1352">
        <v>5</v>
      </c>
      <c r="S1352">
        <v>5</v>
      </c>
      <c r="T1352">
        <v>1969</v>
      </c>
      <c r="U1352">
        <v>1969</v>
      </c>
      <c r="V1352" t="s">
        <v>92</v>
      </c>
      <c r="W1352" t="s">
        <v>93</v>
      </c>
      <c r="X1352" t="s">
        <v>115</v>
      </c>
      <c r="Y1352" t="s">
        <v>115</v>
      </c>
      <c r="Z1352" t="s">
        <v>95</v>
      </c>
      <c r="AA1352">
        <v>368</v>
      </c>
      <c r="AB1352" t="s">
        <v>97</v>
      </c>
      <c r="AC1352" t="s">
        <v>97</v>
      </c>
      <c r="AD1352" t="s">
        <v>117</v>
      </c>
      <c r="AE1352" t="s">
        <v>97</v>
      </c>
      <c r="AF1352" t="s">
        <v>97</v>
      </c>
      <c r="AG1352" t="s">
        <v>99</v>
      </c>
      <c r="AH1352" t="s">
        <v>171</v>
      </c>
      <c r="AI1352">
        <v>500</v>
      </c>
      <c r="AJ1352" t="s">
        <v>101</v>
      </c>
      <c r="AK1352">
        <v>0</v>
      </c>
      <c r="AL1352">
        <v>748</v>
      </c>
      <c r="AM1352">
        <v>1248</v>
      </c>
      <c r="AN1352" t="s">
        <v>102</v>
      </c>
      <c r="AO1352" t="s">
        <v>97</v>
      </c>
      <c r="AP1352" t="s">
        <v>104</v>
      </c>
      <c r="AQ1352" t="s">
        <v>105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97</v>
      </c>
      <c r="BC1352">
        <v>12</v>
      </c>
      <c r="BD1352" t="s">
        <v>106</v>
      </c>
      <c r="BE1352">
        <v>0</v>
      </c>
      <c r="BG1352" t="s">
        <v>126</v>
      </c>
      <c r="BH1352">
        <v>1969</v>
      </c>
      <c r="BI1352" t="s">
        <v>101</v>
      </c>
      <c r="BJ1352">
        <v>4</v>
      </c>
      <c r="BK1352">
        <v>968</v>
      </c>
      <c r="BL1352" t="s">
        <v>97</v>
      </c>
      <c r="BM1352" t="s">
        <v>97</v>
      </c>
      <c r="BN1352" t="s">
        <v>104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X1352">
        <v>0</v>
      </c>
      <c r="BY1352">
        <v>8</v>
      </c>
      <c r="BZ1352">
        <v>2009</v>
      </c>
      <c r="CA1352" t="s">
        <v>109</v>
      </c>
      <c r="CB1352" t="s">
        <v>110</v>
      </c>
      <c r="CC1352">
        <v>200000</v>
      </c>
    </row>
    <row r="1353" spans="1:81" x14ac:dyDescent="0.3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H1353" t="s">
        <v>119</v>
      </c>
      <c r="I1353" t="s">
        <v>84</v>
      </c>
      <c r="J1353" t="s">
        <v>85</v>
      </c>
      <c r="K1353" t="s">
        <v>86</v>
      </c>
      <c r="L1353" t="s">
        <v>87</v>
      </c>
      <c r="M1353" t="s">
        <v>270</v>
      </c>
      <c r="N1353" t="s">
        <v>89</v>
      </c>
      <c r="O1353" t="s">
        <v>89</v>
      </c>
      <c r="P1353" t="s">
        <v>90</v>
      </c>
      <c r="Q1353" t="s">
        <v>91</v>
      </c>
      <c r="R1353">
        <v>6</v>
      </c>
      <c r="S1353">
        <v>6</v>
      </c>
      <c r="T1353">
        <v>1962</v>
      </c>
      <c r="U1353">
        <v>1962</v>
      </c>
      <c r="V1353" t="s">
        <v>92</v>
      </c>
      <c r="W1353" t="s">
        <v>93</v>
      </c>
      <c r="X1353" t="s">
        <v>139</v>
      </c>
      <c r="Y1353" t="s">
        <v>139</v>
      </c>
      <c r="Z1353" t="s">
        <v>95</v>
      </c>
      <c r="AA1353">
        <v>318</v>
      </c>
      <c r="AB1353" t="s">
        <v>97</v>
      </c>
      <c r="AC1353" t="s">
        <v>97</v>
      </c>
      <c r="AD1353" t="s">
        <v>117</v>
      </c>
      <c r="AE1353" t="s">
        <v>97</v>
      </c>
      <c r="AF1353" t="s">
        <v>97</v>
      </c>
      <c r="AG1353" t="s">
        <v>99</v>
      </c>
      <c r="AH1353" t="s">
        <v>152</v>
      </c>
      <c r="AI1353">
        <v>319</v>
      </c>
      <c r="AJ1353" t="s">
        <v>101</v>
      </c>
      <c r="AK1353">
        <v>0</v>
      </c>
      <c r="AL1353">
        <v>539</v>
      </c>
      <c r="AM1353">
        <v>858</v>
      </c>
      <c r="AN1353" t="s">
        <v>102</v>
      </c>
      <c r="AO1353" t="s">
        <v>103</v>
      </c>
      <c r="AP1353" t="s">
        <v>104</v>
      </c>
      <c r="AQ1353" t="s">
        <v>105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97</v>
      </c>
      <c r="BC1353">
        <v>8</v>
      </c>
      <c r="BD1353" t="s">
        <v>106</v>
      </c>
      <c r="BE1353">
        <v>1</v>
      </c>
      <c r="BF1353" t="s">
        <v>96</v>
      </c>
      <c r="BG1353" t="s">
        <v>107</v>
      </c>
      <c r="BH1353">
        <v>1962</v>
      </c>
      <c r="BI1353" t="s">
        <v>156</v>
      </c>
      <c r="BJ1353">
        <v>2</v>
      </c>
      <c r="BK1353">
        <v>490</v>
      </c>
      <c r="BL1353" t="s">
        <v>97</v>
      </c>
      <c r="BM1353" t="s">
        <v>97</v>
      </c>
      <c r="BN1353" t="s">
        <v>104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X1353">
        <v>0</v>
      </c>
      <c r="BY1353">
        <v>3</v>
      </c>
      <c r="BZ1353">
        <v>2008</v>
      </c>
      <c r="CA1353" t="s">
        <v>109</v>
      </c>
      <c r="CB1353" t="s">
        <v>110</v>
      </c>
      <c r="CC1353">
        <v>171000</v>
      </c>
    </row>
    <row r="1354" spans="1:81" x14ac:dyDescent="0.3">
      <c r="A1354">
        <v>1353</v>
      </c>
      <c r="B1354">
        <v>50</v>
      </c>
      <c r="C1354" t="s">
        <v>141</v>
      </c>
      <c r="D1354">
        <v>50</v>
      </c>
      <c r="E1354">
        <v>6000</v>
      </c>
      <c r="F1354" t="s">
        <v>82</v>
      </c>
      <c r="H1354" t="s">
        <v>83</v>
      </c>
      <c r="I1354" t="s">
        <v>84</v>
      </c>
      <c r="J1354" t="s">
        <v>85</v>
      </c>
      <c r="K1354" t="s">
        <v>86</v>
      </c>
      <c r="L1354" t="s">
        <v>87</v>
      </c>
      <c r="M1354" t="s">
        <v>147</v>
      </c>
      <c r="N1354" t="s">
        <v>89</v>
      </c>
      <c r="O1354" t="s">
        <v>89</v>
      </c>
      <c r="P1354" t="s">
        <v>90</v>
      </c>
      <c r="Q1354" t="s">
        <v>131</v>
      </c>
      <c r="R1354">
        <v>6</v>
      </c>
      <c r="S1354">
        <v>9</v>
      </c>
      <c r="T1354">
        <v>1937</v>
      </c>
      <c r="U1354">
        <v>2000</v>
      </c>
      <c r="V1354" t="s">
        <v>92</v>
      </c>
      <c r="W1354" t="s">
        <v>93</v>
      </c>
      <c r="X1354" t="s">
        <v>115</v>
      </c>
      <c r="Y1354" t="s">
        <v>115</v>
      </c>
      <c r="Z1354" t="s">
        <v>116</v>
      </c>
      <c r="AA1354">
        <v>0</v>
      </c>
      <c r="AB1354" t="s">
        <v>96</v>
      </c>
      <c r="AC1354" t="s">
        <v>97</v>
      </c>
      <c r="AD1354" t="s">
        <v>125</v>
      </c>
      <c r="AE1354" t="s">
        <v>97</v>
      </c>
      <c r="AF1354" t="s">
        <v>97</v>
      </c>
      <c r="AG1354" t="s">
        <v>99</v>
      </c>
      <c r="AH1354" t="s">
        <v>101</v>
      </c>
      <c r="AI1354">
        <v>0</v>
      </c>
      <c r="AJ1354" t="s">
        <v>101</v>
      </c>
      <c r="AK1354">
        <v>0</v>
      </c>
      <c r="AL1354">
        <v>698</v>
      </c>
      <c r="AM1354">
        <v>698</v>
      </c>
      <c r="AN1354" t="s">
        <v>102</v>
      </c>
      <c r="AO1354" t="s">
        <v>97</v>
      </c>
      <c r="AP1354" t="s">
        <v>104</v>
      </c>
      <c r="AQ1354" t="s">
        <v>105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97</v>
      </c>
      <c r="BC1354">
        <v>4</v>
      </c>
      <c r="BD1354" t="s">
        <v>106</v>
      </c>
      <c r="BE1354">
        <v>0</v>
      </c>
      <c r="BG1354" t="s">
        <v>126</v>
      </c>
      <c r="BH1354">
        <v>1999</v>
      </c>
      <c r="BI1354" t="s">
        <v>101</v>
      </c>
      <c r="BJ1354">
        <v>2</v>
      </c>
      <c r="BK1354">
        <v>624</v>
      </c>
      <c r="BL1354" t="s">
        <v>97</v>
      </c>
      <c r="BM1354" t="s">
        <v>97</v>
      </c>
      <c r="BN1354" t="s">
        <v>176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X1354">
        <v>0</v>
      </c>
      <c r="BY1354">
        <v>7</v>
      </c>
      <c r="BZ1354">
        <v>2009</v>
      </c>
      <c r="CA1354" t="s">
        <v>109</v>
      </c>
      <c r="CB1354" t="s">
        <v>110</v>
      </c>
      <c r="CC1354">
        <v>134900</v>
      </c>
    </row>
    <row r="1355" spans="1:81" x14ac:dyDescent="0.3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H1355" t="s">
        <v>119</v>
      </c>
      <c r="I1355" t="s">
        <v>84</v>
      </c>
      <c r="J1355" t="s">
        <v>85</v>
      </c>
      <c r="K1355" t="s">
        <v>165</v>
      </c>
      <c r="L1355" t="s">
        <v>87</v>
      </c>
      <c r="M1355" t="s">
        <v>128</v>
      </c>
      <c r="N1355" t="s">
        <v>89</v>
      </c>
      <c r="O1355" t="s">
        <v>89</v>
      </c>
      <c r="P1355" t="s">
        <v>90</v>
      </c>
      <c r="Q1355" t="s">
        <v>131</v>
      </c>
      <c r="R1355">
        <v>8</v>
      </c>
      <c r="S1355">
        <v>5</v>
      </c>
      <c r="T1355">
        <v>1995</v>
      </c>
      <c r="U1355">
        <v>1996</v>
      </c>
      <c r="V1355" t="s">
        <v>151</v>
      </c>
      <c r="W1355" t="s">
        <v>93</v>
      </c>
      <c r="X1355" t="s">
        <v>94</v>
      </c>
      <c r="Y1355" t="s">
        <v>94</v>
      </c>
      <c r="Z1355" t="s">
        <v>95</v>
      </c>
      <c r="AA1355">
        <v>579</v>
      </c>
      <c r="AB1355" t="s">
        <v>96</v>
      </c>
      <c r="AC1355" t="s">
        <v>97</v>
      </c>
      <c r="AD1355" t="s">
        <v>98</v>
      </c>
      <c r="AE1355" t="s">
        <v>96</v>
      </c>
      <c r="AF1355" t="s">
        <v>97</v>
      </c>
      <c r="AG1355" t="s">
        <v>129</v>
      </c>
      <c r="AH1355" t="s">
        <v>100</v>
      </c>
      <c r="AI1355">
        <v>816</v>
      </c>
      <c r="AJ1355" t="s">
        <v>101</v>
      </c>
      <c r="AK1355">
        <v>0</v>
      </c>
      <c r="AL1355">
        <v>1217</v>
      </c>
      <c r="AM1355">
        <v>2033</v>
      </c>
      <c r="AN1355" t="s">
        <v>102</v>
      </c>
      <c r="AO1355" t="s">
        <v>103</v>
      </c>
      <c r="AP1355" t="s">
        <v>104</v>
      </c>
      <c r="AQ1355" t="s">
        <v>105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96</v>
      </c>
      <c r="BC1355">
        <v>9</v>
      </c>
      <c r="BD1355" t="s">
        <v>106</v>
      </c>
      <c r="BE1355">
        <v>1</v>
      </c>
      <c r="BF1355" t="s">
        <v>103</v>
      </c>
      <c r="BG1355" t="s">
        <v>107</v>
      </c>
      <c r="BH1355">
        <v>1996</v>
      </c>
      <c r="BI1355" t="s">
        <v>156</v>
      </c>
      <c r="BJ1355">
        <v>3</v>
      </c>
      <c r="BK1355">
        <v>666</v>
      </c>
      <c r="BL1355" t="s">
        <v>97</v>
      </c>
      <c r="BM1355" t="s">
        <v>97</v>
      </c>
      <c r="BN1355" t="s">
        <v>104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X1355">
        <v>0</v>
      </c>
      <c r="BY1355">
        <v>3</v>
      </c>
      <c r="BZ1355">
        <v>2010</v>
      </c>
      <c r="CA1355" t="s">
        <v>109</v>
      </c>
      <c r="CB1355" t="s">
        <v>110</v>
      </c>
      <c r="CC1355">
        <v>410000</v>
      </c>
    </row>
    <row r="1356" spans="1:81" x14ac:dyDescent="0.3">
      <c r="A1356">
        <v>1355</v>
      </c>
      <c r="B1356">
        <v>60</v>
      </c>
      <c r="C1356" t="s">
        <v>81</v>
      </c>
      <c r="E1356">
        <v>10316</v>
      </c>
      <c r="F1356" t="s">
        <v>82</v>
      </c>
      <c r="H1356" t="s">
        <v>119</v>
      </c>
      <c r="I1356" t="s">
        <v>84</v>
      </c>
      <c r="J1356" t="s">
        <v>85</v>
      </c>
      <c r="K1356" t="s">
        <v>86</v>
      </c>
      <c r="L1356" t="s">
        <v>87</v>
      </c>
      <c r="M1356" t="s">
        <v>88</v>
      </c>
      <c r="N1356" t="s">
        <v>89</v>
      </c>
      <c r="O1356" t="s">
        <v>89</v>
      </c>
      <c r="P1356" t="s">
        <v>90</v>
      </c>
      <c r="Q1356" t="s">
        <v>91</v>
      </c>
      <c r="R1356">
        <v>7</v>
      </c>
      <c r="S1356">
        <v>5</v>
      </c>
      <c r="T1356">
        <v>2000</v>
      </c>
      <c r="U1356">
        <v>2000</v>
      </c>
      <c r="V1356" t="s">
        <v>92</v>
      </c>
      <c r="W1356" t="s">
        <v>93</v>
      </c>
      <c r="X1356" t="s">
        <v>94</v>
      </c>
      <c r="Y1356" t="s">
        <v>94</v>
      </c>
      <c r="Z1356" t="s">
        <v>116</v>
      </c>
      <c r="AA1356">
        <v>0</v>
      </c>
      <c r="AB1356" t="s">
        <v>96</v>
      </c>
      <c r="AC1356" t="s">
        <v>97</v>
      </c>
      <c r="AD1356" t="s">
        <v>98</v>
      </c>
      <c r="AE1356" t="s">
        <v>96</v>
      </c>
      <c r="AF1356" t="s">
        <v>97</v>
      </c>
      <c r="AG1356" t="s">
        <v>99</v>
      </c>
      <c r="AH1356" t="s">
        <v>100</v>
      </c>
      <c r="AI1356">
        <v>735</v>
      </c>
      <c r="AJ1356" t="s">
        <v>101</v>
      </c>
      <c r="AK1356">
        <v>0</v>
      </c>
      <c r="AL1356">
        <v>257</v>
      </c>
      <c r="AM1356">
        <v>992</v>
      </c>
      <c r="AN1356" t="s">
        <v>102</v>
      </c>
      <c r="AO1356" t="s">
        <v>103</v>
      </c>
      <c r="AP1356" t="s">
        <v>104</v>
      </c>
      <c r="AQ1356" t="s">
        <v>105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96</v>
      </c>
      <c r="BC1356">
        <v>7</v>
      </c>
      <c r="BD1356" t="s">
        <v>106</v>
      </c>
      <c r="BE1356">
        <v>1</v>
      </c>
      <c r="BF1356" t="s">
        <v>97</v>
      </c>
      <c r="BG1356" t="s">
        <v>107</v>
      </c>
      <c r="BH1356">
        <v>2000</v>
      </c>
      <c r="BI1356" t="s">
        <v>108</v>
      </c>
      <c r="BJ1356">
        <v>3</v>
      </c>
      <c r="BK1356">
        <v>839</v>
      </c>
      <c r="BL1356" t="s">
        <v>97</v>
      </c>
      <c r="BM1356" t="s">
        <v>97</v>
      </c>
      <c r="BN1356" t="s">
        <v>104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X1356">
        <v>0</v>
      </c>
      <c r="BY1356">
        <v>6</v>
      </c>
      <c r="BZ1356">
        <v>2008</v>
      </c>
      <c r="CA1356" t="s">
        <v>109</v>
      </c>
      <c r="CB1356" t="s">
        <v>110</v>
      </c>
      <c r="CC1356">
        <v>235000</v>
      </c>
    </row>
    <row r="1357" spans="1:81" x14ac:dyDescent="0.3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H1357" t="s">
        <v>119</v>
      </c>
      <c r="I1357" t="s">
        <v>84</v>
      </c>
      <c r="J1357" t="s">
        <v>85</v>
      </c>
      <c r="K1357" t="s">
        <v>86</v>
      </c>
      <c r="L1357" t="s">
        <v>87</v>
      </c>
      <c r="M1357" t="s">
        <v>137</v>
      </c>
      <c r="N1357" t="s">
        <v>89</v>
      </c>
      <c r="O1357" t="s">
        <v>89</v>
      </c>
      <c r="P1357" t="s">
        <v>90</v>
      </c>
      <c r="Q1357" t="s">
        <v>196</v>
      </c>
      <c r="R1357">
        <v>7</v>
      </c>
      <c r="S1357">
        <v>6</v>
      </c>
      <c r="T1357">
        <v>1968</v>
      </c>
      <c r="U1357">
        <v>1992</v>
      </c>
      <c r="V1357" t="s">
        <v>92</v>
      </c>
      <c r="W1357" t="s">
        <v>93</v>
      </c>
      <c r="X1357" t="s">
        <v>115</v>
      </c>
      <c r="Y1357" t="s">
        <v>115</v>
      </c>
      <c r="Z1357" t="s">
        <v>95</v>
      </c>
      <c r="AA1357">
        <v>143</v>
      </c>
      <c r="AB1357" t="s">
        <v>97</v>
      </c>
      <c r="AC1357" t="s">
        <v>97</v>
      </c>
      <c r="AD1357" t="s">
        <v>117</v>
      </c>
      <c r="AE1357" t="s">
        <v>97</v>
      </c>
      <c r="AF1357" t="s">
        <v>97</v>
      </c>
      <c r="AG1357" t="s">
        <v>99</v>
      </c>
      <c r="AH1357" t="s">
        <v>101</v>
      </c>
      <c r="AI1357">
        <v>0</v>
      </c>
      <c r="AJ1357" t="s">
        <v>101</v>
      </c>
      <c r="AK1357">
        <v>0</v>
      </c>
      <c r="AL1357">
        <v>570</v>
      </c>
      <c r="AM1357">
        <v>570</v>
      </c>
      <c r="AN1357" t="s">
        <v>102</v>
      </c>
      <c r="AO1357" t="s">
        <v>96</v>
      </c>
      <c r="AP1357" t="s">
        <v>104</v>
      </c>
      <c r="AQ1357" t="s">
        <v>105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96</v>
      </c>
      <c r="BC1357">
        <v>8</v>
      </c>
      <c r="BD1357" t="s">
        <v>106</v>
      </c>
      <c r="BE1357">
        <v>1</v>
      </c>
      <c r="BF1357" t="s">
        <v>97</v>
      </c>
      <c r="BG1357" t="s">
        <v>107</v>
      </c>
      <c r="BH1357">
        <v>1968</v>
      </c>
      <c r="BI1357" t="s">
        <v>108</v>
      </c>
      <c r="BJ1357">
        <v>2</v>
      </c>
      <c r="BK1357">
        <v>487</v>
      </c>
      <c r="BL1357" t="s">
        <v>97</v>
      </c>
      <c r="BM1357" t="s">
        <v>97</v>
      </c>
      <c r="BN1357" t="s">
        <v>104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V1357" t="s">
        <v>164</v>
      </c>
      <c r="BX1357">
        <v>0</v>
      </c>
      <c r="BY1357">
        <v>9</v>
      </c>
      <c r="BZ1357">
        <v>2006</v>
      </c>
      <c r="CA1357" t="s">
        <v>109</v>
      </c>
      <c r="CB1357" t="s">
        <v>110</v>
      </c>
      <c r="CC1357">
        <v>170000</v>
      </c>
    </row>
    <row r="1358" spans="1:81" x14ac:dyDescent="0.3">
      <c r="A1358">
        <v>1357</v>
      </c>
      <c r="B1358">
        <v>20</v>
      </c>
      <c r="C1358" t="s">
        <v>81</v>
      </c>
      <c r="E1358">
        <v>9477</v>
      </c>
      <c r="F1358" t="s">
        <v>82</v>
      </c>
      <c r="H1358" t="s">
        <v>83</v>
      </c>
      <c r="I1358" t="s">
        <v>84</v>
      </c>
      <c r="J1358" t="s">
        <v>85</v>
      </c>
      <c r="K1358" t="s">
        <v>121</v>
      </c>
      <c r="L1358" t="s">
        <v>87</v>
      </c>
      <c r="M1358" t="s">
        <v>270</v>
      </c>
      <c r="N1358" t="s">
        <v>89</v>
      </c>
      <c r="O1358" t="s">
        <v>89</v>
      </c>
      <c r="P1358" t="s">
        <v>90</v>
      </c>
      <c r="Q1358" t="s">
        <v>114</v>
      </c>
      <c r="R1358">
        <v>5</v>
      </c>
      <c r="S1358">
        <v>5</v>
      </c>
      <c r="T1358">
        <v>1966</v>
      </c>
      <c r="U1358">
        <v>1966</v>
      </c>
      <c r="V1358" t="s">
        <v>92</v>
      </c>
      <c r="W1358" t="s">
        <v>93</v>
      </c>
      <c r="X1358" t="s">
        <v>139</v>
      </c>
      <c r="Y1358" t="s">
        <v>139</v>
      </c>
      <c r="Z1358" t="s">
        <v>95</v>
      </c>
      <c r="AA1358">
        <v>65</v>
      </c>
      <c r="AB1358" t="s">
        <v>97</v>
      </c>
      <c r="AC1358" t="s">
        <v>97</v>
      </c>
      <c r="AD1358" t="s">
        <v>117</v>
      </c>
      <c r="AE1358" t="s">
        <v>97</v>
      </c>
      <c r="AF1358" t="s">
        <v>97</v>
      </c>
      <c r="AG1358" t="s">
        <v>99</v>
      </c>
      <c r="AH1358" t="s">
        <v>152</v>
      </c>
      <c r="AI1358">
        <v>340</v>
      </c>
      <c r="AJ1358" t="s">
        <v>101</v>
      </c>
      <c r="AK1358">
        <v>0</v>
      </c>
      <c r="AL1358">
        <v>524</v>
      </c>
      <c r="AM1358">
        <v>864</v>
      </c>
      <c r="AN1358" t="s">
        <v>102</v>
      </c>
      <c r="AO1358" t="s">
        <v>97</v>
      </c>
      <c r="AP1358" t="s">
        <v>104</v>
      </c>
      <c r="AQ1358" t="s">
        <v>105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97</v>
      </c>
      <c r="BC1358">
        <v>5</v>
      </c>
      <c r="BD1358" t="s">
        <v>106</v>
      </c>
      <c r="BE1358">
        <v>0</v>
      </c>
      <c r="BG1358" t="s">
        <v>107</v>
      </c>
      <c r="BH1358">
        <v>1966</v>
      </c>
      <c r="BI1358" t="s">
        <v>108</v>
      </c>
      <c r="BJ1358">
        <v>1</v>
      </c>
      <c r="BK1358">
        <v>264</v>
      </c>
      <c r="BL1358" t="s">
        <v>97</v>
      </c>
      <c r="BM1358" t="s">
        <v>97</v>
      </c>
      <c r="BN1358" t="s">
        <v>104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V1358" t="s">
        <v>162</v>
      </c>
      <c r="BX1358">
        <v>0</v>
      </c>
      <c r="BY1358">
        <v>10</v>
      </c>
      <c r="BZ1358">
        <v>2008</v>
      </c>
      <c r="CA1358" t="s">
        <v>109</v>
      </c>
      <c r="CB1358" t="s">
        <v>110</v>
      </c>
      <c r="CC1358">
        <v>110000</v>
      </c>
    </row>
    <row r="1359" spans="1:81" x14ac:dyDescent="0.3">
      <c r="A1359">
        <v>1358</v>
      </c>
      <c r="B1359">
        <v>20</v>
      </c>
      <c r="C1359" t="s">
        <v>81</v>
      </c>
      <c r="E1359">
        <v>12537</v>
      </c>
      <c r="F1359" t="s">
        <v>82</v>
      </c>
      <c r="H1359" t="s">
        <v>119</v>
      </c>
      <c r="I1359" t="s">
        <v>84</v>
      </c>
      <c r="J1359" t="s">
        <v>85</v>
      </c>
      <c r="K1359" t="s">
        <v>165</v>
      </c>
      <c r="L1359" t="s">
        <v>87</v>
      </c>
      <c r="M1359" t="s">
        <v>270</v>
      </c>
      <c r="N1359" t="s">
        <v>89</v>
      </c>
      <c r="O1359" t="s">
        <v>89</v>
      </c>
      <c r="P1359" t="s">
        <v>90</v>
      </c>
      <c r="Q1359" t="s">
        <v>114</v>
      </c>
      <c r="R1359">
        <v>5</v>
      </c>
      <c r="S1359">
        <v>6</v>
      </c>
      <c r="T1359">
        <v>1971</v>
      </c>
      <c r="U1359">
        <v>2008</v>
      </c>
      <c r="V1359" t="s">
        <v>92</v>
      </c>
      <c r="W1359" t="s">
        <v>93</v>
      </c>
      <c r="X1359" t="s">
        <v>94</v>
      </c>
      <c r="Y1359" t="s">
        <v>94</v>
      </c>
      <c r="Z1359" t="s">
        <v>116</v>
      </c>
      <c r="AA1359">
        <v>0</v>
      </c>
      <c r="AB1359" t="s">
        <v>97</v>
      </c>
      <c r="AC1359" t="s">
        <v>97</v>
      </c>
      <c r="AD1359" t="s">
        <v>117</v>
      </c>
      <c r="AE1359" t="s">
        <v>97</v>
      </c>
      <c r="AF1359" t="s">
        <v>97</v>
      </c>
      <c r="AG1359" t="s">
        <v>99</v>
      </c>
      <c r="AH1359" t="s">
        <v>100</v>
      </c>
      <c r="AI1359">
        <v>734</v>
      </c>
      <c r="AJ1359" t="s">
        <v>101</v>
      </c>
      <c r="AK1359">
        <v>0</v>
      </c>
      <c r="AL1359">
        <v>344</v>
      </c>
      <c r="AM1359">
        <v>1078</v>
      </c>
      <c r="AN1359" t="s">
        <v>102</v>
      </c>
      <c r="AO1359" t="s">
        <v>103</v>
      </c>
      <c r="AP1359" t="s">
        <v>104</v>
      </c>
      <c r="AQ1359" t="s">
        <v>105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97</v>
      </c>
      <c r="BC1359">
        <v>6</v>
      </c>
      <c r="BD1359" t="s">
        <v>106</v>
      </c>
      <c r="BE1359">
        <v>1</v>
      </c>
      <c r="BF1359" t="s">
        <v>146</v>
      </c>
      <c r="BG1359" t="s">
        <v>107</v>
      </c>
      <c r="BH1359">
        <v>1971</v>
      </c>
      <c r="BI1359" t="s">
        <v>156</v>
      </c>
      <c r="BJ1359">
        <v>2</v>
      </c>
      <c r="BK1359">
        <v>500</v>
      </c>
      <c r="BL1359" t="s">
        <v>97</v>
      </c>
      <c r="BM1359" t="s">
        <v>97</v>
      </c>
      <c r="BN1359" t="s">
        <v>104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X1359">
        <v>0</v>
      </c>
      <c r="BY1359">
        <v>4</v>
      </c>
      <c r="BZ1359">
        <v>2010</v>
      </c>
      <c r="CA1359" t="s">
        <v>109</v>
      </c>
      <c r="CB1359" t="s">
        <v>110</v>
      </c>
      <c r="CC1359">
        <v>149900</v>
      </c>
    </row>
    <row r="1360" spans="1:81" x14ac:dyDescent="0.3">
      <c r="A1360">
        <v>1359</v>
      </c>
      <c r="B1360">
        <v>160</v>
      </c>
      <c r="C1360" t="s">
        <v>191</v>
      </c>
      <c r="E1360">
        <v>2117</v>
      </c>
      <c r="F1360" t="s">
        <v>82</v>
      </c>
      <c r="H1360" t="s">
        <v>83</v>
      </c>
      <c r="I1360" t="s">
        <v>84</v>
      </c>
      <c r="J1360" t="s">
        <v>85</v>
      </c>
      <c r="K1360" t="s">
        <v>86</v>
      </c>
      <c r="L1360" t="s">
        <v>87</v>
      </c>
      <c r="M1360" t="s">
        <v>135</v>
      </c>
      <c r="N1360" t="s">
        <v>89</v>
      </c>
      <c r="O1360" t="s">
        <v>89</v>
      </c>
      <c r="P1360" t="s">
        <v>197</v>
      </c>
      <c r="Q1360" t="s">
        <v>91</v>
      </c>
      <c r="R1360">
        <v>6</v>
      </c>
      <c r="S1360">
        <v>5</v>
      </c>
      <c r="T1360">
        <v>2000</v>
      </c>
      <c r="U1360">
        <v>2000</v>
      </c>
      <c r="V1360" t="s">
        <v>92</v>
      </c>
      <c r="W1360" t="s">
        <v>93</v>
      </c>
      <c r="X1360" t="s">
        <v>115</v>
      </c>
      <c r="Y1360" t="s">
        <v>115</v>
      </c>
      <c r="Z1360" t="s">
        <v>95</v>
      </c>
      <c r="AA1360">
        <v>216</v>
      </c>
      <c r="AB1360" t="s">
        <v>96</v>
      </c>
      <c r="AC1360" t="s">
        <v>97</v>
      </c>
      <c r="AD1360" t="s">
        <v>98</v>
      </c>
      <c r="AE1360" t="s">
        <v>96</v>
      </c>
      <c r="AF1360" t="s">
        <v>97</v>
      </c>
      <c r="AG1360" t="s">
        <v>99</v>
      </c>
      <c r="AH1360" t="s">
        <v>100</v>
      </c>
      <c r="AI1360">
        <v>378</v>
      </c>
      <c r="AJ1360" t="s">
        <v>101</v>
      </c>
      <c r="AK1360">
        <v>0</v>
      </c>
      <c r="AL1360">
        <v>378</v>
      </c>
      <c r="AM1360">
        <v>756</v>
      </c>
      <c r="AN1360" t="s">
        <v>102</v>
      </c>
      <c r="AO1360" t="s">
        <v>103</v>
      </c>
      <c r="AP1360" t="s">
        <v>104</v>
      </c>
      <c r="AQ1360" t="s">
        <v>105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96</v>
      </c>
      <c r="BC1360">
        <v>5</v>
      </c>
      <c r="BD1360" t="s">
        <v>106</v>
      </c>
      <c r="BE1360">
        <v>0</v>
      </c>
      <c r="BG1360" t="s">
        <v>126</v>
      </c>
      <c r="BH1360">
        <v>2000</v>
      </c>
      <c r="BI1360" t="s">
        <v>101</v>
      </c>
      <c r="BJ1360">
        <v>2</v>
      </c>
      <c r="BK1360">
        <v>440</v>
      </c>
      <c r="BL1360" t="s">
        <v>97</v>
      </c>
      <c r="BM1360" t="s">
        <v>97</v>
      </c>
      <c r="BN1360" t="s">
        <v>104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X1360">
        <v>0</v>
      </c>
      <c r="BY1360">
        <v>6</v>
      </c>
      <c r="BZ1360">
        <v>2010</v>
      </c>
      <c r="CA1360" t="s">
        <v>109</v>
      </c>
      <c r="CB1360" t="s">
        <v>110</v>
      </c>
      <c r="CC1360">
        <v>177500</v>
      </c>
    </row>
    <row r="1361" spans="1:81" x14ac:dyDescent="0.3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H1361" t="s">
        <v>83</v>
      </c>
      <c r="I1361" t="s">
        <v>84</v>
      </c>
      <c r="J1361" t="s">
        <v>85</v>
      </c>
      <c r="K1361" t="s">
        <v>237</v>
      </c>
      <c r="L1361" t="s">
        <v>87</v>
      </c>
      <c r="M1361" t="s">
        <v>153</v>
      </c>
      <c r="N1361" t="s">
        <v>89</v>
      </c>
      <c r="O1361" t="s">
        <v>89</v>
      </c>
      <c r="P1361" t="s">
        <v>90</v>
      </c>
      <c r="Q1361" t="s">
        <v>114</v>
      </c>
      <c r="R1361">
        <v>9</v>
      </c>
      <c r="S1361">
        <v>5</v>
      </c>
      <c r="T1361">
        <v>2004</v>
      </c>
      <c r="U1361">
        <v>2005</v>
      </c>
      <c r="V1361" t="s">
        <v>151</v>
      </c>
      <c r="W1361" t="s">
        <v>93</v>
      </c>
      <c r="X1361" t="s">
        <v>94</v>
      </c>
      <c r="Y1361" t="s">
        <v>94</v>
      </c>
      <c r="Z1361" t="s">
        <v>95</v>
      </c>
      <c r="AA1361">
        <v>66</v>
      </c>
      <c r="AB1361" t="s">
        <v>96</v>
      </c>
      <c r="AC1361" t="s">
        <v>97</v>
      </c>
      <c r="AD1361" t="s">
        <v>98</v>
      </c>
      <c r="AE1361" t="s">
        <v>103</v>
      </c>
      <c r="AF1361" t="s">
        <v>97</v>
      </c>
      <c r="AG1361" t="s">
        <v>129</v>
      </c>
      <c r="AH1361" t="s">
        <v>100</v>
      </c>
      <c r="AI1361">
        <v>1447</v>
      </c>
      <c r="AJ1361" t="s">
        <v>101</v>
      </c>
      <c r="AK1361">
        <v>0</v>
      </c>
      <c r="AL1361">
        <v>533</v>
      </c>
      <c r="AM1361">
        <v>1980</v>
      </c>
      <c r="AN1361" t="s">
        <v>102</v>
      </c>
      <c r="AO1361" t="s">
        <v>103</v>
      </c>
      <c r="AP1361" t="s">
        <v>104</v>
      </c>
      <c r="AQ1361" t="s">
        <v>105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103</v>
      </c>
      <c r="BC1361">
        <v>8</v>
      </c>
      <c r="BD1361" t="s">
        <v>106</v>
      </c>
      <c r="BE1361">
        <v>1</v>
      </c>
      <c r="BF1361" t="s">
        <v>96</v>
      </c>
      <c r="BG1361" t="s">
        <v>107</v>
      </c>
      <c r="BH1361">
        <v>2004</v>
      </c>
      <c r="BI1361" t="s">
        <v>156</v>
      </c>
      <c r="BJ1361">
        <v>3</v>
      </c>
      <c r="BK1361">
        <v>770</v>
      </c>
      <c r="BL1361" t="s">
        <v>97</v>
      </c>
      <c r="BM1361" t="s">
        <v>97</v>
      </c>
      <c r="BN1361" t="s">
        <v>104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X1361">
        <v>0</v>
      </c>
      <c r="BY1361">
        <v>9</v>
      </c>
      <c r="BZ1361">
        <v>2006</v>
      </c>
      <c r="CA1361" t="s">
        <v>109</v>
      </c>
      <c r="CB1361" t="s">
        <v>110</v>
      </c>
      <c r="CC1361">
        <v>315000</v>
      </c>
    </row>
    <row r="1362" spans="1:81" x14ac:dyDescent="0.3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H1362" t="s">
        <v>83</v>
      </c>
      <c r="I1362" t="s">
        <v>84</v>
      </c>
      <c r="J1362" t="s">
        <v>85</v>
      </c>
      <c r="K1362" t="s">
        <v>86</v>
      </c>
      <c r="L1362" t="s">
        <v>87</v>
      </c>
      <c r="M1362" t="s">
        <v>231</v>
      </c>
      <c r="N1362" t="s">
        <v>113</v>
      </c>
      <c r="O1362" t="s">
        <v>89</v>
      </c>
      <c r="P1362" t="s">
        <v>90</v>
      </c>
      <c r="Q1362" t="s">
        <v>91</v>
      </c>
      <c r="R1362">
        <v>5</v>
      </c>
      <c r="S1362">
        <v>6</v>
      </c>
      <c r="T1362">
        <v>1921</v>
      </c>
      <c r="U1362">
        <v>1998</v>
      </c>
      <c r="V1362" t="s">
        <v>92</v>
      </c>
      <c r="W1362" t="s">
        <v>93</v>
      </c>
      <c r="X1362" t="s">
        <v>115</v>
      </c>
      <c r="Y1362" t="s">
        <v>123</v>
      </c>
      <c r="Z1362" t="s">
        <v>116</v>
      </c>
      <c r="AA1362">
        <v>0</v>
      </c>
      <c r="AB1362" t="s">
        <v>97</v>
      </c>
      <c r="AC1362" t="s">
        <v>97</v>
      </c>
      <c r="AD1362" t="s">
        <v>125</v>
      </c>
      <c r="AE1362" t="s">
        <v>97</v>
      </c>
      <c r="AF1362" t="s">
        <v>146</v>
      </c>
      <c r="AG1362" t="s">
        <v>99</v>
      </c>
      <c r="AH1362" t="s">
        <v>101</v>
      </c>
      <c r="AI1362">
        <v>0</v>
      </c>
      <c r="AJ1362" t="s">
        <v>101</v>
      </c>
      <c r="AK1362">
        <v>0</v>
      </c>
      <c r="AL1362">
        <v>612</v>
      </c>
      <c r="AM1362">
        <v>612</v>
      </c>
      <c r="AN1362" t="s">
        <v>102</v>
      </c>
      <c r="AO1362" t="s">
        <v>103</v>
      </c>
      <c r="AP1362" t="s">
        <v>104</v>
      </c>
      <c r="AQ1362" t="s">
        <v>105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97</v>
      </c>
      <c r="BC1362">
        <v>8</v>
      </c>
      <c r="BD1362" t="s">
        <v>106</v>
      </c>
      <c r="BE1362">
        <v>0</v>
      </c>
      <c r="BG1362" t="s">
        <v>155</v>
      </c>
      <c r="BH1362">
        <v>1998</v>
      </c>
      <c r="BI1362" t="s">
        <v>108</v>
      </c>
      <c r="BJ1362">
        <v>2</v>
      </c>
      <c r="BK1362">
        <v>621</v>
      </c>
      <c r="BL1362" t="s">
        <v>97</v>
      </c>
      <c r="BM1362" t="s">
        <v>97</v>
      </c>
      <c r="BN1362" t="s">
        <v>104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X1362">
        <v>0</v>
      </c>
      <c r="BY1362">
        <v>5</v>
      </c>
      <c r="BZ1362">
        <v>2008</v>
      </c>
      <c r="CA1362" t="s">
        <v>109</v>
      </c>
      <c r="CB1362" t="s">
        <v>110</v>
      </c>
      <c r="CC1362">
        <v>189000</v>
      </c>
    </row>
    <row r="1363" spans="1:81" x14ac:dyDescent="0.3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H1363" t="s">
        <v>119</v>
      </c>
      <c r="I1363" t="s">
        <v>194</v>
      </c>
      <c r="J1363" t="s">
        <v>85</v>
      </c>
      <c r="K1363" t="s">
        <v>86</v>
      </c>
      <c r="L1363" t="s">
        <v>193</v>
      </c>
      <c r="M1363" t="s">
        <v>199</v>
      </c>
      <c r="N1363" t="s">
        <v>89</v>
      </c>
      <c r="O1363" t="s">
        <v>89</v>
      </c>
      <c r="P1363" t="s">
        <v>90</v>
      </c>
      <c r="Q1363" t="s">
        <v>114</v>
      </c>
      <c r="R1363">
        <v>7</v>
      </c>
      <c r="S1363">
        <v>5</v>
      </c>
      <c r="T1363">
        <v>2005</v>
      </c>
      <c r="U1363">
        <v>2005</v>
      </c>
      <c r="V1363" t="s">
        <v>151</v>
      </c>
      <c r="W1363" t="s">
        <v>93</v>
      </c>
      <c r="X1363" t="s">
        <v>94</v>
      </c>
      <c r="Y1363" t="s">
        <v>94</v>
      </c>
      <c r="Z1363" t="s">
        <v>136</v>
      </c>
      <c r="AA1363">
        <v>16</v>
      </c>
      <c r="AB1363" t="s">
        <v>96</v>
      </c>
      <c r="AC1363" t="s">
        <v>97</v>
      </c>
      <c r="AD1363" t="s">
        <v>98</v>
      </c>
      <c r="AE1363" t="s">
        <v>103</v>
      </c>
      <c r="AF1363" t="s">
        <v>97</v>
      </c>
      <c r="AG1363" t="s">
        <v>129</v>
      </c>
      <c r="AH1363" t="s">
        <v>118</v>
      </c>
      <c r="AI1363">
        <v>1274</v>
      </c>
      <c r="AJ1363" t="s">
        <v>101</v>
      </c>
      <c r="AK1363">
        <v>0</v>
      </c>
      <c r="AL1363">
        <v>256</v>
      </c>
      <c r="AM1363">
        <v>1530</v>
      </c>
      <c r="AN1363" t="s">
        <v>102</v>
      </c>
      <c r="AO1363" t="s">
        <v>103</v>
      </c>
      <c r="AP1363" t="s">
        <v>104</v>
      </c>
      <c r="AQ1363" t="s">
        <v>105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96</v>
      </c>
      <c r="BC1363">
        <v>7</v>
      </c>
      <c r="BD1363" t="s">
        <v>106</v>
      </c>
      <c r="BE1363">
        <v>1</v>
      </c>
      <c r="BF1363" t="s">
        <v>96</v>
      </c>
      <c r="BG1363" t="s">
        <v>107</v>
      </c>
      <c r="BH1363">
        <v>2005</v>
      </c>
      <c r="BI1363" t="s">
        <v>156</v>
      </c>
      <c r="BJ1363">
        <v>2</v>
      </c>
      <c r="BK1363">
        <v>430</v>
      </c>
      <c r="BL1363" t="s">
        <v>97</v>
      </c>
      <c r="BM1363" t="s">
        <v>97</v>
      </c>
      <c r="BN1363" t="s">
        <v>104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X1363">
        <v>0</v>
      </c>
      <c r="BY1363">
        <v>6</v>
      </c>
      <c r="BZ1363">
        <v>2009</v>
      </c>
      <c r="CA1363" t="s">
        <v>109</v>
      </c>
      <c r="CB1363" t="s">
        <v>110</v>
      </c>
      <c r="CC1363">
        <v>260000</v>
      </c>
    </row>
    <row r="1364" spans="1:81" x14ac:dyDescent="0.3">
      <c r="A1364">
        <v>1363</v>
      </c>
      <c r="B1364">
        <v>50</v>
      </c>
      <c r="C1364" t="s">
        <v>81</v>
      </c>
      <c r="E1364">
        <v>12513</v>
      </c>
      <c r="F1364" t="s">
        <v>82</v>
      </c>
      <c r="H1364" t="s">
        <v>119</v>
      </c>
      <c r="I1364" t="s">
        <v>84</v>
      </c>
      <c r="J1364" t="s">
        <v>85</v>
      </c>
      <c r="K1364" t="s">
        <v>111</v>
      </c>
      <c r="L1364" t="s">
        <v>87</v>
      </c>
      <c r="M1364" t="s">
        <v>270</v>
      </c>
      <c r="N1364" t="s">
        <v>113</v>
      </c>
      <c r="O1364" t="s">
        <v>89</v>
      </c>
      <c r="P1364" t="s">
        <v>90</v>
      </c>
      <c r="Q1364" t="s">
        <v>131</v>
      </c>
      <c r="R1364">
        <v>4</v>
      </c>
      <c r="S1364">
        <v>4</v>
      </c>
      <c r="T1364">
        <v>1920</v>
      </c>
      <c r="U1364">
        <v>2007</v>
      </c>
      <c r="V1364" t="s">
        <v>92</v>
      </c>
      <c r="W1364" t="s">
        <v>93</v>
      </c>
      <c r="X1364" t="s">
        <v>94</v>
      </c>
      <c r="Y1364" t="s">
        <v>94</v>
      </c>
      <c r="Z1364" t="s">
        <v>116</v>
      </c>
      <c r="AA1364">
        <v>0</v>
      </c>
      <c r="AB1364" t="s">
        <v>97</v>
      </c>
      <c r="AC1364" t="s">
        <v>96</v>
      </c>
      <c r="AD1364" t="s">
        <v>125</v>
      </c>
      <c r="AE1364" t="s">
        <v>97</v>
      </c>
      <c r="AF1364" t="s">
        <v>146</v>
      </c>
      <c r="AG1364" t="s">
        <v>99</v>
      </c>
      <c r="AH1364" t="s">
        <v>101</v>
      </c>
      <c r="AI1364">
        <v>0</v>
      </c>
      <c r="AJ1364" t="s">
        <v>101</v>
      </c>
      <c r="AK1364">
        <v>0</v>
      </c>
      <c r="AL1364">
        <v>715</v>
      </c>
      <c r="AM1364">
        <v>715</v>
      </c>
      <c r="AN1364" t="s">
        <v>102</v>
      </c>
      <c r="AO1364" t="s">
        <v>96</v>
      </c>
      <c r="AP1364" t="s">
        <v>104</v>
      </c>
      <c r="AQ1364" t="s">
        <v>105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97</v>
      </c>
      <c r="BC1364">
        <v>7</v>
      </c>
      <c r="BD1364" t="s">
        <v>106</v>
      </c>
      <c r="BE1364">
        <v>1</v>
      </c>
      <c r="BF1364" t="s">
        <v>96</v>
      </c>
      <c r="BG1364" t="s">
        <v>107</v>
      </c>
      <c r="BH1364">
        <v>1920</v>
      </c>
      <c r="BI1364" t="s">
        <v>101</v>
      </c>
      <c r="BJ1364">
        <v>1</v>
      </c>
      <c r="BK1364">
        <v>368</v>
      </c>
      <c r="BL1364" t="s">
        <v>97</v>
      </c>
      <c r="BM1364" t="s">
        <v>97</v>
      </c>
      <c r="BN1364" t="s">
        <v>104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X1364">
        <v>0</v>
      </c>
      <c r="BY1364">
        <v>6</v>
      </c>
      <c r="BZ1364">
        <v>2009</v>
      </c>
      <c r="CA1364" t="s">
        <v>109</v>
      </c>
      <c r="CB1364" t="s">
        <v>110</v>
      </c>
      <c r="CC1364">
        <v>104900</v>
      </c>
    </row>
    <row r="1365" spans="1:81" x14ac:dyDescent="0.3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H1365" t="s">
        <v>119</v>
      </c>
      <c r="I1365" t="s">
        <v>84</v>
      </c>
      <c r="J1365" t="s">
        <v>85</v>
      </c>
      <c r="K1365" t="s">
        <v>86</v>
      </c>
      <c r="L1365" t="s">
        <v>87</v>
      </c>
      <c r="M1365" t="s">
        <v>192</v>
      </c>
      <c r="N1365" t="s">
        <v>89</v>
      </c>
      <c r="O1365" t="s">
        <v>89</v>
      </c>
      <c r="P1365" t="s">
        <v>90</v>
      </c>
      <c r="Q1365" t="s">
        <v>91</v>
      </c>
      <c r="R1365">
        <v>6</v>
      </c>
      <c r="S1365">
        <v>5</v>
      </c>
      <c r="T1365">
        <v>2006</v>
      </c>
      <c r="U1365">
        <v>2007</v>
      </c>
      <c r="V1365" t="s">
        <v>92</v>
      </c>
      <c r="W1365" t="s">
        <v>93</v>
      </c>
      <c r="X1365" t="s">
        <v>94</v>
      </c>
      <c r="Y1365" t="s">
        <v>94</v>
      </c>
      <c r="Z1365" t="s">
        <v>116</v>
      </c>
      <c r="AA1365">
        <v>0</v>
      </c>
      <c r="AB1365" t="s">
        <v>97</v>
      </c>
      <c r="AC1365" t="s">
        <v>97</v>
      </c>
      <c r="AD1365" t="s">
        <v>98</v>
      </c>
      <c r="AE1365" t="s">
        <v>96</v>
      </c>
      <c r="AF1365" t="s">
        <v>97</v>
      </c>
      <c r="AG1365" t="s">
        <v>99</v>
      </c>
      <c r="AH1365" t="s">
        <v>101</v>
      </c>
      <c r="AI1365">
        <v>0</v>
      </c>
      <c r="AJ1365" t="s">
        <v>101</v>
      </c>
      <c r="AK1365">
        <v>0</v>
      </c>
      <c r="AL1365">
        <v>616</v>
      </c>
      <c r="AM1365">
        <v>616</v>
      </c>
      <c r="AN1365" t="s">
        <v>102</v>
      </c>
      <c r="AO1365" t="s">
        <v>103</v>
      </c>
      <c r="AP1365" t="s">
        <v>104</v>
      </c>
      <c r="AQ1365" t="s">
        <v>105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96</v>
      </c>
      <c r="BC1365">
        <v>6</v>
      </c>
      <c r="BD1365" t="s">
        <v>106</v>
      </c>
      <c r="BE1365">
        <v>1</v>
      </c>
      <c r="BF1365" t="s">
        <v>96</v>
      </c>
      <c r="BG1365" t="s">
        <v>155</v>
      </c>
      <c r="BH1365">
        <v>2007</v>
      </c>
      <c r="BI1365" t="s">
        <v>156</v>
      </c>
      <c r="BJ1365">
        <v>2</v>
      </c>
      <c r="BK1365">
        <v>432</v>
      </c>
      <c r="BL1365" t="s">
        <v>97</v>
      </c>
      <c r="BM1365" t="s">
        <v>97</v>
      </c>
      <c r="BN1365" t="s">
        <v>104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X1365">
        <v>0</v>
      </c>
      <c r="BY1365">
        <v>3</v>
      </c>
      <c r="BZ1365">
        <v>2007</v>
      </c>
      <c r="CA1365" t="s">
        <v>157</v>
      </c>
      <c r="CB1365" t="s">
        <v>158</v>
      </c>
      <c r="CC1365">
        <v>156932</v>
      </c>
    </row>
    <row r="1366" spans="1:81" x14ac:dyDescent="0.3">
      <c r="A1366">
        <v>1365</v>
      </c>
      <c r="B1366">
        <v>160</v>
      </c>
      <c r="C1366" t="s">
        <v>191</v>
      </c>
      <c r="D1366">
        <v>30</v>
      </c>
      <c r="E1366">
        <v>3180</v>
      </c>
      <c r="F1366" t="s">
        <v>82</v>
      </c>
      <c r="G1366" t="s">
        <v>82</v>
      </c>
      <c r="H1366" t="s">
        <v>83</v>
      </c>
      <c r="I1366" t="s">
        <v>84</v>
      </c>
      <c r="J1366" t="s">
        <v>85</v>
      </c>
      <c r="K1366" t="s">
        <v>86</v>
      </c>
      <c r="L1366" t="s">
        <v>87</v>
      </c>
      <c r="M1366" t="s">
        <v>135</v>
      </c>
      <c r="N1366" t="s">
        <v>89</v>
      </c>
      <c r="O1366" t="s">
        <v>89</v>
      </c>
      <c r="P1366" t="s">
        <v>178</v>
      </c>
      <c r="Q1366" t="s">
        <v>91</v>
      </c>
      <c r="R1366">
        <v>7</v>
      </c>
      <c r="S1366">
        <v>5</v>
      </c>
      <c r="T1366">
        <v>2005</v>
      </c>
      <c r="U1366">
        <v>2005</v>
      </c>
      <c r="V1366" t="s">
        <v>92</v>
      </c>
      <c r="W1366" t="s">
        <v>93</v>
      </c>
      <c r="X1366" t="s">
        <v>115</v>
      </c>
      <c r="Y1366" t="s">
        <v>115</v>
      </c>
      <c r="Z1366" t="s">
        <v>116</v>
      </c>
      <c r="AA1366">
        <v>0</v>
      </c>
      <c r="AB1366" t="s">
        <v>96</v>
      </c>
      <c r="AC1366" t="s">
        <v>97</v>
      </c>
      <c r="AD1366" t="s">
        <v>98</v>
      </c>
      <c r="AE1366" t="s">
        <v>96</v>
      </c>
      <c r="AF1366" t="s">
        <v>97</v>
      </c>
      <c r="AG1366" t="s">
        <v>99</v>
      </c>
      <c r="AH1366" t="s">
        <v>101</v>
      </c>
      <c r="AI1366">
        <v>0</v>
      </c>
      <c r="AJ1366" t="s">
        <v>101</v>
      </c>
      <c r="AK1366">
        <v>0</v>
      </c>
      <c r="AL1366">
        <v>600</v>
      </c>
      <c r="AM1366">
        <v>600</v>
      </c>
      <c r="AN1366" t="s">
        <v>102</v>
      </c>
      <c r="AO1366" t="s">
        <v>103</v>
      </c>
      <c r="AP1366" t="s">
        <v>104</v>
      </c>
      <c r="AQ1366" t="s">
        <v>105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96</v>
      </c>
      <c r="BC1366">
        <v>4</v>
      </c>
      <c r="BD1366" t="s">
        <v>106</v>
      </c>
      <c r="BE1366">
        <v>0</v>
      </c>
      <c r="BG1366" t="s">
        <v>126</v>
      </c>
      <c r="BH1366">
        <v>2005</v>
      </c>
      <c r="BI1366" t="s">
        <v>108</v>
      </c>
      <c r="BJ1366">
        <v>2</v>
      </c>
      <c r="BK1366">
        <v>480</v>
      </c>
      <c r="BL1366" t="s">
        <v>97</v>
      </c>
      <c r="BM1366" t="s">
        <v>97</v>
      </c>
      <c r="BN1366" t="s">
        <v>104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X1366">
        <v>0</v>
      </c>
      <c r="BY1366">
        <v>4</v>
      </c>
      <c r="BZ1366">
        <v>2006</v>
      </c>
      <c r="CA1366" t="s">
        <v>109</v>
      </c>
      <c r="CB1366" t="s">
        <v>127</v>
      </c>
      <c r="CC1366">
        <v>144152</v>
      </c>
    </row>
    <row r="1367" spans="1:81" x14ac:dyDescent="0.3">
      <c r="A1367">
        <v>1366</v>
      </c>
      <c r="B1367">
        <v>60</v>
      </c>
      <c r="C1367" t="s">
        <v>191</v>
      </c>
      <c r="E1367">
        <v>7500</v>
      </c>
      <c r="F1367" t="s">
        <v>82</v>
      </c>
      <c r="H1367" t="s">
        <v>83</v>
      </c>
      <c r="I1367" t="s">
        <v>84</v>
      </c>
      <c r="J1367" t="s">
        <v>85</v>
      </c>
      <c r="K1367" t="s">
        <v>86</v>
      </c>
      <c r="L1367" t="s">
        <v>87</v>
      </c>
      <c r="M1367" t="s">
        <v>135</v>
      </c>
      <c r="N1367" t="s">
        <v>89</v>
      </c>
      <c r="O1367" t="s">
        <v>89</v>
      </c>
      <c r="P1367" t="s">
        <v>90</v>
      </c>
      <c r="Q1367" t="s">
        <v>91</v>
      </c>
      <c r="R1367">
        <v>7</v>
      </c>
      <c r="S1367">
        <v>5</v>
      </c>
      <c r="T1367">
        <v>2000</v>
      </c>
      <c r="U1367">
        <v>2000</v>
      </c>
      <c r="V1367" t="s">
        <v>92</v>
      </c>
      <c r="W1367" t="s">
        <v>93</v>
      </c>
      <c r="X1367" t="s">
        <v>94</v>
      </c>
      <c r="Y1367" t="s">
        <v>94</v>
      </c>
      <c r="Z1367" t="s">
        <v>116</v>
      </c>
      <c r="AA1367">
        <v>0</v>
      </c>
      <c r="AB1367" t="s">
        <v>96</v>
      </c>
      <c r="AC1367" t="s">
        <v>97</v>
      </c>
      <c r="AD1367" t="s">
        <v>98</v>
      </c>
      <c r="AE1367" t="s">
        <v>96</v>
      </c>
      <c r="AF1367" t="s">
        <v>97</v>
      </c>
      <c r="AG1367" t="s">
        <v>99</v>
      </c>
      <c r="AH1367" t="s">
        <v>100</v>
      </c>
      <c r="AI1367">
        <v>533</v>
      </c>
      <c r="AJ1367" t="s">
        <v>101</v>
      </c>
      <c r="AK1367">
        <v>0</v>
      </c>
      <c r="AL1367">
        <v>281</v>
      </c>
      <c r="AM1367">
        <v>814</v>
      </c>
      <c r="AN1367" t="s">
        <v>102</v>
      </c>
      <c r="AO1367" t="s">
        <v>103</v>
      </c>
      <c r="AP1367" t="s">
        <v>104</v>
      </c>
      <c r="AQ1367" t="s">
        <v>105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96</v>
      </c>
      <c r="BC1367">
        <v>7</v>
      </c>
      <c r="BD1367" t="s">
        <v>106</v>
      </c>
      <c r="BE1367">
        <v>0</v>
      </c>
      <c r="BG1367" t="s">
        <v>107</v>
      </c>
      <c r="BH1367">
        <v>2000</v>
      </c>
      <c r="BI1367" t="s">
        <v>108</v>
      </c>
      <c r="BJ1367">
        <v>2</v>
      </c>
      <c r="BK1367">
        <v>663</v>
      </c>
      <c r="BL1367" t="s">
        <v>97</v>
      </c>
      <c r="BM1367" t="s">
        <v>97</v>
      </c>
      <c r="BN1367" t="s">
        <v>104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X1367">
        <v>0</v>
      </c>
      <c r="BY1367">
        <v>1</v>
      </c>
      <c r="BZ1367">
        <v>2010</v>
      </c>
      <c r="CA1367" t="s">
        <v>109</v>
      </c>
      <c r="CB1367" t="s">
        <v>110</v>
      </c>
      <c r="CC1367">
        <v>216000</v>
      </c>
    </row>
    <row r="1368" spans="1:81" x14ac:dyDescent="0.3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H1368" t="s">
        <v>119</v>
      </c>
      <c r="I1368" t="s">
        <v>84</v>
      </c>
      <c r="J1368" t="s">
        <v>85</v>
      </c>
      <c r="K1368" t="s">
        <v>86</v>
      </c>
      <c r="L1368" t="s">
        <v>87</v>
      </c>
      <c r="M1368" t="s">
        <v>88</v>
      </c>
      <c r="N1368" t="s">
        <v>89</v>
      </c>
      <c r="O1368" t="s">
        <v>89</v>
      </c>
      <c r="P1368" t="s">
        <v>90</v>
      </c>
      <c r="Q1368" t="s">
        <v>91</v>
      </c>
      <c r="R1368">
        <v>7</v>
      </c>
      <c r="S1368">
        <v>5</v>
      </c>
      <c r="T1368">
        <v>1999</v>
      </c>
      <c r="U1368">
        <v>1999</v>
      </c>
      <c r="V1368" t="s">
        <v>92</v>
      </c>
      <c r="W1368" t="s">
        <v>93</v>
      </c>
      <c r="X1368" t="s">
        <v>94</v>
      </c>
      <c r="Y1368" t="s">
        <v>94</v>
      </c>
      <c r="Z1368" t="s">
        <v>95</v>
      </c>
      <c r="AA1368">
        <v>158</v>
      </c>
      <c r="AB1368" t="s">
        <v>96</v>
      </c>
      <c r="AC1368" t="s">
        <v>97</v>
      </c>
      <c r="AD1368" t="s">
        <v>98</v>
      </c>
      <c r="AE1368" t="s">
        <v>96</v>
      </c>
      <c r="AF1368" t="s">
        <v>97</v>
      </c>
      <c r="AG1368" t="s">
        <v>99</v>
      </c>
      <c r="AH1368" t="s">
        <v>100</v>
      </c>
      <c r="AI1368">
        <v>633</v>
      </c>
      <c r="AJ1368" t="s">
        <v>101</v>
      </c>
      <c r="AK1368">
        <v>0</v>
      </c>
      <c r="AL1368">
        <v>240</v>
      </c>
      <c r="AM1368">
        <v>873</v>
      </c>
      <c r="AN1368" t="s">
        <v>102</v>
      </c>
      <c r="AO1368" t="s">
        <v>103</v>
      </c>
      <c r="AP1368" t="s">
        <v>104</v>
      </c>
      <c r="AQ1368" t="s">
        <v>105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96</v>
      </c>
      <c r="BC1368">
        <v>7</v>
      </c>
      <c r="BD1368" t="s">
        <v>106</v>
      </c>
      <c r="BE1368">
        <v>0</v>
      </c>
      <c r="BG1368" t="s">
        <v>107</v>
      </c>
      <c r="BH1368">
        <v>1999</v>
      </c>
      <c r="BI1368" t="s">
        <v>108</v>
      </c>
      <c r="BJ1368">
        <v>2</v>
      </c>
      <c r="BK1368">
        <v>588</v>
      </c>
      <c r="BL1368" t="s">
        <v>97</v>
      </c>
      <c r="BM1368" t="s">
        <v>97</v>
      </c>
      <c r="BN1368" t="s">
        <v>104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X1368">
        <v>0</v>
      </c>
      <c r="BY1368">
        <v>6</v>
      </c>
      <c r="BZ1368">
        <v>2008</v>
      </c>
      <c r="CA1368" t="s">
        <v>109</v>
      </c>
      <c r="CB1368" t="s">
        <v>127</v>
      </c>
      <c r="CC1368">
        <v>193000</v>
      </c>
    </row>
    <row r="1369" spans="1:81" x14ac:dyDescent="0.3">
      <c r="A1369">
        <v>1368</v>
      </c>
      <c r="B1369">
        <v>160</v>
      </c>
      <c r="C1369" t="s">
        <v>141</v>
      </c>
      <c r="D1369">
        <v>41</v>
      </c>
      <c r="E1369">
        <v>2665</v>
      </c>
      <c r="F1369" t="s">
        <v>82</v>
      </c>
      <c r="H1369" t="s">
        <v>83</v>
      </c>
      <c r="I1369" t="s">
        <v>84</v>
      </c>
      <c r="J1369" t="s">
        <v>85</v>
      </c>
      <c r="K1369" t="s">
        <v>86</v>
      </c>
      <c r="L1369" t="s">
        <v>87</v>
      </c>
      <c r="M1369" t="s">
        <v>177</v>
      </c>
      <c r="N1369" t="s">
        <v>89</v>
      </c>
      <c r="O1369" t="s">
        <v>89</v>
      </c>
      <c r="P1369" t="s">
        <v>178</v>
      </c>
      <c r="Q1369" t="s">
        <v>91</v>
      </c>
      <c r="R1369">
        <v>5</v>
      </c>
      <c r="S1369">
        <v>6</v>
      </c>
      <c r="T1369">
        <v>1977</v>
      </c>
      <c r="U1369">
        <v>1977</v>
      </c>
      <c r="V1369" t="s">
        <v>92</v>
      </c>
      <c r="W1369" t="s">
        <v>93</v>
      </c>
      <c r="X1369" t="s">
        <v>179</v>
      </c>
      <c r="Y1369" t="s">
        <v>180</v>
      </c>
      <c r="Z1369" t="s">
        <v>116</v>
      </c>
      <c r="AA1369">
        <v>0</v>
      </c>
      <c r="AB1369" t="s">
        <v>97</v>
      </c>
      <c r="AC1369" t="s">
        <v>97</v>
      </c>
      <c r="AD1369" t="s">
        <v>98</v>
      </c>
      <c r="AE1369" t="s">
        <v>97</v>
      </c>
      <c r="AF1369" t="s">
        <v>97</v>
      </c>
      <c r="AG1369" t="s">
        <v>99</v>
      </c>
      <c r="AH1369" t="s">
        <v>118</v>
      </c>
      <c r="AI1369">
        <v>548</v>
      </c>
      <c r="AJ1369" t="s">
        <v>152</v>
      </c>
      <c r="AK1369">
        <v>173</v>
      </c>
      <c r="AL1369">
        <v>36</v>
      </c>
      <c r="AM1369">
        <v>757</v>
      </c>
      <c r="AN1369" t="s">
        <v>102</v>
      </c>
      <c r="AO1369" t="s">
        <v>103</v>
      </c>
      <c r="AP1369" t="s">
        <v>104</v>
      </c>
      <c r="AQ1369" t="s">
        <v>105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97</v>
      </c>
      <c r="BC1369">
        <v>6</v>
      </c>
      <c r="BD1369" t="s">
        <v>106</v>
      </c>
      <c r="BE1369">
        <v>1</v>
      </c>
      <c r="BF1369" t="s">
        <v>97</v>
      </c>
      <c r="BG1369" t="s">
        <v>107</v>
      </c>
      <c r="BH1369">
        <v>1977</v>
      </c>
      <c r="BI1369" t="s">
        <v>108</v>
      </c>
      <c r="BJ1369">
        <v>1</v>
      </c>
      <c r="BK1369">
        <v>336</v>
      </c>
      <c r="BL1369" t="s">
        <v>97</v>
      </c>
      <c r="BM1369" t="s">
        <v>97</v>
      </c>
      <c r="BN1369" t="s">
        <v>104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X1369">
        <v>0</v>
      </c>
      <c r="BY1369">
        <v>7</v>
      </c>
      <c r="BZ1369">
        <v>2006</v>
      </c>
      <c r="CA1369" t="s">
        <v>109</v>
      </c>
      <c r="CB1369" t="s">
        <v>110</v>
      </c>
      <c r="CC1369">
        <v>127000</v>
      </c>
    </row>
    <row r="1370" spans="1:81" x14ac:dyDescent="0.3">
      <c r="A1370">
        <v>1369</v>
      </c>
      <c r="B1370">
        <v>120</v>
      </c>
      <c r="C1370" t="s">
        <v>141</v>
      </c>
      <c r="E1370">
        <v>4435</v>
      </c>
      <c r="F1370" t="s">
        <v>82</v>
      </c>
      <c r="H1370" t="s">
        <v>83</v>
      </c>
      <c r="I1370" t="s">
        <v>84</v>
      </c>
      <c r="J1370" t="s">
        <v>85</v>
      </c>
      <c r="K1370" t="s">
        <v>86</v>
      </c>
      <c r="L1370" t="s">
        <v>87</v>
      </c>
      <c r="M1370" t="s">
        <v>88</v>
      </c>
      <c r="N1370" t="s">
        <v>89</v>
      </c>
      <c r="O1370" t="s">
        <v>89</v>
      </c>
      <c r="P1370" t="s">
        <v>178</v>
      </c>
      <c r="Q1370" t="s">
        <v>114</v>
      </c>
      <c r="R1370">
        <v>6</v>
      </c>
      <c r="S1370">
        <v>5</v>
      </c>
      <c r="T1370">
        <v>2003</v>
      </c>
      <c r="U1370">
        <v>2004</v>
      </c>
      <c r="V1370" t="s">
        <v>92</v>
      </c>
      <c r="W1370" t="s">
        <v>93</v>
      </c>
      <c r="X1370" t="s">
        <v>94</v>
      </c>
      <c r="Y1370" t="s">
        <v>94</v>
      </c>
      <c r="Z1370" t="s">
        <v>95</v>
      </c>
      <c r="AA1370">
        <v>170</v>
      </c>
      <c r="AB1370" t="s">
        <v>96</v>
      </c>
      <c r="AC1370" t="s">
        <v>97</v>
      </c>
      <c r="AD1370" t="s">
        <v>98</v>
      </c>
      <c r="AE1370" t="s">
        <v>96</v>
      </c>
      <c r="AF1370" t="s">
        <v>97</v>
      </c>
      <c r="AG1370" t="s">
        <v>129</v>
      </c>
      <c r="AH1370" t="s">
        <v>100</v>
      </c>
      <c r="AI1370">
        <v>685</v>
      </c>
      <c r="AJ1370" t="s">
        <v>101</v>
      </c>
      <c r="AK1370">
        <v>0</v>
      </c>
      <c r="AL1370">
        <v>163</v>
      </c>
      <c r="AM1370">
        <v>848</v>
      </c>
      <c r="AN1370" t="s">
        <v>102</v>
      </c>
      <c r="AO1370" t="s">
        <v>103</v>
      </c>
      <c r="AP1370" t="s">
        <v>104</v>
      </c>
      <c r="AQ1370" t="s">
        <v>105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96</v>
      </c>
      <c r="BC1370">
        <v>4</v>
      </c>
      <c r="BD1370" t="s">
        <v>106</v>
      </c>
      <c r="BE1370">
        <v>0</v>
      </c>
      <c r="BG1370" t="s">
        <v>107</v>
      </c>
      <c r="BH1370">
        <v>2003</v>
      </c>
      <c r="BI1370" t="s">
        <v>156</v>
      </c>
      <c r="BJ1370">
        <v>2</v>
      </c>
      <c r="BK1370">
        <v>420</v>
      </c>
      <c r="BL1370" t="s">
        <v>97</v>
      </c>
      <c r="BM1370" t="s">
        <v>97</v>
      </c>
      <c r="BN1370" t="s">
        <v>104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X1370">
        <v>0</v>
      </c>
      <c r="BY1370">
        <v>6</v>
      </c>
      <c r="BZ1370">
        <v>2009</v>
      </c>
      <c r="CA1370" t="s">
        <v>109</v>
      </c>
      <c r="CB1370" t="s">
        <v>110</v>
      </c>
      <c r="CC1370">
        <v>144000</v>
      </c>
    </row>
    <row r="1371" spans="1:81" x14ac:dyDescent="0.3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H1371" t="s">
        <v>159</v>
      </c>
      <c r="I1371" t="s">
        <v>84</v>
      </c>
      <c r="J1371" t="s">
        <v>85</v>
      </c>
      <c r="K1371" t="s">
        <v>111</v>
      </c>
      <c r="L1371" t="s">
        <v>87</v>
      </c>
      <c r="M1371" t="s">
        <v>88</v>
      </c>
      <c r="N1371" t="s">
        <v>89</v>
      </c>
      <c r="O1371" t="s">
        <v>89</v>
      </c>
      <c r="P1371" t="s">
        <v>90</v>
      </c>
      <c r="Q1371" t="s">
        <v>114</v>
      </c>
      <c r="R1371">
        <v>8</v>
      </c>
      <c r="S1371">
        <v>5</v>
      </c>
      <c r="T1371">
        <v>2003</v>
      </c>
      <c r="U1371">
        <v>2003</v>
      </c>
      <c r="V1371" t="s">
        <v>151</v>
      </c>
      <c r="W1371" t="s">
        <v>93</v>
      </c>
      <c r="X1371" t="s">
        <v>94</v>
      </c>
      <c r="Y1371" t="s">
        <v>94</v>
      </c>
      <c r="Z1371" t="s">
        <v>95</v>
      </c>
      <c r="AA1371">
        <v>171</v>
      </c>
      <c r="AB1371" t="s">
        <v>96</v>
      </c>
      <c r="AC1371" t="s">
        <v>97</v>
      </c>
      <c r="AD1371" t="s">
        <v>98</v>
      </c>
      <c r="AE1371" t="s">
        <v>96</v>
      </c>
      <c r="AF1371" t="s">
        <v>97</v>
      </c>
      <c r="AG1371" t="s">
        <v>129</v>
      </c>
      <c r="AH1371" t="s">
        <v>140</v>
      </c>
      <c r="AI1371">
        <v>370</v>
      </c>
      <c r="AJ1371" t="s">
        <v>100</v>
      </c>
      <c r="AK1371">
        <v>972</v>
      </c>
      <c r="AL1371">
        <v>315</v>
      </c>
      <c r="AM1371">
        <v>1657</v>
      </c>
      <c r="AN1371" t="s">
        <v>102</v>
      </c>
      <c r="AO1371" t="s">
        <v>103</v>
      </c>
      <c r="AP1371" t="s">
        <v>104</v>
      </c>
      <c r="AQ1371" t="s">
        <v>105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96</v>
      </c>
      <c r="BC1371">
        <v>8</v>
      </c>
      <c r="BD1371" t="s">
        <v>106</v>
      </c>
      <c r="BE1371">
        <v>1</v>
      </c>
      <c r="BF1371" t="s">
        <v>97</v>
      </c>
      <c r="BG1371" t="s">
        <v>107</v>
      </c>
      <c r="BH1371">
        <v>2003</v>
      </c>
      <c r="BI1371" t="s">
        <v>156</v>
      </c>
      <c r="BJ1371">
        <v>2</v>
      </c>
      <c r="BK1371">
        <v>502</v>
      </c>
      <c r="BL1371" t="s">
        <v>97</v>
      </c>
      <c r="BM1371" t="s">
        <v>97</v>
      </c>
      <c r="BN1371" t="s">
        <v>104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X1371">
        <v>0</v>
      </c>
      <c r="BY1371">
        <v>5</v>
      </c>
      <c r="BZ1371">
        <v>2010</v>
      </c>
      <c r="CA1371" t="s">
        <v>109</v>
      </c>
      <c r="CB1371" t="s">
        <v>110</v>
      </c>
      <c r="CC1371">
        <v>232000</v>
      </c>
    </row>
    <row r="1372" spans="1:81" x14ac:dyDescent="0.3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H1372" t="s">
        <v>83</v>
      </c>
      <c r="I1372" t="s">
        <v>84</v>
      </c>
      <c r="J1372" t="s">
        <v>85</v>
      </c>
      <c r="K1372" t="s">
        <v>121</v>
      </c>
      <c r="L1372" t="s">
        <v>87</v>
      </c>
      <c r="M1372" t="s">
        <v>142</v>
      </c>
      <c r="N1372" t="s">
        <v>143</v>
      </c>
      <c r="O1372" t="s">
        <v>89</v>
      </c>
      <c r="P1372" t="s">
        <v>90</v>
      </c>
      <c r="Q1372" t="s">
        <v>131</v>
      </c>
      <c r="R1372">
        <v>4</v>
      </c>
      <c r="S1372">
        <v>6</v>
      </c>
      <c r="T1372">
        <v>1920</v>
      </c>
      <c r="U1372">
        <v>1950</v>
      </c>
      <c r="V1372" t="s">
        <v>92</v>
      </c>
      <c r="W1372" t="s">
        <v>93</v>
      </c>
      <c r="X1372" t="s">
        <v>117</v>
      </c>
      <c r="Y1372" t="s">
        <v>117</v>
      </c>
      <c r="Z1372" t="s">
        <v>116</v>
      </c>
      <c r="AA1372">
        <v>0</v>
      </c>
      <c r="AB1372" t="s">
        <v>146</v>
      </c>
      <c r="AC1372" t="s">
        <v>97</v>
      </c>
      <c r="AD1372" t="s">
        <v>98</v>
      </c>
      <c r="AE1372" t="s">
        <v>97</v>
      </c>
      <c r="AF1372" t="s">
        <v>97</v>
      </c>
      <c r="AG1372" t="s">
        <v>99</v>
      </c>
      <c r="AH1372" t="s">
        <v>118</v>
      </c>
      <c r="AI1372">
        <v>315</v>
      </c>
      <c r="AJ1372" t="s">
        <v>152</v>
      </c>
      <c r="AK1372">
        <v>105</v>
      </c>
      <c r="AL1372">
        <v>420</v>
      </c>
      <c r="AM1372">
        <v>840</v>
      </c>
      <c r="AN1372" t="s">
        <v>102</v>
      </c>
      <c r="AO1372" t="s">
        <v>103</v>
      </c>
      <c r="AP1372" t="s">
        <v>104</v>
      </c>
      <c r="AQ1372" t="s">
        <v>105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97</v>
      </c>
      <c r="BC1372">
        <v>6</v>
      </c>
      <c r="BD1372" t="s">
        <v>106</v>
      </c>
      <c r="BE1372">
        <v>0</v>
      </c>
      <c r="BG1372" t="s">
        <v>126</v>
      </c>
      <c r="BH1372">
        <v>1967</v>
      </c>
      <c r="BI1372" t="s">
        <v>156</v>
      </c>
      <c r="BJ1372">
        <v>1</v>
      </c>
      <c r="BK1372">
        <v>338</v>
      </c>
      <c r="BL1372" t="s">
        <v>97</v>
      </c>
      <c r="BM1372" t="s">
        <v>97</v>
      </c>
      <c r="BN1372" t="s">
        <v>104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X1372">
        <v>0</v>
      </c>
      <c r="BY1372">
        <v>10</v>
      </c>
      <c r="BZ1372">
        <v>2009</v>
      </c>
      <c r="CA1372" t="s">
        <v>109</v>
      </c>
      <c r="CB1372" t="s">
        <v>110</v>
      </c>
      <c r="CC1372">
        <v>105000</v>
      </c>
    </row>
    <row r="1373" spans="1:81" x14ac:dyDescent="0.3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H1373" t="s">
        <v>83</v>
      </c>
      <c r="I1373" t="s">
        <v>84</v>
      </c>
      <c r="J1373" t="s">
        <v>85</v>
      </c>
      <c r="K1373" t="s">
        <v>86</v>
      </c>
      <c r="L1373" t="s">
        <v>87</v>
      </c>
      <c r="M1373" t="s">
        <v>270</v>
      </c>
      <c r="N1373" t="s">
        <v>89</v>
      </c>
      <c r="O1373" t="s">
        <v>89</v>
      </c>
      <c r="P1373" t="s">
        <v>90</v>
      </c>
      <c r="Q1373" t="s">
        <v>196</v>
      </c>
      <c r="R1373">
        <v>6</v>
      </c>
      <c r="S1373">
        <v>6</v>
      </c>
      <c r="T1373">
        <v>1955</v>
      </c>
      <c r="U1373">
        <v>1996</v>
      </c>
      <c r="V1373" t="s">
        <v>151</v>
      </c>
      <c r="W1373" t="s">
        <v>93</v>
      </c>
      <c r="X1373" t="s">
        <v>185</v>
      </c>
      <c r="Y1373" t="s">
        <v>185</v>
      </c>
      <c r="Z1373" t="s">
        <v>116</v>
      </c>
      <c r="AA1373">
        <v>0</v>
      </c>
      <c r="AB1373" t="s">
        <v>97</v>
      </c>
      <c r="AC1373" t="s">
        <v>97</v>
      </c>
      <c r="AD1373" t="s">
        <v>117</v>
      </c>
      <c r="AE1373" t="s">
        <v>97</v>
      </c>
      <c r="AF1373" t="s">
        <v>97</v>
      </c>
      <c r="AG1373" t="s">
        <v>129</v>
      </c>
      <c r="AH1373" t="s">
        <v>140</v>
      </c>
      <c r="AI1373">
        <v>831</v>
      </c>
      <c r="AJ1373" t="s">
        <v>101</v>
      </c>
      <c r="AK1373">
        <v>0</v>
      </c>
      <c r="AL1373">
        <v>161</v>
      </c>
      <c r="AM1373">
        <v>992</v>
      </c>
      <c r="AN1373" t="s">
        <v>102</v>
      </c>
      <c r="AO1373" t="s">
        <v>96</v>
      </c>
      <c r="AP1373" t="s">
        <v>104</v>
      </c>
      <c r="AQ1373" t="s">
        <v>105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96</v>
      </c>
      <c r="BC1373">
        <v>8</v>
      </c>
      <c r="BD1373" t="s">
        <v>106</v>
      </c>
      <c r="BE1373">
        <v>1</v>
      </c>
      <c r="BF1373" t="s">
        <v>97</v>
      </c>
      <c r="BG1373" t="s">
        <v>155</v>
      </c>
      <c r="BH1373">
        <v>1955</v>
      </c>
      <c r="BI1373" t="s">
        <v>108</v>
      </c>
      <c r="BJ1373">
        <v>1</v>
      </c>
      <c r="BK1373">
        <v>377</v>
      </c>
      <c r="BL1373" t="s">
        <v>97</v>
      </c>
      <c r="BM1373" t="s">
        <v>97</v>
      </c>
      <c r="BN1373" t="s">
        <v>104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V1373" t="s">
        <v>133</v>
      </c>
      <c r="BX1373">
        <v>0</v>
      </c>
      <c r="BY1373">
        <v>10</v>
      </c>
      <c r="BZ1373">
        <v>2008</v>
      </c>
      <c r="CA1373" t="s">
        <v>109</v>
      </c>
      <c r="CB1373" t="s">
        <v>110</v>
      </c>
      <c r="CC1373">
        <v>165500</v>
      </c>
    </row>
    <row r="1374" spans="1:81" x14ac:dyDescent="0.3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H1374" t="s">
        <v>83</v>
      </c>
      <c r="I1374" t="s">
        <v>84</v>
      </c>
      <c r="J1374" t="s">
        <v>85</v>
      </c>
      <c r="K1374" t="s">
        <v>121</v>
      </c>
      <c r="L1374" t="s">
        <v>87</v>
      </c>
      <c r="M1374" t="s">
        <v>88</v>
      </c>
      <c r="N1374" t="s">
        <v>89</v>
      </c>
      <c r="O1374" t="s">
        <v>89</v>
      </c>
      <c r="P1374" t="s">
        <v>90</v>
      </c>
      <c r="Q1374" t="s">
        <v>91</v>
      </c>
      <c r="R1374">
        <v>7</v>
      </c>
      <c r="S1374">
        <v>6</v>
      </c>
      <c r="T1374">
        <v>1998</v>
      </c>
      <c r="U1374">
        <v>1998</v>
      </c>
      <c r="V1374" t="s">
        <v>92</v>
      </c>
      <c r="W1374" t="s">
        <v>93</v>
      </c>
      <c r="X1374" t="s">
        <v>94</v>
      </c>
      <c r="Y1374" t="s">
        <v>94</v>
      </c>
      <c r="Z1374" t="s">
        <v>116</v>
      </c>
      <c r="AA1374">
        <v>0</v>
      </c>
      <c r="AB1374" t="s">
        <v>97</v>
      </c>
      <c r="AC1374" t="s">
        <v>97</v>
      </c>
      <c r="AD1374" t="s">
        <v>98</v>
      </c>
      <c r="AE1374" t="s">
        <v>96</v>
      </c>
      <c r="AF1374" t="s">
        <v>97</v>
      </c>
      <c r="AG1374" t="s">
        <v>129</v>
      </c>
      <c r="AH1374" t="s">
        <v>100</v>
      </c>
      <c r="AI1374">
        <v>975</v>
      </c>
      <c r="AJ1374" t="s">
        <v>101</v>
      </c>
      <c r="AK1374">
        <v>0</v>
      </c>
      <c r="AL1374">
        <v>133</v>
      </c>
      <c r="AM1374">
        <v>1108</v>
      </c>
      <c r="AN1374" t="s">
        <v>102</v>
      </c>
      <c r="AO1374" t="s">
        <v>103</v>
      </c>
      <c r="AP1374" t="s">
        <v>104</v>
      </c>
      <c r="AQ1374" t="s">
        <v>105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96</v>
      </c>
      <c r="BC1374">
        <v>8</v>
      </c>
      <c r="BD1374" t="s">
        <v>106</v>
      </c>
      <c r="BE1374">
        <v>1</v>
      </c>
      <c r="BF1374" t="s">
        <v>97</v>
      </c>
      <c r="BG1374" t="s">
        <v>126</v>
      </c>
      <c r="BH1374">
        <v>1998</v>
      </c>
      <c r="BI1374" t="s">
        <v>108</v>
      </c>
      <c r="BJ1374">
        <v>2</v>
      </c>
      <c r="BK1374">
        <v>583</v>
      </c>
      <c r="BL1374" t="s">
        <v>97</v>
      </c>
      <c r="BM1374" t="s">
        <v>97</v>
      </c>
      <c r="BN1374" t="s">
        <v>104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X1374">
        <v>0</v>
      </c>
      <c r="BY1374">
        <v>6</v>
      </c>
      <c r="BZ1374">
        <v>2006</v>
      </c>
      <c r="CA1374" t="s">
        <v>109</v>
      </c>
      <c r="CB1374" t="s">
        <v>110</v>
      </c>
      <c r="CC1374">
        <v>274300</v>
      </c>
    </row>
    <row r="1375" spans="1:81" x14ac:dyDescent="0.3">
      <c r="A1375">
        <v>1374</v>
      </c>
      <c r="B1375">
        <v>20</v>
      </c>
      <c r="C1375" t="s">
        <v>81</v>
      </c>
      <c r="E1375">
        <v>11400</v>
      </c>
      <c r="F1375" t="s">
        <v>82</v>
      </c>
      <c r="H1375" t="s">
        <v>83</v>
      </c>
      <c r="I1375" t="s">
        <v>84</v>
      </c>
      <c r="J1375" t="s">
        <v>85</v>
      </c>
      <c r="K1375" t="s">
        <v>86</v>
      </c>
      <c r="L1375" t="s">
        <v>87</v>
      </c>
      <c r="M1375" t="s">
        <v>128</v>
      </c>
      <c r="N1375" t="s">
        <v>89</v>
      </c>
      <c r="O1375" t="s">
        <v>89</v>
      </c>
      <c r="P1375" t="s">
        <v>90</v>
      </c>
      <c r="Q1375" t="s">
        <v>114</v>
      </c>
      <c r="R1375">
        <v>10</v>
      </c>
      <c r="S1375">
        <v>5</v>
      </c>
      <c r="T1375">
        <v>2001</v>
      </c>
      <c r="U1375">
        <v>2002</v>
      </c>
      <c r="V1375" t="s">
        <v>151</v>
      </c>
      <c r="W1375" t="s">
        <v>93</v>
      </c>
      <c r="X1375" t="s">
        <v>94</v>
      </c>
      <c r="Y1375" t="s">
        <v>94</v>
      </c>
      <c r="Z1375" t="s">
        <v>95</v>
      </c>
      <c r="AA1375">
        <v>705</v>
      </c>
      <c r="AB1375" t="s">
        <v>103</v>
      </c>
      <c r="AC1375" t="s">
        <v>97</v>
      </c>
      <c r="AD1375" t="s">
        <v>98</v>
      </c>
      <c r="AE1375" t="s">
        <v>103</v>
      </c>
      <c r="AF1375" t="s">
        <v>97</v>
      </c>
      <c r="AG1375" t="s">
        <v>96</v>
      </c>
      <c r="AH1375" t="s">
        <v>100</v>
      </c>
      <c r="AI1375">
        <v>1282</v>
      </c>
      <c r="AJ1375" t="s">
        <v>101</v>
      </c>
      <c r="AK1375">
        <v>0</v>
      </c>
      <c r="AL1375">
        <v>1351</v>
      </c>
      <c r="AM1375">
        <v>2633</v>
      </c>
      <c r="AN1375" t="s">
        <v>102</v>
      </c>
      <c r="AO1375" t="s">
        <v>103</v>
      </c>
      <c r="AP1375" t="s">
        <v>104</v>
      </c>
      <c r="AQ1375" t="s">
        <v>105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103</v>
      </c>
      <c r="BC1375">
        <v>8</v>
      </c>
      <c r="BD1375" t="s">
        <v>106</v>
      </c>
      <c r="BE1375">
        <v>2</v>
      </c>
      <c r="BF1375" t="s">
        <v>96</v>
      </c>
      <c r="BG1375" t="s">
        <v>107</v>
      </c>
      <c r="BH1375">
        <v>2001</v>
      </c>
      <c r="BI1375" t="s">
        <v>108</v>
      </c>
      <c r="BJ1375">
        <v>3</v>
      </c>
      <c r="BK1375">
        <v>804</v>
      </c>
      <c r="BL1375" t="s">
        <v>97</v>
      </c>
      <c r="BM1375" t="s">
        <v>97</v>
      </c>
      <c r="BN1375" t="s">
        <v>104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X1375">
        <v>0</v>
      </c>
      <c r="BY1375">
        <v>3</v>
      </c>
      <c r="BZ1375">
        <v>2007</v>
      </c>
      <c r="CA1375" t="s">
        <v>109</v>
      </c>
      <c r="CB1375" t="s">
        <v>110</v>
      </c>
      <c r="CC1375">
        <v>466500</v>
      </c>
    </row>
    <row r="1376" spans="1:81" x14ac:dyDescent="0.3">
      <c r="A1376">
        <v>1375</v>
      </c>
      <c r="B1376">
        <v>60</v>
      </c>
      <c r="C1376" t="s">
        <v>191</v>
      </c>
      <c r="D1376">
        <v>85</v>
      </c>
      <c r="E1376">
        <v>10625</v>
      </c>
      <c r="F1376" t="s">
        <v>82</v>
      </c>
      <c r="H1376" t="s">
        <v>83</v>
      </c>
      <c r="I1376" t="s">
        <v>84</v>
      </c>
      <c r="J1376" t="s">
        <v>85</v>
      </c>
      <c r="K1376" t="s">
        <v>86</v>
      </c>
      <c r="L1376" t="s">
        <v>87</v>
      </c>
      <c r="M1376" t="s">
        <v>135</v>
      </c>
      <c r="N1376" t="s">
        <v>89</v>
      </c>
      <c r="O1376" t="s">
        <v>89</v>
      </c>
      <c r="P1376" t="s">
        <v>90</v>
      </c>
      <c r="Q1376" t="s">
        <v>91</v>
      </c>
      <c r="R1376">
        <v>7</v>
      </c>
      <c r="S1376">
        <v>5</v>
      </c>
      <c r="T1376">
        <v>2005</v>
      </c>
      <c r="U1376">
        <v>2005</v>
      </c>
      <c r="V1376" t="s">
        <v>92</v>
      </c>
      <c r="W1376" t="s">
        <v>93</v>
      </c>
      <c r="X1376" t="s">
        <v>179</v>
      </c>
      <c r="Y1376" t="s">
        <v>180</v>
      </c>
      <c r="Z1376" t="s">
        <v>116</v>
      </c>
      <c r="AA1376">
        <v>0</v>
      </c>
      <c r="AB1376" t="s">
        <v>96</v>
      </c>
      <c r="AC1376" t="s">
        <v>97</v>
      </c>
      <c r="AD1376" t="s">
        <v>98</v>
      </c>
      <c r="AE1376" t="s">
        <v>96</v>
      </c>
      <c r="AF1376" t="s">
        <v>97</v>
      </c>
      <c r="AG1376" t="s">
        <v>99</v>
      </c>
      <c r="AH1376" t="s">
        <v>101</v>
      </c>
      <c r="AI1376">
        <v>0</v>
      </c>
      <c r="AJ1376" t="s">
        <v>101</v>
      </c>
      <c r="AK1376">
        <v>0</v>
      </c>
      <c r="AL1376">
        <v>1026</v>
      </c>
      <c r="AM1376">
        <v>1026</v>
      </c>
      <c r="AN1376" t="s">
        <v>102</v>
      </c>
      <c r="AO1376" t="s">
        <v>103</v>
      </c>
      <c r="AP1376" t="s">
        <v>104</v>
      </c>
      <c r="AQ1376" t="s">
        <v>105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96</v>
      </c>
      <c r="BC1376">
        <v>9</v>
      </c>
      <c r="BD1376" t="s">
        <v>106</v>
      </c>
      <c r="BE1376">
        <v>1</v>
      </c>
      <c r="BF1376" t="s">
        <v>96</v>
      </c>
      <c r="BG1376" t="s">
        <v>107</v>
      </c>
      <c r="BH1376">
        <v>2005</v>
      </c>
      <c r="BI1376" t="s">
        <v>156</v>
      </c>
      <c r="BJ1376">
        <v>3</v>
      </c>
      <c r="BK1376">
        <v>936</v>
      </c>
      <c r="BL1376" t="s">
        <v>97</v>
      </c>
      <c r="BM1376" t="s">
        <v>97</v>
      </c>
      <c r="BN1376" t="s">
        <v>104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X1376">
        <v>0</v>
      </c>
      <c r="BY1376">
        <v>7</v>
      </c>
      <c r="BZ1376">
        <v>2008</v>
      </c>
      <c r="CA1376" t="s">
        <v>109</v>
      </c>
      <c r="CB1376" t="s">
        <v>110</v>
      </c>
      <c r="CC1376">
        <v>250000</v>
      </c>
    </row>
    <row r="1377" spans="1:81" x14ac:dyDescent="0.3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H1377" t="s">
        <v>119</v>
      </c>
      <c r="I1377" t="s">
        <v>198</v>
      </c>
      <c r="J1377" t="s">
        <v>85</v>
      </c>
      <c r="K1377" t="s">
        <v>86</v>
      </c>
      <c r="L1377" t="s">
        <v>87</v>
      </c>
      <c r="M1377" t="s">
        <v>188</v>
      </c>
      <c r="N1377" t="s">
        <v>89</v>
      </c>
      <c r="O1377" t="s">
        <v>89</v>
      </c>
      <c r="P1377" t="s">
        <v>90</v>
      </c>
      <c r="Q1377" t="s">
        <v>114</v>
      </c>
      <c r="R1377">
        <v>8</v>
      </c>
      <c r="S1377">
        <v>5</v>
      </c>
      <c r="T1377">
        <v>2007</v>
      </c>
      <c r="U1377">
        <v>2007</v>
      </c>
      <c r="V1377" t="s">
        <v>92</v>
      </c>
      <c r="W1377" t="s">
        <v>93</v>
      </c>
      <c r="X1377" t="s">
        <v>94</v>
      </c>
      <c r="Y1377" t="s">
        <v>94</v>
      </c>
      <c r="Z1377" t="s">
        <v>95</v>
      </c>
      <c r="AA1377">
        <v>80</v>
      </c>
      <c r="AB1377" t="s">
        <v>96</v>
      </c>
      <c r="AC1377" t="s">
        <v>97</v>
      </c>
      <c r="AD1377" t="s">
        <v>98</v>
      </c>
      <c r="AE1377" t="s">
        <v>96</v>
      </c>
      <c r="AF1377" t="s">
        <v>97</v>
      </c>
      <c r="AG1377" t="s">
        <v>96</v>
      </c>
      <c r="AH1377" t="s">
        <v>101</v>
      </c>
      <c r="AI1377">
        <v>0</v>
      </c>
      <c r="AJ1377" t="s">
        <v>101</v>
      </c>
      <c r="AK1377">
        <v>0</v>
      </c>
      <c r="AL1377">
        <v>1571</v>
      </c>
      <c r="AM1377">
        <v>1571</v>
      </c>
      <c r="AN1377" t="s">
        <v>102</v>
      </c>
      <c r="AO1377" t="s">
        <v>103</v>
      </c>
      <c r="AP1377" t="s">
        <v>104</v>
      </c>
      <c r="AQ1377" t="s">
        <v>105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96</v>
      </c>
      <c r="BC1377">
        <v>7</v>
      </c>
      <c r="BD1377" t="s">
        <v>106</v>
      </c>
      <c r="BE1377">
        <v>1</v>
      </c>
      <c r="BF1377" t="s">
        <v>96</v>
      </c>
      <c r="BG1377" t="s">
        <v>107</v>
      </c>
      <c r="BH1377">
        <v>2007</v>
      </c>
      <c r="BI1377" t="s">
        <v>156</v>
      </c>
      <c r="BJ1377">
        <v>3</v>
      </c>
      <c r="BK1377">
        <v>722</v>
      </c>
      <c r="BL1377" t="s">
        <v>97</v>
      </c>
      <c r="BM1377" t="s">
        <v>97</v>
      </c>
      <c r="BN1377" t="s">
        <v>104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X1377">
        <v>0</v>
      </c>
      <c r="BY1377">
        <v>12</v>
      </c>
      <c r="BZ1377">
        <v>2007</v>
      </c>
      <c r="CA1377" t="s">
        <v>157</v>
      </c>
      <c r="CB1377" t="s">
        <v>158</v>
      </c>
      <c r="CC1377">
        <v>239000</v>
      </c>
    </row>
    <row r="1378" spans="1:81" x14ac:dyDescent="0.3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H1378" t="s">
        <v>83</v>
      </c>
      <c r="I1378" t="s">
        <v>174</v>
      </c>
      <c r="J1378" t="s">
        <v>85</v>
      </c>
      <c r="K1378" t="s">
        <v>86</v>
      </c>
      <c r="L1378" t="s">
        <v>87</v>
      </c>
      <c r="M1378" t="s">
        <v>231</v>
      </c>
      <c r="N1378" t="s">
        <v>89</v>
      </c>
      <c r="O1378" t="s">
        <v>89</v>
      </c>
      <c r="P1378" t="s">
        <v>90</v>
      </c>
      <c r="Q1378" t="s">
        <v>114</v>
      </c>
      <c r="R1378">
        <v>6</v>
      </c>
      <c r="S1378">
        <v>5</v>
      </c>
      <c r="T1378">
        <v>1930</v>
      </c>
      <c r="U1378">
        <v>1950</v>
      </c>
      <c r="V1378" t="s">
        <v>92</v>
      </c>
      <c r="W1378" t="s">
        <v>93</v>
      </c>
      <c r="X1378" t="s">
        <v>123</v>
      </c>
      <c r="Y1378" t="s">
        <v>123</v>
      </c>
      <c r="Z1378" t="s">
        <v>116</v>
      </c>
      <c r="AA1378">
        <v>0</v>
      </c>
      <c r="AB1378" t="s">
        <v>97</v>
      </c>
      <c r="AC1378" t="s">
        <v>97</v>
      </c>
      <c r="AD1378" t="s">
        <v>125</v>
      </c>
      <c r="AE1378" t="s">
        <v>96</v>
      </c>
      <c r="AF1378" t="s">
        <v>97</v>
      </c>
      <c r="AG1378" t="s">
        <v>120</v>
      </c>
      <c r="AH1378" t="s">
        <v>152</v>
      </c>
      <c r="AI1378">
        <v>384</v>
      </c>
      <c r="AJ1378" t="s">
        <v>101</v>
      </c>
      <c r="AK1378">
        <v>0</v>
      </c>
      <c r="AL1378">
        <v>384</v>
      </c>
      <c r="AM1378">
        <v>768</v>
      </c>
      <c r="AN1378" t="s">
        <v>102</v>
      </c>
      <c r="AO1378" t="s">
        <v>97</v>
      </c>
      <c r="AP1378" t="s">
        <v>176</v>
      </c>
      <c r="AQ1378" t="s">
        <v>105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97</v>
      </c>
      <c r="BC1378">
        <v>4</v>
      </c>
      <c r="BD1378" t="s">
        <v>106</v>
      </c>
      <c r="BE1378">
        <v>0</v>
      </c>
      <c r="BG1378" t="s">
        <v>126</v>
      </c>
      <c r="BH1378">
        <v>1925</v>
      </c>
      <c r="BI1378" t="s">
        <v>101</v>
      </c>
      <c r="BJ1378">
        <v>1</v>
      </c>
      <c r="BK1378">
        <v>160</v>
      </c>
      <c r="BL1378" t="s">
        <v>146</v>
      </c>
      <c r="BM1378" t="s">
        <v>97</v>
      </c>
      <c r="BN1378" t="s">
        <v>104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X1378">
        <v>0</v>
      </c>
      <c r="BY1378">
        <v>4</v>
      </c>
      <c r="BZ1378">
        <v>2008</v>
      </c>
      <c r="CA1378" t="s">
        <v>109</v>
      </c>
      <c r="CB1378" t="s">
        <v>110</v>
      </c>
      <c r="CC1378">
        <v>91000</v>
      </c>
    </row>
    <row r="1379" spans="1:81" x14ac:dyDescent="0.3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173</v>
      </c>
      <c r="H1379" t="s">
        <v>83</v>
      </c>
      <c r="I1379" t="s">
        <v>84</v>
      </c>
      <c r="J1379" t="s">
        <v>85</v>
      </c>
      <c r="K1379" t="s">
        <v>86</v>
      </c>
      <c r="L1379" t="s">
        <v>87</v>
      </c>
      <c r="M1379" t="s">
        <v>184</v>
      </c>
      <c r="N1379" t="s">
        <v>89</v>
      </c>
      <c r="O1379" t="s">
        <v>89</v>
      </c>
      <c r="P1379" t="s">
        <v>90</v>
      </c>
      <c r="Q1379" t="s">
        <v>131</v>
      </c>
      <c r="R1379">
        <v>5</v>
      </c>
      <c r="S1379">
        <v>5</v>
      </c>
      <c r="T1379">
        <v>1941</v>
      </c>
      <c r="U1379">
        <v>1960</v>
      </c>
      <c r="V1379" t="s">
        <v>92</v>
      </c>
      <c r="W1379" t="s">
        <v>93</v>
      </c>
      <c r="X1379" t="s">
        <v>123</v>
      </c>
      <c r="Y1379" t="s">
        <v>123</v>
      </c>
      <c r="Z1379" t="s">
        <v>116</v>
      </c>
      <c r="AA1379">
        <v>0</v>
      </c>
      <c r="AB1379" t="s">
        <v>97</v>
      </c>
      <c r="AC1379" t="s">
        <v>97</v>
      </c>
      <c r="AD1379" t="s">
        <v>117</v>
      </c>
      <c r="AE1379" t="s">
        <v>97</v>
      </c>
      <c r="AF1379" t="s">
        <v>97</v>
      </c>
      <c r="AG1379" t="s">
        <v>99</v>
      </c>
      <c r="AH1379" t="s">
        <v>171</v>
      </c>
      <c r="AI1379">
        <v>408</v>
      </c>
      <c r="AJ1379" t="s">
        <v>140</v>
      </c>
      <c r="AK1379">
        <v>420</v>
      </c>
      <c r="AL1379">
        <v>156</v>
      </c>
      <c r="AM1379">
        <v>984</v>
      </c>
      <c r="AN1379" t="s">
        <v>102</v>
      </c>
      <c r="AO1379" t="s">
        <v>103</v>
      </c>
      <c r="AP1379" t="s">
        <v>104</v>
      </c>
      <c r="AQ1379" t="s">
        <v>105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97</v>
      </c>
      <c r="BC1379">
        <v>6</v>
      </c>
      <c r="BD1379" t="s">
        <v>223</v>
      </c>
      <c r="BE1379">
        <v>0</v>
      </c>
      <c r="BG1379" t="s">
        <v>126</v>
      </c>
      <c r="BH1379">
        <v>1977</v>
      </c>
      <c r="BI1379" t="s">
        <v>101</v>
      </c>
      <c r="BJ1379">
        <v>2</v>
      </c>
      <c r="BK1379">
        <v>660</v>
      </c>
      <c r="BL1379" t="s">
        <v>97</v>
      </c>
      <c r="BM1379" t="s">
        <v>97</v>
      </c>
      <c r="BN1379" t="s">
        <v>104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X1379">
        <v>0</v>
      </c>
      <c r="BY1379">
        <v>7</v>
      </c>
      <c r="BZ1379">
        <v>2009</v>
      </c>
      <c r="CA1379" t="s">
        <v>109</v>
      </c>
      <c r="CB1379" t="s">
        <v>110</v>
      </c>
      <c r="CC1379">
        <v>117000</v>
      </c>
    </row>
    <row r="1380" spans="1:81" x14ac:dyDescent="0.3">
      <c r="A1380">
        <v>1379</v>
      </c>
      <c r="B1380">
        <v>160</v>
      </c>
      <c r="C1380" t="s">
        <v>141</v>
      </c>
      <c r="D1380">
        <v>21</v>
      </c>
      <c r="E1380">
        <v>1953</v>
      </c>
      <c r="F1380" t="s">
        <v>82</v>
      </c>
      <c r="H1380" t="s">
        <v>83</v>
      </c>
      <c r="I1380" t="s">
        <v>84</v>
      </c>
      <c r="J1380" t="s">
        <v>85</v>
      </c>
      <c r="K1380" t="s">
        <v>86</v>
      </c>
      <c r="L1380" t="s">
        <v>87</v>
      </c>
      <c r="M1380" t="s">
        <v>227</v>
      </c>
      <c r="N1380" t="s">
        <v>89</v>
      </c>
      <c r="O1380" t="s">
        <v>89</v>
      </c>
      <c r="P1380" t="s">
        <v>197</v>
      </c>
      <c r="Q1380" t="s">
        <v>91</v>
      </c>
      <c r="R1380">
        <v>6</v>
      </c>
      <c r="S1380">
        <v>5</v>
      </c>
      <c r="T1380">
        <v>1973</v>
      </c>
      <c r="U1380">
        <v>1973</v>
      </c>
      <c r="V1380" t="s">
        <v>92</v>
      </c>
      <c r="W1380" t="s">
        <v>93</v>
      </c>
      <c r="X1380" t="s">
        <v>139</v>
      </c>
      <c r="Y1380" t="s">
        <v>139</v>
      </c>
      <c r="Z1380" t="s">
        <v>95</v>
      </c>
      <c r="AA1380">
        <v>408</v>
      </c>
      <c r="AB1380" t="s">
        <v>97</v>
      </c>
      <c r="AC1380" t="s">
        <v>97</v>
      </c>
      <c r="AD1380" t="s">
        <v>117</v>
      </c>
      <c r="AE1380" t="s">
        <v>97</v>
      </c>
      <c r="AF1380" t="s">
        <v>146</v>
      </c>
      <c r="AG1380" t="s">
        <v>99</v>
      </c>
      <c r="AH1380" t="s">
        <v>140</v>
      </c>
      <c r="AI1380">
        <v>309</v>
      </c>
      <c r="AJ1380" t="s">
        <v>101</v>
      </c>
      <c r="AK1380">
        <v>0</v>
      </c>
      <c r="AL1380">
        <v>174</v>
      </c>
      <c r="AM1380">
        <v>483</v>
      </c>
      <c r="AN1380" t="s">
        <v>102</v>
      </c>
      <c r="AO1380" t="s">
        <v>97</v>
      </c>
      <c r="AP1380" t="s">
        <v>104</v>
      </c>
      <c r="AQ1380" t="s">
        <v>105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97</v>
      </c>
      <c r="BC1380">
        <v>5</v>
      </c>
      <c r="BD1380" t="s">
        <v>106</v>
      </c>
      <c r="BE1380">
        <v>0</v>
      </c>
      <c r="BG1380" t="s">
        <v>126</v>
      </c>
      <c r="BH1380">
        <v>1973</v>
      </c>
      <c r="BI1380" t="s">
        <v>101</v>
      </c>
      <c r="BJ1380">
        <v>1</v>
      </c>
      <c r="BK1380">
        <v>264</v>
      </c>
      <c r="BL1380" t="s">
        <v>97</v>
      </c>
      <c r="BM1380" t="s">
        <v>97</v>
      </c>
      <c r="BN1380" t="s">
        <v>104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X1380">
        <v>0</v>
      </c>
      <c r="BY1380">
        <v>6</v>
      </c>
      <c r="BZ1380">
        <v>2006</v>
      </c>
      <c r="CA1380" t="s">
        <v>109</v>
      </c>
      <c r="CB1380" t="s">
        <v>110</v>
      </c>
      <c r="CC1380">
        <v>83000</v>
      </c>
    </row>
    <row r="1381" spans="1:81" x14ac:dyDescent="0.3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H1381" t="s">
        <v>83</v>
      </c>
      <c r="I1381" t="s">
        <v>84</v>
      </c>
      <c r="J1381" t="s">
        <v>85</v>
      </c>
      <c r="K1381" t="s">
        <v>86</v>
      </c>
      <c r="L1381" t="s">
        <v>87</v>
      </c>
      <c r="M1381" t="s">
        <v>188</v>
      </c>
      <c r="N1381" t="s">
        <v>89</v>
      </c>
      <c r="O1381" t="s">
        <v>89</v>
      </c>
      <c r="P1381" t="s">
        <v>90</v>
      </c>
      <c r="Q1381" t="s">
        <v>196</v>
      </c>
      <c r="R1381">
        <v>5</v>
      </c>
      <c r="S1381">
        <v>5</v>
      </c>
      <c r="T1381">
        <v>2006</v>
      </c>
      <c r="U1381">
        <v>2007</v>
      </c>
      <c r="V1381" t="s">
        <v>92</v>
      </c>
      <c r="W1381" t="s">
        <v>93</v>
      </c>
      <c r="X1381" t="s">
        <v>94</v>
      </c>
      <c r="Y1381" t="s">
        <v>94</v>
      </c>
      <c r="Z1381" t="s">
        <v>116</v>
      </c>
      <c r="AA1381">
        <v>0</v>
      </c>
      <c r="AB1381" t="s">
        <v>97</v>
      </c>
      <c r="AC1381" t="s">
        <v>97</v>
      </c>
      <c r="AD1381" t="s">
        <v>98</v>
      </c>
      <c r="AE1381" t="s">
        <v>96</v>
      </c>
      <c r="AF1381" t="s">
        <v>97</v>
      </c>
      <c r="AG1381" t="s">
        <v>99</v>
      </c>
      <c r="AH1381" t="s">
        <v>101</v>
      </c>
      <c r="AI1381">
        <v>0</v>
      </c>
      <c r="AJ1381" t="s">
        <v>101</v>
      </c>
      <c r="AK1381">
        <v>0</v>
      </c>
      <c r="AL1381">
        <v>384</v>
      </c>
      <c r="AM1381">
        <v>384</v>
      </c>
      <c r="AN1381" t="s">
        <v>102</v>
      </c>
      <c r="AO1381" t="s">
        <v>96</v>
      </c>
      <c r="AP1381" t="s">
        <v>104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96</v>
      </c>
      <c r="BC1381">
        <v>7</v>
      </c>
      <c r="BD1381" t="s">
        <v>106</v>
      </c>
      <c r="BE1381">
        <v>0</v>
      </c>
      <c r="BG1381" t="s">
        <v>155</v>
      </c>
      <c r="BH1381">
        <v>2007</v>
      </c>
      <c r="BI1381" t="s">
        <v>156</v>
      </c>
      <c r="BJ1381">
        <v>2</v>
      </c>
      <c r="BK1381">
        <v>400</v>
      </c>
      <c r="BL1381" t="s">
        <v>97</v>
      </c>
      <c r="BM1381" t="s">
        <v>97</v>
      </c>
      <c r="BN1381" t="s">
        <v>104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X1381">
        <v>0</v>
      </c>
      <c r="BY1381">
        <v>5</v>
      </c>
      <c r="BZ1381">
        <v>2008</v>
      </c>
      <c r="CA1381" t="s">
        <v>109</v>
      </c>
      <c r="CB1381" t="s">
        <v>110</v>
      </c>
      <c r="CC1381">
        <v>167500</v>
      </c>
    </row>
    <row r="1382" spans="1:81" x14ac:dyDescent="0.3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173</v>
      </c>
      <c r="H1382" t="s">
        <v>83</v>
      </c>
      <c r="I1382" t="s">
        <v>84</v>
      </c>
      <c r="J1382" t="s">
        <v>85</v>
      </c>
      <c r="K1382" t="s">
        <v>86</v>
      </c>
      <c r="L1382" t="s">
        <v>87</v>
      </c>
      <c r="M1382" t="s">
        <v>184</v>
      </c>
      <c r="N1382" t="s">
        <v>89</v>
      </c>
      <c r="O1382" t="s">
        <v>89</v>
      </c>
      <c r="P1382" t="s">
        <v>90</v>
      </c>
      <c r="Q1382" t="s">
        <v>114</v>
      </c>
      <c r="R1382">
        <v>3</v>
      </c>
      <c r="S1382">
        <v>3</v>
      </c>
      <c r="T1382">
        <v>1914</v>
      </c>
      <c r="U1382">
        <v>1950</v>
      </c>
      <c r="V1382" t="s">
        <v>92</v>
      </c>
      <c r="W1382" t="s">
        <v>93</v>
      </c>
      <c r="X1382" t="s">
        <v>202</v>
      </c>
      <c r="Y1382" t="s">
        <v>202</v>
      </c>
      <c r="Z1382" t="s">
        <v>116</v>
      </c>
      <c r="AA1382">
        <v>0</v>
      </c>
      <c r="AB1382" t="s">
        <v>97</v>
      </c>
      <c r="AC1382" t="s">
        <v>146</v>
      </c>
      <c r="AD1382" t="s">
        <v>125</v>
      </c>
      <c r="AE1382" t="s">
        <v>97</v>
      </c>
      <c r="AF1382" t="s">
        <v>146</v>
      </c>
      <c r="AG1382" t="s">
        <v>99</v>
      </c>
      <c r="AH1382" t="s">
        <v>152</v>
      </c>
      <c r="AI1382">
        <v>203</v>
      </c>
      <c r="AJ1382" t="s">
        <v>101</v>
      </c>
      <c r="AK1382">
        <v>0</v>
      </c>
      <c r="AL1382">
        <v>661</v>
      </c>
      <c r="AM1382">
        <v>864</v>
      </c>
      <c r="AN1382" t="s">
        <v>102</v>
      </c>
      <c r="AO1382" t="s">
        <v>97</v>
      </c>
      <c r="AP1382" t="s">
        <v>176</v>
      </c>
      <c r="AQ1382" t="s">
        <v>144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97</v>
      </c>
      <c r="BC1382">
        <v>5</v>
      </c>
      <c r="BD1382" t="s">
        <v>106</v>
      </c>
      <c r="BE1382">
        <v>0</v>
      </c>
      <c r="BG1382" t="s">
        <v>126</v>
      </c>
      <c r="BH1382">
        <v>1938</v>
      </c>
      <c r="BI1382" t="s">
        <v>101</v>
      </c>
      <c r="BJ1382">
        <v>1</v>
      </c>
      <c r="BK1382">
        <v>200</v>
      </c>
      <c r="BL1382" t="s">
        <v>97</v>
      </c>
      <c r="BM1382" t="s">
        <v>146</v>
      </c>
      <c r="BN1382" t="s">
        <v>104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X1382">
        <v>0</v>
      </c>
      <c r="BY1382">
        <v>6</v>
      </c>
      <c r="BZ1382">
        <v>2010</v>
      </c>
      <c r="CA1382" t="s">
        <v>109</v>
      </c>
      <c r="CB1382" t="s">
        <v>110</v>
      </c>
      <c r="CC1382">
        <v>58500</v>
      </c>
    </row>
    <row r="1383" spans="1:81" x14ac:dyDescent="0.3">
      <c r="A1383">
        <v>1382</v>
      </c>
      <c r="B1383">
        <v>20</v>
      </c>
      <c r="C1383" t="s">
        <v>81</v>
      </c>
      <c r="E1383">
        <v>12925</v>
      </c>
      <c r="F1383" t="s">
        <v>82</v>
      </c>
      <c r="H1383" t="s">
        <v>119</v>
      </c>
      <c r="I1383" t="s">
        <v>84</v>
      </c>
      <c r="J1383" t="s">
        <v>85</v>
      </c>
      <c r="K1383" t="s">
        <v>121</v>
      </c>
      <c r="L1383" t="s">
        <v>87</v>
      </c>
      <c r="M1383" t="s">
        <v>270</v>
      </c>
      <c r="N1383" t="s">
        <v>89</v>
      </c>
      <c r="O1383" t="s">
        <v>89</v>
      </c>
      <c r="P1383" t="s">
        <v>90</v>
      </c>
      <c r="Q1383" t="s">
        <v>114</v>
      </c>
      <c r="R1383">
        <v>6</v>
      </c>
      <c r="S1383">
        <v>7</v>
      </c>
      <c r="T1383">
        <v>1970</v>
      </c>
      <c r="U1383">
        <v>1970</v>
      </c>
      <c r="V1383" t="s">
        <v>92</v>
      </c>
      <c r="W1383" t="s">
        <v>93</v>
      </c>
      <c r="X1383" t="s">
        <v>95</v>
      </c>
      <c r="Y1383" t="s">
        <v>160</v>
      </c>
      <c r="Z1383" t="s">
        <v>116</v>
      </c>
      <c r="AA1383">
        <v>0</v>
      </c>
      <c r="AB1383" t="s">
        <v>97</v>
      </c>
      <c r="AC1383" t="s">
        <v>97</v>
      </c>
      <c r="AD1383" t="s">
        <v>117</v>
      </c>
      <c r="AE1383" t="s">
        <v>97</v>
      </c>
      <c r="AF1383" t="s">
        <v>97</v>
      </c>
      <c r="AG1383" t="s">
        <v>120</v>
      </c>
      <c r="AH1383" t="s">
        <v>140</v>
      </c>
      <c r="AI1383">
        <v>865</v>
      </c>
      <c r="AJ1383" t="s">
        <v>101</v>
      </c>
      <c r="AK1383">
        <v>0</v>
      </c>
      <c r="AL1383">
        <v>340</v>
      </c>
      <c r="AM1383">
        <v>1205</v>
      </c>
      <c r="AN1383" t="s">
        <v>102</v>
      </c>
      <c r="AO1383" t="s">
        <v>103</v>
      </c>
      <c r="AP1383" t="s">
        <v>104</v>
      </c>
      <c r="AQ1383" t="s">
        <v>105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97</v>
      </c>
      <c r="BC1383">
        <v>7</v>
      </c>
      <c r="BD1383" t="s">
        <v>106</v>
      </c>
      <c r="BE1383">
        <v>2</v>
      </c>
      <c r="BF1383" t="s">
        <v>96</v>
      </c>
      <c r="BG1383" t="s">
        <v>107</v>
      </c>
      <c r="BH1383">
        <v>1970</v>
      </c>
      <c r="BI1383" t="s">
        <v>156</v>
      </c>
      <c r="BJ1383">
        <v>2</v>
      </c>
      <c r="BK1383">
        <v>550</v>
      </c>
      <c r="BL1383" t="s">
        <v>97</v>
      </c>
      <c r="BM1383" t="s">
        <v>97</v>
      </c>
      <c r="BN1383" t="s">
        <v>104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X1383">
        <v>0</v>
      </c>
      <c r="BY1383">
        <v>5</v>
      </c>
      <c r="BZ1383">
        <v>2008</v>
      </c>
      <c r="CA1383" t="s">
        <v>109</v>
      </c>
      <c r="CB1383" t="s">
        <v>110</v>
      </c>
      <c r="CC1383">
        <v>237500</v>
      </c>
    </row>
    <row r="1384" spans="1:81" x14ac:dyDescent="0.3">
      <c r="A1384">
        <v>1383</v>
      </c>
      <c r="B1384">
        <v>70</v>
      </c>
      <c r="C1384" t="s">
        <v>141</v>
      </c>
      <c r="D1384">
        <v>60</v>
      </c>
      <c r="E1384">
        <v>7200</v>
      </c>
      <c r="F1384" t="s">
        <v>82</v>
      </c>
      <c r="H1384" t="s">
        <v>83</v>
      </c>
      <c r="I1384" t="s">
        <v>84</v>
      </c>
      <c r="J1384" t="s">
        <v>85</v>
      </c>
      <c r="K1384" t="s">
        <v>121</v>
      </c>
      <c r="L1384" t="s">
        <v>87</v>
      </c>
      <c r="M1384" t="s">
        <v>142</v>
      </c>
      <c r="N1384" t="s">
        <v>89</v>
      </c>
      <c r="O1384" t="s">
        <v>89</v>
      </c>
      <c r="P1384" t="s">
        <v>90</v>
      </c>
      <c r="Q1384" t="s">
        <v>91</v>
      </c>
      <c r="R1384">
        <v>7</v>
      </c>
      <c r="S1384">
        <v>7</v>
      </c>
      <c r="T1384">
        <v>1920</v>
      </c>
      <c r="U1384">
        <v>1950</v>
      </c>
      <c r="V1384" t="s">
        <v>151</v>
      </c>
      <c r="W1384" t="s">
        <v>93</v>
      </c>
      <c r="X1384" t="s">
        <v>123</v>
      </c>
      <c r="Y1384" t="s">
        <v>123</v>
      </c>
      <c r="Z1384" t="s">
        <v>116</v>
      </c>
      <c r="AA1384">
        <v>0</v>
      </c>
      <c r="AB1384" t="s">
        <v>97</v>
      </c>
      <c r="AC1384" t="s">
        <v>97</v>
      </c>
      <c r="AD1384" t="s">
        <v>125</v>
      </c>
      <c r="AE1384" t="s">
        <v>146</v>
      </c>
      <c r="AF1384" t="s">
        <v>97</v>
      </c>
      <c r="AG1384" t="s">
        <v>99</v>
      </c>
      <c r="AH1384" t="s">
        <v>101</v>
      </c>
      <c r="AI1384">
        <v>0</v>
      </c>
      <c r="AJ1384" t="s">
        <v>101</v>
      </c>
      <c r="AK1384">
        <v>0</v>
      </c>
      <c r="AL1384">
        <v>596</v>
      </c>
      <c r="AM1384">
        <v>596</v>
      </c>
      <c r="AN1384" t="s">
        <v>102</v>
      </c>
      <c r="AO1384" t="s">
        <v>103</v>
      </c>
      <c r="AP1384" t="s">
        <v>104</v>
      </c>
      <c r="AQ1384" t="s">
        <v>105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96</v>
      </c>
      <c r="BC1384">
        <v>8</v>
      </c>
      <c r="BD1384" t="s">
        <v>106</v>
      </c>
      <c r="BE1384">
        <v>0</v>
      </c>
      <c r="BG1384" t="s">
        <v>126</v>
      </c>
      <c r="BH1384">
        <v>1989</v>
      </c>
      <c r="BI1384" t="s">
        <v>101</v>
      </c>
      <c r="BJ1384">
        <v>2</v>
      </c>
      <c r="BK1384">
        <v>576</v>
      </c>
      <c r="BL1384" t="s">
        <v>97</v>
      </c>
      <c r="BM1384" t="s">
        <v>97</v>
      </c>
      <c r="BN1384" t="s">
        <v>176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X1384">
        <v>0</v>
      </c>
      <c r="BY1384">
        <v>10</v>
      </c>
      <c r="BZ1384">
        <v>2006</v>
      </c>
      <c r="CA1384" t="s">
        <v>109</v>
      </c>
      <c r="CB1384" t="s">
        <v>110</v>
      </c>
      <c r="CC1384">
        <v>157000</v>
      </c>
    </row>
    <row r="1385" spans="1:81" x14ac:dyDescent="0.3">
      <c r="A1385">
        <v>1384</v>
      </c>
      <c r="B1385">
        <v>30</v>
      </c>
      <c r="C1385" t="s">
        <v>81</v>
      </c>
      <c r="E1385">
        <v>25339</v>
      </c>
      <c r="F1385" t="s">
        <v>82</v>
      </c>
      <c r="H1385" t="s">
        <v>83</v>
      </c>
      <c r="I1385" t="s">
        <v>84</v>
      </c>
      <c r="J1385" t="s">
        <v>85</v>
      </c>
      <c r="K1385" t="s">
        <v>86</v>
      </c>
      <c r="L1385" t="s">
        <v>87</v>
      </c>
      <c r="M1385" t="s">
        <v>150</v>
      </c>
      <c r="N1385" t="s">
        <v>89</v>
      </c>
      <c r="O1385" t="s">
        <v>89</v>
      </c>
      <c r="P1385" t="s">
        <v>90</v>
      </c>
      <c r="Q1385" t="s">
        <v>114</v>
      </c>
      <c r="R1385">
        <v>5</v>
      </c>
      <c r="S1385">
        <v>7</v>
      </c>
      <c r="T1385">
        <v>1918</v>
      </c>
      <c r="U1385">
        <v>2007</v>
      </c>
      <c r="V1385" t="s">
        <v>92</v>
      </c>
      <c r="W1385" t="s">
        <v>93</v>
      </c>
      <c r="X1385" t="s">
        <v>123</v>
      </c>
      <c r="Y1385" t="s">
        <v>123</v>
      </c>
      <c r="Z1385" t="s">
        <v>116</v>
      </c>
      <c r="AA1385">
        <v>0</v>
      </c>
      <c r="AB1385" t="s">
        <v>97</v>
      </c>
      <c r="AC1385" t="s">
        <v>96</v>
      </c>
      <c r="AD1385" t="s">
        <v>125</v>
      </c>
      <c r="AE1385" t="s">
        <v>97</v>
      </c>
      <c r="AF1385" t="s">
        <v>97</v>
      </c>
      <c r="AG1385" t="s">
        <v>99</v>
      </c>
      <c r="AH1385" t="s">
        <v>101</v>
      </c>
      <c r="AI1385">
        <v>0</v>
      </c>
      <c r="AJ1385" t="s">
        <v>101</v>
      </c>
      <c r="AK1385">
        <v>0</v>
      </c>
      <c r="AL1385">
        <v>816</v>
      </c>
      <c r="AM1385">
        <v>816</v>
      </c>
      <c r="AN1385" t="s">
        <v>102</v>
      </c>
      <c r="AO1385" t="s">
        <v>103</v>
      </c>
      <c r="AP1385" t="s">
        <v>104</v>
      </c>
      <c r="AQ1385" t="s">
        <v>105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96</v>
      </c>
      <c r="BC1385">
        <v>7</v>
      </c>
      <c r="BD1385" t="s">
        <v>106</v>
      </c>
      <c r="BE1385">
        <v>0</v>
      </c>
      <c r="BG1385" t="s">
        <v>107</v>
      </c>
      <c r="BH1385">
        <v>2007</v>
      </c>
      <c r="BI1385" t="s">
        <v>101</v>
      </c>
      <c r="BJ1385">
        <v>2</v>
      </c>
      <c r="BK1385">
        <v>576</v>
      </c>
      <c r="BL1385" t="s">
        <v>97</v>
      </c>
      <c r="BM1385" t="s">
        <v>97</v>
      </c>
      <c r="BN1385" t="s">
        <v>176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X1385">
        <v>0</v>
      </c>
      <c r="BY1385">
        <v>8</v>
      </c>
      <c r="BZ1385">
        <v>2007</v>
      </c>
      <c r="CA1385" t="s">
        <v>109</v>
      </c>
      <c r="CB1385" t="s">
        <v>110</v>
      </c>
      <c r="CC1385">
        <v>112000</v>
      </c>
    </row>
    <row r="1386" spans="1:81" x14ac:dyDescent="0.3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H1386" t="s">
        <v>83</v>
      </c>
      <c r="I1386" t="s">
        <v>84</v>
      </c>
      <c r="J1386" t="s">
        <v>85</v>
      </c>
      <c r="K1386" t="s">
        <v>86</v>
      </c>
      <c r="L1386" t="s">
        <v>87</v>
      </c>
      <c r="M1386" t="s">
        <v>184</v>
      </c>
      <c r="N1386" t="s">
        <v>89</v>
      </c>
      <c r="O1386" t="s">
        <v>89</v>
      </c>
      <c r="P1386" t="s">
        <v>90</v>
      </c>
      <c r="Q1386" t="s">
        <v>131</v>
      </c>
      <c r="R1386">
        <v>6</v>
      </c>
      <c r="S1386">
        <v>5</v>
      </c>
      <c r="T1386">
        <v>1939</v>
      </c>
      <c r="U1386">
        <v>1950</v>
      </c>
      <c r="V1386" t="s">
        <v>92</v>
      </c>
      <c r="W1386" t="s">
        <v>93</v>
      </c>
      <c r="X1386" t="s">
        <v>154</v>
      </c>
      <c r="Y1386" t="s">
        <v>124</v>
      </c>
      <c r="Z1386" t="s">
        <v>116</v>
      </c>
      <c r="AA1386">
        <v>0</v>
      </c>
      <c r="AB1386" t="s">
        <v>97</v>
      </c>
      <c r="AC1386" t="s">
        <v>97</v>
      </c>
      <c r="AD1386" t="s">
        <v>125</v>
      </c>
      <c r="AE1386" t="s">
        <v>97</v>
      </c>
      <c r="AF1386" t="s">
        <v>97</v>
      </c>
      <c r="AG1386" t="s">
        <v>120</v>
      </c>
      <c r="AH1386" t="s">
        <v>152</v>
      </c>
      <c r="AI1386">
        <v>204</v>
      </c>
      <c r="AJ1386" t="s">
        <v>101</v>
      </c>
      <c r="AK1386">
        <v>0</v>
      </c>
      <c r="AL1386">
        <v>356</v>
      </c>
      <c r="AM1386">
        <v>560</v>
      </c>
      <c r="AN1386" t="s">
        <v>102</v>
      </c>
      <c r="AO1386" t="s">
        <v>97</v>
      </c>
      <c r="AP1386" t="s">
        <v>104</v>
      </c>
      <c r="AQ1386" t="s">
        <v>105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97</v>
      </c>
      <c r="BC1386">
        <v>6</v>
      </c>
      <c r="BD1386" t="s">
        <v>106</v>
      </c>
      <c r="BE1386">
        <v>0</v>
      </c>
      <c r="BG1386" t="s">
        <v>126</v>
      </c>
      <c r="BH1386">
        <v>1939</v>
      </c>
      <c r="BI1386" t="s">
        <v>101</v>
      </c>
      <c r="BJ1386">
        <v>1</v>
      </c>
      <c r="BK1386">
        <v>280</v>
      </c>
      <c r="BL1386" t="s">
        <v>97</v>
      </c>
      <c r="BM1386" t="s">
        <v>97</v>
      </c>
      <c r="BN1386" t="s">
        <v>189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V1386" t="s">
        <v>133</v>
      </c>
      <c r="BX1386">
        <v>0</v>
      </c>
      <c r="BY1386">
        <v>10</v>
      </c>
      <c r="BZ1386">
        <v>2009</v>
      </c>
      <c r="CA1386" t="s">
        <v>109</v>
      </c>
      <c r="CB1386" t="s">
        <v>110</v>
      </c>
      <c r="CC1386">
        <v>105000</v>
      </c>
    </row>
    <row r="1387" spans="1:81" x14ac:dyDescent="0.3">
      <c r="A1387">
        <v>1386</v>
      </c>
      <c r="B1387">
        <v>50</v>
      </c>
      <c r="C1387" t="s">
        <v>141</v>
      </c>
      <c r="D1387">
        <v>40</v>
      </c>
      <c r="E1387">
        <v>5436</v>
      </c>
      <c r="F1387" t="s">
        <v>82</v>
      </c>
      <c r="H1387" t="s">
        <v>83</v>
      </c>
      <c r="I1387" t="s">
        <v>84</v>
      </c>
      <c r="J1387" t="s">
        <v>85</v>
      </c>
      <c r="K1387" t="s">
        <v>86</v>
      </c>
      <c r="L1387" t="s">
        <v>87</v>
      </c>
      <c r="M1387" t="s">
        <v>175</v>
      </c>
      <c r="N1387" t="s">
        <v>89</v>
      </c>
      <c r="O1387" t="s">
        <v>89</v>
      </c>
      <c r="P1387" t="s">
        <v>90</v>
      </c>
      <c r="Q1387" t="s">
        <v>131</v>
      </c>
      <c r="R1387">
        <v>4</v>
      </c>
      <c r="S1387">
        <v>8</v>
      </c>
      <c r="T1387">
        <v>1922</v>
      </c>
      <c r="U1387">
        <v>2007</v>
      </c>
      <c r="V1387" t="s">
        <v>92</v>
      </c>
      <c r="W1387" t="s">
        <v>93</v>
      </c>
      <c r="X1387" t="s">
        <v>94</v>
      </c>
      <c r="Y1387" t="s">
        <v>94</v>
      </c>
      <c r="Z1387" t="s">
        <v>116</v>
      </c>
      <c r="AA1387">
        <v>0</v>
      </c>
      <c r="AB1387" t="s">
        <v>97</v>
      </c>
      <c r="AC1387" t="s">
        <v>96</v>
      </c>
      <c r="AD1387" t="s">
        <v>125</v>
      </c>
      <c r="AE1387" t="s">
        <v>97</v>
      </c>
      <c r="AF1387" t="s">
        <v>97</v>
      </c>
      <c r="AG1387" t="s">
        <v>99</v>
      </c>
      <c r="AH1387" t="s">
        <v>140</v>
      </c>
      <c r="AI1387">
        <v>735</v>
      </c>
      <c r="AJ1387" t="s">
        <v>101</v>
      </c>
      <c r="AK1387">
        <v>0</v>
      </c>
      <c r="AL1387">
        <v>61</v>
      </c>
      <c r="AM1387">
        <v>796</v>
      </c>
      <c r="AN1387" t="s">
        <v>102</v>
      </c>
      <c r="AO1387" t="s">
        <v>96</v>
      </c>
      <c r="AP1387" t="s">
        <v>104</v>
      </c>
      <c r="AQ1387" t="s">
        <v>105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96</v>
      </c>
      <c r="BC1387">
        <v>7</v>
      </c>
      <c r="BD1387" t="s">
        <v>106</v>
      </c>
      <c r="BE1387">
        <v>0</v>
      </c>
      <c r="BG1387" t="s">
        <v>126</v>
      </c>
      <c r="BH1387">
        <v>1922</v>
      </c>
      <c r="BI1387" t="s">
        <v>101</v>
      </c>
      <c r="BJ1387">
        <v>1</v>
      </c>
      <c r="BK1387">
        <v>240</v>
      </c>
      <c r="BL1387" t="s">
        <v>97</v>
      </c>
      <c r="BM1387" t="s">
        <v>97</v>
      </c>
      <c r="BN1387" t="s">
        <v>176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V1387" t="s">
        <v>133</v>
      </c>
      <c r="BX1387">
        <v>0</v>
      </c>
      <c r="BY1387">
        <v>5</v>
      </c>
      <c r="BZ1387">
        <v>2010</v>
      </c>
      <c r="CA1387" t="s">
        <v>109</v>
      </c>
      <c r="CB1387" t="s">
        <v>110</v>
      </c>
      <c r="CC1387">
        <v>125500</v>
      </c>
    </row>
    <row r="1388" spans="1:81" x14ac:dyDescent="0.3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H1388" t="s">
        <v>119</v>
      </c>
      <c r="I1388" t="s">
        <v>84</v>
      </c>
      <c r="J1388" t="s">
        <v>85</v>
      </c>
      <c r="K1388" t="s">
        <v>86</v>
      </c>
      <c r="L1388" t="s">
        <v>87</v>
      </c>
      <c r="M1388" t="s">
        <v>137</v>
      </c>
      <c r="N1388" t="s">
        <v>201</v>
      </c>
      <c r="O1388" t="s">
        <v>89</v>
      </c>
      <c r="P1388" t="s">
        <v>90</v>
      </c>
      <c r="Q1388" t="s">
        <v>91</v>
      </c>
      <c r="R1388">
        <v>7</v>
      </c>
      <c r="S1388">
        <v>5</v>
      </c>
      <c r="T1388">
        <v>1978</v>
      </c>
      <c r="U1388">
        <v>1978</v>
      </c>
      <c r="V1388" t="s">
        <v>92</v>
      </c>
      <c r="W1388" t="s">
        <v>93</v>
      </c>
      <c r="X1388" t="s">
        <v>160</v>
      </c>
      <c r="Y1388" t="s">
        <v>160</v>
      </c>
      <c r="Z1388" t="s">
        <v>95</v>
      </c>
      <c r="AA1388">
        <v>184</v>
      </c>
      <c r="AB1388" t="s">
        <v>97</v>
      </c>
      <c r="AC1388" t="s">
        <v>97</v>
      </c>
      <c r="AD1388" t="s">
        <v>117</v>
      </c>
      <c r="AE1388" t="s">
        <v>96</v>
      </c>
      <c r="AF1388" t="s">
        <v>97</v>
      </c>
      <c r="AG1388" t="s">
        <v>99</v>
      </c>
      <c r="AH1388" t="s">
        <v>140</v>
      </c>
      <c r="AI1388">
        <v>790</v>
      </c>
      <c r="AJ1388" t="s">
        <v>171</v>
      </c>
      <c r="AK1388">
        <v>469</v>
      </c>
      <c r="AL1388">
        <v>133</v>
      </c>
      <c r="AM1388">
        <v>1392</v>
      </c>
      <c r="AN1388" t="s">
        <v>102</v>
      </c>
      <c r="AO1388" t="s">
        <v>97</v>
      </c>
      <c r="AP1388" t="s">
        <v>104</v>
      </c>
      <c r="AQ1388" t="s">
        <v>105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96</v>
      </c>
      <c r="BC1388">
        <v>12</v>
      </c>
      <c r="BD1388" t="s">
        <v>106</v>
      </c>
      <c r="BE1388">
        <v>2</v>
      </c>
      <c r="BF1388" t="s">
        <v>97</v>
      </c>
      <c r="BG1388" t="s">
        <v>107</v>
      </c>
      <c r="BH1388">
        <v>1978</v>
      </c>
      <c r="BI1388" t="s">
        <v>108</v>
      </c>
      <c r="BJ1388">
        <v>2</v>
      </c>
      <c r="BK1388">
        <v>564</v>
      </c>
      <c r="BL1388" t="s">
        <v>97</v>
      </c>
      <c r="BM1388" t="s">
        <v>97</v>
      </c>
      <c r="BN1388" t="s">
        <v>104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146</v>
      </c>
      <c r="BV1388" t="s">
        <v>133</v>
      </c>
      <c r="BW1388" t="s">
        <v>254</v>
      </c>
      <c r="BX1388">
        <v>2000</v>
      </c>
      <c r="BY1388">
        <v>7</v>
      </c>
      <c r="BZ1388">
        <v>2006</v>
      </c>
      <c r="CA1388" t="s">
        <v>109</v>
      </c>
      <c r="CB1388" t="s">
        <v>110</v>
      </c>
      <c r="CC1388">
        <v>250000</v>
      </c>
    </row>
    <row r="1389" spans="1:81" x14ac:dyDescent="0.3">
      <c r="A1389">
        <v>1388</v>
      </c>
      <c r="B1389">
        <v>50</v>
      </c>
      <c r="C1389" t="s">
        <v>141</v>
      </c>
      <c r="D1389">
        <v>60</v>
      </c>
      <c r="E1389">
        <v>8520</v>
      </c>
      <c r="F1389" t="s">
        <v>82</v>
      </c>
      <c r="G1389" t="s">
        <v>173</v>
      </c>
      <c r="H1389" t="s">
        <v>83</v>
      </c>
      <c r="I1389" t="s">
        <v>84</v>
      </c>
      <c r="J1389" t="s">
        <v>85</v>
      </c>
      <c r="K1389" t="s">
        <v>86</v>
      </c>
      <c r="L1389" t="s">
        <v>87</v>
      </c>
      <c r="M1389" t="s">
        <v>142</v>
      </c>
      <c r="N1389" t="s">
        <v>143</v>
      </c>
      <c r="O1389" t="s">
        <v>89</v>
      </c>
      <c r="P1389" t="s">
        <v>90</v>
      </c>
      <c r="Q1389" t="s">
        <v>131</v>
      </c>
      <c r="R1389">
        <v>6</v>
      </c>
      <c r="S1389">
        <v>7</v>
      </c>
      <c r="T1389">
        <v>1916</v>
      </c>
      <c r="U1389">
        <v>1950</v>
      </c>
      <c r="V1389" t="s">
        <v>92</v>
      </c>
      <c r="W1389" t="s">
        <v>93</v>
      </c>
      <c r="X1389" t="s">
        <v>202</v>
      </c>
      <c r="Y1389" t="s">
        <v>202</v>
      </c>
      <c r="Z1389" t="s">
        <v>116</v>
      </c>
      <c r="AA1389">
        <v>0</v>
      </c>
      <c r="AB1389" t="s">
        <v>97</v>
      </c>
      <c r="AC1389" t="s">
        <v>96</v>
      </c>
      <c r="AD1389" t="s">
        <v>125</v>
      </c>
      <c r="AE1389" t="s">
        <v>97</v>
      </c>
      <c r="AF1389" t="s">
        <v>97</v>
      </c>
      <c r="AG1389" t="s">
        <v>99</v>
      </c>
      <c r="AH1389" t="s">
        <v>152</v>
      </c>
      <c r="AI1389">
        <v>168</v>
      </c>
      <c r="AJ1389" t="s">
        <v>171</v>
      </c>
      <c r="AK1389">
        <v>546</v>
      </c>
      <c r="AL1389">
        <v>0</v>
      </c>
      <c r="AM1389">
        <v>714</v>
      </c>
      <c r="AN1389" t="s">
        <v>205</v>
      </c>
      <c r="AO1389" t="s">
        <v>97</v>
      </c>
      <c r="AP1389" t="s">
        <v>176</v>
      </c>
      <c r="AQ1389" t="s">
        <v>105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96</v>
      </c>
      <c r="BC1389">
        <v>10</v>
      </c>
      <c r="BD1389" t="s">
        <v>106</v>
      </c>
      <c r="BE1389">
        <v>1</v>
      </c>
      <c r="BF1389" t="s">
        <v>96</v>
      </c>
      <c r="BG1389" t="s">
        <v>126</v>
      </c>
      <c r="BH1389">
        <v>1916</v>
      </c>
      <c r="BI1389" t="s">
        <v>101</v>
      </c>
      <c r="BJ1389">
        <v>1</v>
      </c>
      <c r="BK1389">
        <v>216</v>
      </c>
      <c r="BL1389" t="s">
        <v>97</v>
      </c>
      <c r="BM1389" t="s">
        <v>97</v>
      </c>
      <c r="BN1389" t="s">
        <v>104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V1389" t="s">
        <v>162</v>
      </c>
      <c r="BX1389">
        <v>0</v>
      </c>
      <c r="BY1389">
        <v>8</v>
      </c>
      <c r="BZ1389">
        <v>2007</v>
      </c>
      <c r="CA1389" t="s">
        <v>229</v>
      </c>
      <c r="CB1389" t="s">
        <v>218</v>
      </c>
      <c r="CC1389">
        <v>136000</v>
      </c>
    </row>
    <row r="1390" spans="1:81" x14ac:dyDescent="0.3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H1390" t="s">
        <v>119</v>
      </c>
      <c r="I1390" t="s">
        <v>198</v>
      </c>
      <c r="J1390" t="s">
        <v>85</v>
      </c>
      <c r="K1390" t="s">
        <v>165</v>
      </c>
      <c r="L1390" t="s">
        <v>87</v>
      </c>
      <c r="M1390" t="s">
        <v>192</v>
      </c>
      <c r="N1390" t="s">
        <v>89</v>
      </c>
      <c r="O1390" t="s">
        <v>89</v>
      </c>
      <c r="P1390" t="s">
        <v>90</v>
      </c>
      <c r="Q1390" t="s">
        <v>114</v>
      </c>
      <c r="R1390">
        <v>9</v>
      </c>
      <c r="S1390">
        <v>5</v>
      </c>
      <c r="T1390">
        <v>2006</v>
      </c>
      <c r="U1390">
        <v>2007</v>
      </c>
      <c r="V1390" t="s">
        <v>92</v>
      </c>
      <c r="W1390" t="s">
        <v>93</v>
      </c>
      <c r="X1390" t="s">
        <v>94</v>
      </c>
      <c r="Y1390" t="s">
        <v>94</v>
      </c>
      <c r="Z1390" t="s">
        <v>136</v>
      </c>
      <c r="AA1390">
        <v>160</v>
      </c>
      <c r="AB1390" t="s">
        <v>103</v>
      </c>
      <c r="AC1390" t="s">
        <v>97</v>
      </c>
      <c r="AD1390" t="s">
        <v>98</v>
      </c>
      <c r="AE1390" t="s">
        <v>103</v>
      </c>
      <c r="AF1390" t="s">
        <v>97</v>
      </c>
      <c r="AG1390" t="s">
        <v>96</v>
      </c>
      <c r="AH1390" t="s">
        <v>100</v>
      </c>
      <c r="AI1390">
        <v>1320</v>
      </c>
      <c r="AJ1390" t="s">
        <v>101</v>
      </c>
      <c r="AK1390">
        <v>0</v>
      </c>
      <c r="AL1390">
        <v>426</v>
      </c>
      <c r="AM1390">
        <v>1746</v>
      </c>
      <c r="AN1390" t="s">
        <v>102</v>
      </c>
      <c r="AO1390" t="s">
        <v>103</v>
      </c>
      <c r="AP1390" t="s">
        <v>104</v>
      </c>
      <c r="AQ1390" t="s">
        <v>105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103</v>
      </c>
      <c r="BC1390">
        <v>7</v>
      </c>
      <c r="BD1390" t="s">
        <v>106</v>
      </c>
      <c r="BE1390">
        <v>2</v>
      </c>
      <c r="BF1390" t="s">
        <v>96</v>
      </c>
      <c r="BG1390" t="s">
        <v>107</v>
      </c>
      <c r="BH1390">
        <v>2006</v>
      </c>
      <c r="BI1390" t="s">
        <v>156</v>
      </c>
      <c r="BJ1390">
        <v>3</v>
      </c>
      <c r="BK1390">
        <v>758</v>
      </c>
      <c r="BL1390" t="s">
        <v>97</v>
      </c>
      <c r="BM1390" t="s">
        <v>97</v>
      </c>
      <c r="BN1390" t="s">
        <v>104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X1390">
        <v>0</v>
      </c>
      <c r="BY1390">
        <v>10</v>
      </c>
      <c r="BZ1390">
        <v>2009</v>
      </c>
      <c r="CA1390" t="s">
        <v>109</v>
      </c>
      <c r="CB1390" t="s">
        <v>110</v>
      </c>
      <c r="CC1390">
        <v>377500</v>
      </c>
    </row>
    <row r="1391" spans="1:81" x14ac:dyDescent="0.3">
      <c r="A1391">
        <v>1390</v>
      </c>
      <c r="B1391">
        <v>50</v>
      </c>
      <c r="C1391" t="s">
        <v>141</v>
      </c>
      <c r="D1391">
        <v>60</v>
      </c>
      <c r="E1391">
        <v>6000</v>
      </c>
      <c r="F1391" t="s">
        <v>82</v>
      </c>
      <c r="H1391" t="s">
        <v>83</v>
      </c>
      <c r="I1391" t="s">
        <v>84</v>
      </c>
      <c r="J1391" t="s">
        <v>85</v>
      </c>
      <c r="K1391" t="s">
        <v>86</v>
      </c>
      <c r="L1391" t="s">
        <v>87</v>
      </c>
      <c r="M1391" t="s">
        <v>147</v>
      </c>
      <c r="N1391" t="s">
        <v>89</v>
      </c>
      <c r="O1391" t="s">
        <v>89</v>
      </c>
      <c r="P1391" t="s">
        <v>90</v>
      </c>
      <c r="Q1391" t="s">
        <v>131</v>
      </c>
      <c r="R1391">
        <v>6</v>
      </c>
      <c r="S1391">
        <v>6</v>
      </c>
      <c r="T1391">
        <v>1941</v>
      </c>
      <c r="U1391">
        <v>1950</v>
      </c>
      <c r="V1391" t="s">
        <v>92</v>
      </c>
      <c r="W1391" t="s">
        <v>93</v>
      </c>
      <c r="X1391" t="s">
        <v>123</v>
      </c>
      <c r="Y1391" t="s">
        <v>123</v>
      </c>
      <c r="Z1391" t="s">
        <v>116</v>
      </c>
      <c r="AA1391">
        <v>0</v>
      </c>
      <c r="AB1391" t="s">
        <v>97</v>
      </c>
      <c r="AC1391" t="s">
        <v>96</v>
      </c>
      <c r="AD1391" t="s">
        <v>125</v>
      </c>
      <c r="AE1391" t="s">
        <v>97</v>
      </c>
      <c r="AF1391" t="s">
        <v>96</v>
      </c>
      <c r="AG1391" t="s">
        <v>99</v>
      </c>
      <c r="AH1391" t="s">
        <v>118</v>
      </c>
      <c r="AI1391">
        <v>375</v>
      </c>
      <c r="AJ1391" t="s">
        <v>101</v>
      </c>
      <c r="AK1391">
        <v>0</v>
      </c>
      <c r="AL1391">
        <v>360</v>
      </c>
      <c r="AM1391">
        <v>735</v>
      </c>
      <c r="AN1391" t="s">
        <v>102</v>
      </c>
      <c r="AO1391" t="s">
        <v>103</v>
      </c>
      <c r="AP1391" t="s">
        <v>104</v>
      </c>
      <c r="AQ1391" t="s">
        <v>105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97</v>
      </c>
      <c r="BC1391">
        <v>6</v>
      </c>
      <c r="BD1391" t="s">
        <v>106</v>
      </c>
      <c r="BE1391">
        <v>1</v>
      </c>
      <c r="BF1391" t="s">
        <v>96</v>
      </c>
      <c r="BG1391" t="s">
        <v>126</v>
      </c>
      <c r="BH1391">
        <v>2003</v>
      </c>
      <c r="BI1391" t="s">
        <v>101</v>
      </c>
      <c r="BJ1391">
        <v>2</v>
      </c>
      <c r="BK1391">
        <v>440</v>
      </c>
      <c r="BL1391" t="s">
        <v>97</v>
      </c>
      <c r="BM1391" t="s">
        <v>97</v>
      </c>
      <c r="BN1391" t="s">
        <v>104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X1391">
        <v>0</v>
      </c>
      <c r="BY1391">
        <v>3</v>
      </c>
      <c r="BZ1391">
        <v>2007</v>
      </c>
      <c r="CA1391" t="s">
        <v>109</v>
      </c>
      <c r="CB1391" t="s">
        <v>110</v>
      </c>
      <c r="CC1391">
        <v>131000</v>
      </c>
    </row>
    <row r="1392" spans="1:81" x14ac:dyDescent="0.3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H1392" t="s">
        <v>83</v>
      </c>
      <c r="I1392" t="s">
        <v>84</v>
      </c>
      <c r="J1392" t="s">
        <v>85</v>
      </c>
      <c r="K1392" t="s">
        <v>86</v>
      </c>
      <c r="L1392" t="s">
        <v>87</v>
      </c>
      <c r="M1392" t="s">
        <v>88</v>
      </c>
      <c r="N1392" t="s">
        <v>89</v>
      </c>
      <c r="O1392" t="s">
        <v>89</v>
      </c>
      <c r="P1392" t="s">
        <v>90</v>
      </c>
      <c r="Q1392" t="s">
        <v>114</v>
      </c>
      <c r="R1392">
        <v>7</v>
      </c>
      <c r="S1392">
        <v>5</v>
      </c>
      <c r="T1392">
        <v>2000</v>
      </c>
      <c r="U1392">
        <v>2000</v>
      </c>
      <c r="V1392" t="s">
        <v>92</v>
      </c>
      <c r="W1392" t="s">
        <v>93</v>
      </c>
      <c r="X1392" t="s">
        <v>94</v>
      </c>
      <c r="Y1392" t="s">
        <v>94</v>
      </c>
      <c r="Z1392" t="s">
        <v>95</v>
      </c>
      <c r="AA1392">
        <v>244</v>
      </c>
      <c r="AB1392" t="s">
        <v>96</v>
      </c>
      <c r="AC1392" t="s">
        <v>97</v>
      </c>
      <c r="AD1392" t="s">
        <v>98</v>
      </c>
      <c r="AE1392" t="s">
        <v>96</v>
      </c>
      <c r="AF1392" t="s">
        <v>97</v>
      </c>
      <c r="AG1392" t="s">
        <v>129</v>
      </c>
      <c r="AH1392" t="s">
        <v>100</v>
      </c>
      <c r="AI1392">
        <v>1400</v>
      </c>
      <c r="AJ1392" t="s">
        <v>101</v>
      </c>
      <c r="AK1392">
        <v>0</v>
      </c>
      <c r="AL1392">
        <v>125</v>
      </c>
      <c r="AM1392">
        <v>1525</v>
      </c>
      <c r="AN1392" t="s">
        <v>102</v>
      </c>
      <c r="AO1392" t="s">
        <v>103</v>
      </c>
      <c r="AP1392" t="s">
        <v>104</v>
      </c>
      <c r="AQ1392" t="s">
        <v>105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96</v>
      </c>
      <c r="BC1392">
        <v>6</v>
      </c>
      <c r="BD1392" t="s">
        <v>106</v>
      </c>
      <c r="BE1392">
        <v>0</v>
      </c>
      <c r="BG1392" t="s">
        <v>107</v>
      </c>
      <c r="BH1392">
        <v>2000</v>
      </c>
      <c r="BI1392" t="s">
        <v>108</v>
      </c>
      <c r="BJ1392">
        <v>2</v>
      </c>
      <c r="BK1392">
        <v>541</v>
      </c>
      <c r="BL1392" t="s">
        <v>97</v>
      </c>
      <c r="BM1392" t="s">
        <v>97</v>
      </c>
      <c r="BN1392" t="s">
        <v>104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X1392">
        <v>0</v>
      </c>
      <c r="BY1392">
        <v>9</v>
      </c>
      <c r="BZ1392">
        <v>2006</v>
      </c>
      <c r="CA1392" t="s">
        <v>109</v>
      </c>
      <c r="CB1392" t="s">
        <v>110</v>
      </c>
      <c r="CC1392">
        <v>235000</v>
      </c>
    </row>
    <row r="1393" spans="1:81" x14ac:dyDescent="0.3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H1393" t="s">
        <v>83</v>
      </c>
      <c r="I1393" t="s">
        <v>84</v>
      </c>
      <c r="J1393" t="s">
        <v>85</v>
      </c>
      <c r="K1393" t="s">
        <v>86</v>
      </c>
      <c r="L1393" t="s">
        <v>87</v>
      </c>
      <c r="M1393" t="s">
        <v>270</v>
      </c>
      <c r="N1393" t="s">
        <v>89</v>
      </c>
      <c r="O1393" t="s">
        <v>89</v>
      </c>
      <c r="P1393" t="s">
        <v>166</v>
      </c>
      <c r="Q1393" t="s">
        <v>114</v>
      </c>
      <c r="R1393">
        <v>5</v>
      </c>
      <c r="S1393">
        <v>5</v>
      </c>
      <c r="T1393">
        <v>1967</v>
      </c>
      <c r="U1393">
        <v>1967</v>
      </c>
      <c r="V1393" t="s">
        <v>92</v>
      </c>
      <c r="W1393" t="s">
        <v>93</v>
      </c>
      <c r="X1393" t="s">
        <v>160</v>
      </c>
      <c r="Y1393" t="s">
        <v>160</v>
      </c>
      <c r="Z1393" t="s">
        <v>116</v>
      </c>
      <c r="AA1393">
        <v>0</v>
      </c>
      <c r="AB1393" t="s">
        <v>97</v>
      </c>
      <c r="AC1393" t="s">
        <v>97</v>
      </c>
      <c r="AD1393" t="s">
        <v>117</v>
      </c>
      <c r="AE1393" t="s">
        <v>97</v>
      </c>
      <c r="AF1393" t="s">
        <v>97</v>
      </c>
      <c r="AG1393" t="s">
        <v>99</v>
      </c>
      <c r="AH1393" t="s">
        <v>101</v>
      </c>
      <c r="AI1393">
        <v>0</v>
      </c>
      <c r="AJ1393" t="s">
        <v>101</v>
      </c>
      <c r="AK1393">
        <v>0</v>
      </c>
      <c r="AL1393">
        <v>1584</v>
      </c>
      <c r="AM1393">
        <v>1584</v>
      </c>
      <c r="AN1393" t="s">
        <v>102</v>
      </c>
      <c r="AO1393" t="s">
        <v>97</v>
      </c>
      <c r="AP1393" t="s">
        <v>104</v>
      </c>
      <c r="AQ1393" t="s">
        <v>105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97</v>
      </c>
      <c r="BC1393">
        <v>8</v>
      </c>
      <c r="BD1393" t="s">
        <v>193</v>
      </c>
      <c r="BE1393">
        <v>0</v>
      </c>
      <c r="BG1393" t="s">
        <v>126</v>
      </c>
      <c r="BH1393">
        <v>1967</v>
      </c>
      <c r="BI1393" t="s">
        <v>101</v>
      </c>
      <c r="BJ1393">
        <v>3</v>
      </c>
      <c r="BK1393">
        <v>792</v>
      </c>
      <c r="BL1393" t="s">
        <v>97</v>
      </c>
      <c r="BM1393" t="s">
        <v>97</v>
      </c>
      <c r="BN1393" t="s">
        <v>104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X1393">
        <v>0</v>
      </c>
      <c r="BY1393">
        <v>4</v>
      </c>
      <c r="BZ1393">
        <v>2009</v>
      </c>
      <c r="CA1393" t="s">
        <v>109</v>
      </c>
      <c r="CB1393" t="s">
        <v>110</v>
      </c>
      <c r="CC1393">
        <v>124000</v>
      </c>
    </row>
    <row r="1394" spans="1:81" x14ac:dyDescent="0.3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H1394" t="s">
        <v>83</v>
      </c>
      <c r="I1394" t="s">
        <v>84</v>
      </c>
      <c r="J1394" t="s">
        <v>85</v>
      </c>
      <c r="K1394" t="s">
        <v>86</v>
      </c>
      <c r="L1394" t="s">
        <v>87</v>
      </c>
      <c r="M1394" t="s">
        <v>270</v>
      </c>
      <c r="N1394" t="s">
        <v>89</v>
      </c>
      <c r="O1394" t="s">
        <v>89</v>
      </c>
      <c r="P1394" t="s">
        <v>90</v>
      </c>
      <c r="Q1394" t="s">
        <v>190</v>
      </c>
      <c r="R1394">
        <v>5</v>
      </c>
      <c r="S1394">
        <v>5</v>
      </c>
      <c r="T1394">
        <v>1967</v>
      </c>
      <c r="U1394">
        <v>1967</v>
      </c>
      <c r="V1394" t="s">
        <v>92</v>
      </c>
      <c r="W1394" t="s">
        <v>93</v>
      </c>
      <c r="X1394" t="s">
        <v>139</v>
      </c>
      <c r="Y1394" t="s">
        <v>139</v>
      </c>
      <c r="Z1394" t="s">
        <v>116</v>
      </c>
      <c r="AA1394">
        <v>0</v>
      </c>
      <c r="AB1394" t="s">
        <v>97</v>
      </c>
      <c r="AC1394" t="s">
        <v>97</v>
      </c>
      <c r="AD1394" t="s">
        <v>117</v>
      </c>
      <c r="AE1394" t="s">
        <v>97</v>
      </c>
      <c r="AF1394" t="s">
        <v>97</v>
      </c>
      <c r="AG1394" t="s">
        <v>129</v>
      </c>
      <c r="AH1394" t="s">
        <v>118</v>
      </c>
      <c r="AI1394">
        <v>769</v>
      </c>
      <c r="AJ1394" t="s">
        <v>101</v>
      </c>
      <c r="AK1394">
        <v>0</v>
      </c>
      <c r="AL1394">
        <v>95</v>
      </c>
      <c r="AM1394">
        <v>864</v>
      </c>
      <c r="AN1394" t="s">
        <v>102</v>
      </c>
      <c r="AO1394" t="s">
        <v>97</v>
      </c>
      <c r="AP1394" t="s">
        <v>104</v>
      </c>
      <c r="AQ1394" t="s">
        <v>105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97</v>
      </c>
      <c r="BC1394">
        <v>6</v>
      </c>
      <c r="BD1394" t="s">
        <v>106</v>
      </c>
      <c r="BE1394">
        <v>1</v>
      </c>
      <c r="BF1394" t="s">
        <v>211</v>
      </c>
      <c r="BG1394" t="s">
        <v>107</v>
      </c>
      <c r="BH1394">
        <v>1967</v>
      </c>
      <c r="BI1394" t="s">
        <v>108</v>
      </c>
      <c r="BJ1394">
        <v>1</v>
      </c>
      <c r="BK1394">
        <v>288</v>
      </c>
      <c r="BL1394" t="s">
        <v>97</v>
      </c>
      <c r="BM1394" t="s">
        <v>97</v>
      </c>
      <c r="BN1394" t="s">
        <v>104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V1394" t="s">
        <v>217</v>
      </c>
      <c r="BX1394">
        <v>0</v>
      </c>
      <c r="BY1394">
        <v>12</v>
      </c>
      <c r="BZ1394">
        <v>2006</v>
      </c>
      <c r="CA1394" t="s">
        <v>109</v>
      </c>
      <c r="CB1394" t="s">
        <v>110</v>
      </c>
      <c r="CC1394">
        <v>123000</v>
      </c>
    </row>
    <row r="1395" spans="1:81" x14ac:dyDescent="0.3">
      <c r="A1395">
        <v>1394</v>
      </c>
      <c r="B1395">
        <v>190</v>
      </c>
      <c r="C1395" t="s">
        <v>141</v>
      </c>
      <c r="D1395">
        <v>60</v>
      </c>
      <c r="E1395">
        <v>10800</v>
      </c>
      <c r="F1395" t="s">
        <v>82</v>
      </c>
      <c r="G1395" t="s">
        <v>82</v>
      </c>
      <c r="H1395" t="s">
        <v>83</v>
      </c>
      <c r="I1395" t="s">
        <v>84</v>
      </c>
      <c r="J1395" t="s">
        <v>85</v>
      </c>
      <c r="K1395" t="s">
        <v>86</v>
      </c>
      <c r="L1395" t="s">
        <v>87</v>
      </c>
      <c r="M1395" t="s">
        <v>142</v>
      </c>
      <c r="N1395" t="s">
        <v>89</v>
      </c>
      <c r="O1395" t="s">
        <v>89</v>
      </c>
      <c r="P1395" t="s">
        <v>148</v>
      </c>
      <c r="Q1395" t="s">
        <v>131</v>
      </c>
      <c r="R1395">
        <v>6</v>
      </c>
      <c r="S1395">
        <v>7</v>
      </c>
      <c r="T1395">
        <v>1905</v>
      </c>
      <c r="U1395">
        <v>2000</v>
      </c>
      <c r="V1395" t="s">
        <v>92</v>
      </c>
      <c r="W1395" t="s">
        <v>93</v>
      </c>
      <c r="X1395" t="s">
        <v>123</v>
      </c>
      <c r="Y1395" t="s">
        <v>123</v>
      </c>
      <c r="Z1395" t="s">
        <v>116</v>
      </c>
      <c r="AA1395">
        <v>0</v>
      </c>
      <c r="AB1395" t="s">
        <v>97</v>
      </c>
      <c r="AC1395" t="s">
        <v>97</v>
      </c>
      <c r="AD1395" t="s">
        <v>125</v>
      </c>
      <c r="AE1395" t="s">
        <v>146</v>
      </c>
      <c r="AF1395" t="s">
        <v>97</v>
      </c>
      <c r="AG1395" t="s">
        <v>99</v>
      </c>
      <c r="AH1395" t="s">
        <v>101</v>
      </c>
      <c r="AI1395">
        <v>0</v>
      </c>
      <c r="AJ1395" t="s">
        <v>101</v>
      </c>
      <c r="AK1395">
        <v>0</v>
      </c>
      <c r="AL1395">
        <v>482</v>
      </c>
      <c r="AM1395">
        <v>482</v>
      </c>
      <c r="AN1395" t="s">
        <v>102</v>
      </c>
      <c r="AO1395" t="s">
        <v>103</v>
      </c>
      <c r="AP1395" t="s">
        <v>176</v>
      </c>
      <c r="AQ1395" t="s">
        <v>105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97</v>
      </c>
      <c r="BC1395">
        <v>7</v>
      </c>
      <c r="BD1395" t="s">
        <v>106</v>
      </c>
      <c r="BE1395">
        <v>1</v>
      </c>
      <c r="BF1395" t="s">
        <v>97</v>
      </c>
      <c r="BG1395" t="s">
        <v>126</v>
      </c>
      <c r="BH1395">
        <v>2003</v>
      </c>
      <c r="BI1395" t="s">
        <v>101</v>
      </c>
      <c r="BJ1395">
        <v>2</v>
      </c>
      <c r="BK1395">
        <v>672</v>
      </c>
      <c r="BL1395" t="s">
        <v>96</v>
      </c>
      <c r="BM1395" t="s">
        <v>97</v>
      </c>
      <c r="BN1395" t="s">
        <v>104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X1395">
        <v>0</v>
      </c>
      <c r="BY1395">
        <v>4</v>
      </c>
      <c r="BZ1395">
        <v>2008</v>
      </c>
      <c r="CA1395" t="s">
        <v>109</v>
      </c>
      <c r="CB1395" t="s">
        <v>110</v>
      </c>
      <c r="CC1395">
        <v>163000</v>
      </c>
    </row>
    <row r="1396" spans="1:81" x14ac:dyDescent="0.3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H1396" t="s">
        <v>83</v>
      </c>
      <c r="I1396" t="s">
        <v>84</v>
      </c>
      <c r="J1396" t="s">
        <v>85</v>
      </c>
      <c r="K1396" t="s">
        <v>86</v>
      </c>
      <c r="L1396" t="s">
        <v>87</v>
      </c>
      <c r="M1396" t="s">
        <v>226</v>
      </c>
      <c r="N1396" t="s">
        <v>89</v>
      </c>
      <c r="O1396" t="s">
        <v>89</v>
      </c>
      <c r="P1396" t="s">
        <v>178</v>
      </c>
      <c r="Q1396" t="s">
        <v>114</v>
      </c>
      <c r="R1396">
        <v>7</v>
      </c>
      <c r="S1396">
        <v>5</v>
      </c>
      <c r="T1396">
        <v>2006</v>
      </c>
      <c r="U1396">
        <v>2006</v>
      </c>
      <c r="V1396" t="s">
        <v>151</v>
      </c>
      <c r="W1396" t="s">
        <v>93</v>
      </c>
      <c r="X1396" t="s">
        <v>94</v>
      </c>
      <c r="Y1396" t="s">
        <v>94</v>
      </c>
      <c r="Z1396" t="s">
        <v>95</v>
      </c>
      <c r="AA1396">
        <v>45</v>
      </c>
      <c r="AB1396" t="s">
        <v>96</v>
      </c>
      <c r="AC1396" t="s">
        <v>97</v>
      </c>
      <c r="AD1396" t="s">
        <v>98</v>
      </c>
      <c r="AE1396" t="s">
        <v>96</v>
      </c>
      <c r="AF1396" t="s">
        <v>97</v>
      </c>
      <c r="AG1396" t="s">
        <v>129</v>
      </c>
      <c r="AH1396" t="s">
        <v>100</v>
      </c>
      <c r="AI1396">
        <v>1070</v>
      </c>
      <c r="AJ1396" t="s">
        <v>101</v>
      </c>
      <c r="AK1396">
        <v>0</v>
      </c>
      <c r="AL1396">
        <v>286</v>
      </c>
      <c r="AM1396">
        <v>1356</v>
      </c>
      <c r="AN1396" t="s">
        <v>102</v>
      </c>
      <c r="AO1396" t="s">
        <v>103</v>
      </c>
      <c r="AP1396" t="s">
        <v>104</v>
      </c>
      <c r="AQ1396" t="s">
        <v>105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96</v>
      </c>
      <c r="BC1396">
        <v>6</v>
      </c>
      <c r="BD1396" t="s">
        <v>106</v>
      </c>
      <c r="BE1396">
        <v>1</v>
      </c>
      <c r="BF1396" t="s">
        <v>96</v>
      </c>
      <c r="BG1396" t="s">
        <v>107</v>
      </c>
      <c r="BH1396">
        <v>2006</v>
      </c>
      <c r="BI1396" t="s">
        <v>156</v>
      </c>
      <c r="BJ1396">
        <v>3</v>
      </c>
      <c r="BK1396">
        <v>648</v>
      </c>
      <c r="BL1396" t="s">
        <v>97</v>
      </c>
      <c r="BM1396" t="s">
        <v>97</v>
      </c>
      <c r="BN1396" t="s">
        <v>104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X1396">
        <v>0</v>
      </c>
      <c r="BY1396">
        <v>10</v>
      </c>
      <c r="BZ1396">
        <v>2006</v>
      </c>
      <c r="CA1396" t="s">
        <v>157</v>
      </c>
      <c r="CB1396" t="s">
        <v>158</v>
      </c>
      <c r="CC1396">
        <v>246578</v>
      </c>
    </row>
    <row r="1397" spans="1:81" x14ac:dyDescent="0.3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H1397" t="s">
        <v>119</v>
      </c>
      <c r="I1397" t="s">
        <v>84</v>
      </c>
      <c r="J1397" t="s">
        <v>85</v>
      </c>
      <c r="K1397" t="s">
        <v>86</v>
      </c>
      <c r="L1397" t="s">
        <v>87</v>
      </c>
      <c r="M1397" t="s">
        <v>188</v>
      </c>
      <c r="N1397" t="s">
        <v>89</v>
      </c>
      <c r="O1397" t="s">
        <v>89</v>
      </c>
      <c r="P1397" t="s">
        <v>90</v>
      </c>
      <c r="Q1397" t="s">
        <v>91</v>
      </c>
      <c r="R1397">
        <v>8</v>
      </c>
      <c r="S1397">
        <v>5</v>
      </c>
      <c r="T1397">
        <v>2005</v>
      </c>
      <c r="U1397">
        <v>2006</v>
      </c>
      <c r="V1397" t="s">
        <v>151</v>
      </c>
      <c r="W1397" t="s">
        <v>93</v>
      </c>
      <c r="X1397" t="s">
        <v>94</v>
      </c>
      <c r="Y1397" t="s">
        <v>94</v>
      </c>
      <c r="Z1397" t="s">
        <v>95</v>
      </c>
      <c r="AA1397">
        <v>245</v>
      </c>
      <c r="AB1397" t="s">
        <v>96</v>
      </c>
      <c r="AC1397" t="s">
        <v>97</v>
      </c>
      <c r="AD1397" t="s">
        <v>98</v>
      </c>
      <c r="AE1397" t="s">
        <v>96</v>
      </c>
      <c r="AF1397" t="s">
        <v>96</v>
      </c>
      <c r="AG1397" t="s">
        <v>96</v>
      </c>
      <c r="AH1397" t="s">
        <v>101</v>
      </c>
      <c r="AI1397">
        <v>0</v>
      </c>
      <c r="AJ1397" t="s">
        <v>101</v>
      </c>
      <c r="AK1397">
        <v>0</v>
      </c>
      <c r="AL1397">
        <v>1094</v>
      </c>
      <c r="AM1397">
        <v>1094</v>
      </c>
      <c r="AN1397" t="s">
        <v>102</v>
      </c>
      <c r="AO1397" t="s">
        <v>103</v>
      </c>
      <c r="AP1397" t="s">
        <v>104</v>
      </c>
      <c r="AQ1397" t="s">
        <v>105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96</v>
      </c>
      <c r="BC1397">
        <v>9</v>
      </c>
      <c r="BD1397" t="s">
        <v>106</v>
      </c>
      <c r="BE1397">
        <v>1</v>
      </c>
      <c r="BF1397" t="s">
        <v>96</v>
      </c>
      <c r="BG1397" t="s">
        <v>155</v>
      </c>
      <c r="BH1397">
        <v>2005</v>
      </c>
      <c r="BI1397" t="s">
        <v>156</v>
      </c>
      <c r="BJ1397">
        <v>3</v>
      </c>
      <c r="BK1397">
        <v>642</v>
      </c>
      <c r="BL1397" t="s">
        <v>97</v>
      </c>
      <c r="BM1397" t="s">
        <v>97</v>
      </c>
      <c r="BN1397" t="s">
        <v>104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X1397">
        <v>0</v>
      </c>
      <c r="BY1397">
        <v>2</v>
      </c>
      <c r="BZ1397">
        <v>2007</v>
      </c>
      <c r="CA1397" t="s">
        <v>109</v>
      </c>
      <c r="CB1397" t="s">
        <v>110</v>
      </c>
      <c r="CC1397">
        <v>281213</v>
      </c>
    </row>
    <row r="1398" spans="1:81" x14ac:dyDescent="0.3">
      <c r="A1398">
        <v>1397</v>
      </c>
      <c r="B1398">
        <v>20</v>
      </c>
      <c r="C1398" t="s">
        <v>81</v>
      </c>
      <c r="E1398">
        <v>57200</v>
      </c>
      <c r="F1398" t="s">
        <v>82</v>
      </c>
      <c r="H1398" t="s">
        <v>119</v>
      </c>
      <c r="I1398" t="s">
        <v>174</v>
      </c>
      <c r="J1398" t="s">
        <v>85</v>
      </c>
      <c r="K1398" t="s">
        <v>86</v>
      </c>
      <c r="L1398" t="s">
        <v>212</v>
      </c>
      <c r="M1398" t="s">
        <v>188</v>
      </c>
      <c r="N1398" t="s">
        <v>89</v>
      </c>
      <c r="O1398" t="s">
        <v>89</v>
      </c>
      <c r="P1398" t="s">
        <v>90</v>
      </c>
      <c r="Q1398" t="s">
        <v>114</v>
      </c>
      <c r="R1398">
        <v>5</v>
      </c>
      <c r="S1398">
        <v>5</v>
      </c>
      <c r="T1398">
        <v>1948</v>
      </c>
      <c r="U1398">
        <v>1950</v>
      </c>
      <c r="V1398" t="s">
        <v>92</v>
      </c>
      <c r="W1398" t="s">
        <v>93</v>
      </c>
      <c r="X1398" t="s">
        <v>123</v>
      </c>
      <c r="Y1398" t="s">
        <v>123</v>
      </c>
      <c r="Z1398" t="s">
        <v>116</v>
      </c>
      <c r="AA1398">
        <v>0</v>
      </c>
      <c r="AB1398" t="s">
        <v>97</v>
      </c>
      <c r="AC1398" t="s">
        <v>97</v>
      </c>
      <c r="AD1398" t="s">
        <v>117</v>
      </c>
      <c r="AE1398" t="s">
        <v>97</v>
      </c>
      <c r="AF1398" t="s">
        <v>97</v>
      </c>
      <c r="AG1398" t="s">
        <v>129</v>
      </c>
      <c r="AH1398" t="s">
        <v>140</v>
      </c>
      <c r="AI1398">
        <v>353</v>
      </c>
      <c r="AJ1398" t="s">
        <v>152</v>
      </c>
      <c r="AK1398">
        <v>334</v>
      </c>
      <c r="AL1398">
        <v>60</v>
      </c>
      <c r="AM1398">
        <v>747</v>
      </c>
      <c r="AN1398" t="s">
        <v>102</v>
      </c>
      <c r="AO1398" t="s">
        <v>97</v>
      </c>
      <c r="AP1398" t="s">
        <v>104</v>
      </c>
      <c r="AQ1398" t="s">
        <v>105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97</v>
      </c>
      <c r="BC1398">
        <v>7</v>
      </c>
      <c r="BD1398" t="s">
        <v>145</v>
      </c>
      <c r="BE1398">
        <v>2</v>
      </c>
      <c r="BF1398" t="s">
        <v>97</v>
      </c>
      <c r="BG1398" t="s">
        <v>126</v>
      </c>
      <c r="BH1398">
        <v>1966</v>
      </c>
      <c r="BI1398" t="s">
        <v>101</v>
      </c>
      <c r="BJ1398">
        <v>2</v>
      </c>
      <c r="BK1398">
        <v>572</v>
      </c>
      <c r="BL1398" t="s">
        <v>97</v>
      </c>
      <c r="BM1398" t="s">
        <v>97</v>
      </c>
      <c r="BN1398" t="s">
        <v>176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X1398">
        <v>0</v>
      </c>
      <c r="BY1398">
        <v>6</v>
      </c>
      <c r="BZ1398">
        <v>2010</v>
      </c>
      <c r="CA1398" t="s">
        <v>109</v>
      </c>
      <c r="CB1398" t="s">
        <v>110</v>
      </c>
      <c r="CC1398">
        <v>160000</v>
      </c>
    </row>
    <row r="1399" spans="1:81" x14ac:dyDescent="0.3">
      <c r="A1399">
        <v>1398</v>
      </c>
      <c r="B1399">
        <v>70</v>
      </c>
      <c r="C1399" t="s">
        <v>141</v>
      </c>
      <c r="D1399">
        <v>51</v>
      </c>
      <c r="E1399">
        <v>6120</v>
      </c>
      <c r="F1399" t="s">
        <v>82</v>
      </c>
      <c r="H1399" t="s">
        <v>83</v>
      </c>
      <c r="I1399" t="s">
        <v>84</v>
      </c>
      <c r="J1399" t="s">
        <v>85</v>
      </c>
      <c r="K1399" t="s">
        <v>86</v>
      </c>
      <c r="L1399" t="s">
        <v>87</v>
      </c>
      <c r="M1399" t="s">
        <v>147</v>
      </c>
      <c r="N1399" t="s">
        <v>89</v>
      </c>
      <c r="O1399" t="s">
        <v>89</v>
      </c>
      <c r="P1399" t="s">
        <v>90</v>
      </c>
      <c r="Q1399" t="s">
        <v>91</v>
      </c>
      <c r="R1399">
        <v>5</v>
      </c>
      <c r="S1399">
        <v>8</v>
      </c>
      <c r="T1399">
        <v>1920</v>
      </c>
      <c r="U1399">
        <v>2004</v>
      </c>
      <c r="V1399" t="s">
        <v>92</v>
      </c>
      <c r="W1399" t="s">
        <v>93</v>
      </c>
      <c r="X1399" t="s">
        <v>115</v>
      </c>
      <c r="Y1399" t="s">
        <v>115</v>
      </c>
      <c r="Z1399" t="s">
        <v>116</v>
      </c>
      <c r="AA1399">
        <v>0</v>
      </c>
      <c r="AB1399" t="s">
        <v>97</v>
      </c>
      <c r="AC1399" t="s">
        <v>97</v>
      </c>
      <c r="AD1399" t="s">
        <v>125</v>
      </c>
      <c r="AE1399" t="s">
        <v>97</v>
      </c>
      <c r="AF1399" t="s">
        <v>97</v>
      </c>
      <c r="AG1399" t="s">
        <v>120</v>
      </c>
      <c r="AH1399" t="s">
        <v>101</v>
      </c>
      <c r="AI1399">
        <v>0</v>
      </c>
      <c r="AJ1399" t="s">
        <v>101</v>
      </c>
      <c r="AK1399">
        <v>0</v>
      </c>
      <c r="AL1399">
        <v>939</v>
      </c>
      <c r="AM1399">
        <v>939</v>
      </c>
      <c r="AN1399" t="s">
        <v>102</v>
      </c>
      <c r="AO1399" t="s">
        <v>103</v>
      </c>
      <c r="AP1399" t="s">
        <v>104</v>
      </c>
      <c r="AQ1399" t="s">
        <v>105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97</v>
      </c>
      <c r="BC1399">
        <v>8</v>
      </c>
      <c r="BD1399" t="s">
        <v>106</v>
      </c>
      <c r="BE1399">
        <v>0</v>
      </c>
      <c r="BG1399" t="s">
        <v>126</v>
      </c>
      <c r="BH1399">
        <v>1933</v>
      </c>
      <c r="BI1399" t="s">
        <v>101</v>
      </c>
      <c r="BJ1399">
        <v>1</v>
      </c>
      <c r="BK1399">
        <v>180</v>
      </c>
      <c r="BL1399" t="s">
        <v>146</v>
      </c>
      <c r="BM1399" t="s">
        <v>146</v>
      </c>
      <c r="BN1399" t="s">
        <v>176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X1399">
        <v>0</v>
      </c>
      <c r="BY1399">
        <v>5</v>
      </c>
      <c r="BZ1399">
        <v>2007</v>
      </c>
      <c r="CA1399" t="s">
        <v>109</v>
      </c>
      <c r="CB1399" t="s">
        <v>110</v>
      </c>
      <c r="CC1399">
        <v>137500</v>
      </c>
    </row>
    <row r="1400" spans="1:81" x14ac:dyDescent="0.3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H1400" t="s">
        <v>83</v>
      </c>
      <c r="I1400" t="s">
        <v>84</v>
      </c>
      <c r="J1400" t="s">
        <v>85</v>
      </c>
      <c r="K1400" t="s">
        <v>86</v>
      </c>
      <c r="L1400" t="s">
        <v>87</v>
      </c>
      <c r="M1400" t="s">
        <v>270</v>
      </c>
      <c r="N1400" t="s">
        <v>89</v>
      </c>
      <c r="O1400" t="s">
        <v>89</v>
      </c>
      <c r="P1400" t="s">
        <v>90</v>
      </c>
      <c r="Q1400" t="s">
        <v>131</v>
      </c>
      <c r="R1400">
        <v>5</v>
      </c>
      <c r="S1400">
        <v>4</v>
      </c>
      <c r="T1400">
        <v>1950</v>
      </c>
      <c r="U1400">
        <v>1982</v>
      </c>
      <c r="V1400" t="s">
        <v>92</v>
      </c>
      <c r="W1400" t="s">
        <v>93</v>
      </c>
      <c r="X1400" t="s">
        <v>94</v>
      </c>
      <c r="Y1400" t="s">
        <v>123</v>
      </c>
      <c r="Z1400" t="s">
        <v>116</v>
      </c>
      <c r="AA1400">
        <v>0</v>
      </c>
      <c r="AB1400" t="s">
        <v>97</v>
      </c>
      <c r="AC1400" t="s">
        <v>97</v>
      </c>
      <c r="AD1400" t="s">
        <v>117</v>
      </c>
      <c r="AE1400" t="s">
        <v>97</v>
      </c>
      <c r="AF1400" t="s">
        <v>97</v>
      </c>
      <c r="AG1400" t="s">
        <v>99</v>
      </c>
      <c r="AH1400" t="s">
        <v>152</v>
      </c>
      <c r="AI1400">
        <v>180</v>
      </c>
      <c r="AJ1400" t="s">
        <v>140</v>
      </c>
      <c r="AK1400">
        <v>352</v>
      </c>
      <c r="AL1400">
        <v>676</v>
      </c>
      <c r="AM1400">
        <v>1208</v>
      </c>
      <c r="AN1400" t="s">
        <v>102</v>
      </c>
      <c r="AO1400" t="s">
        <v>96</v>
      </c>
      <c r="AP1400" t="s">
        <v>104</v>
      </c>
      <c r="AQ1400" t="s">
        <v>163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97</v>
      </c>
      <c r="BC1400">
        <v>7</v>
      </c>
      <c r="BD1400" t="s">
        <v>145</v>
      </c>
      <c r="BE1400">
        <v>0</v>
      </c>
      <c r="BG1400" t="s">
        <v>107</v>
      </c>
      <c r="BH1400">
        <v>1950</v>
      </c>
      <c r="BI1400" t="s">
        <v>101</v>
      </c>
      <c r="BJ1400">
        <v>1</v>
      </c>
      <c r="BK1400">
        <v>240</v>
      </c>
      <c r="BL1400" t="s">
        <v>97</v>
      </c>
      <c r="BM1400" t="s">
        <v>97</v>
      </c>
      <c r="BN1400" t="s">
        <v>104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V1400" t="s">
        <v>164</v>
      </c>
      <c r="BX1400">
        <v>0</v>
      </c>
      <c r="BY1400">
        <v>5</v>
      </c>
      <c r="BZ1400">
        <v>2009</v>
      </c>
      <c r="CA1400" t="s">
        <v>109</v>
      </c>
      <c r="CB1400" t="s">
        <v>110</v>
      </c>
      <c r="CC1400">
        <v>138000</v>
      </c>
    </row>
    <row r="1401" spans="1:81" x14ac:dyDescent="0.3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H1401" t="s">
        <v>83</v>
      </c>
      <c r="I1401" t="s">
        <v>84</v>
      </c>
      <c r="J1401" t="s">
        <v>85</v>
      </c>
      <c r="K1401" t="s">
        <v>86</v>
      </c>
      <c r="L1401" t="s">
        <v>87</v>
      </c>
      <c r="M1401" t="s">
        <v>231</v>
      </c>
      <c r="N1401" t="s">
        <v>89</v>
      </c>
      <c r="O1401" t="s">
        <v>89</v>
      </c>
      <c r="P1401" t="s">
        <v>90</v>
      </c>
      <c r="Q1401" t="s">
        <v>131</v>
      </c>
      <c r="R1401">
        <v>6</v>
      </c>
      <c r="S1401">
        <v>6</v>
      </c>
      <c r="T1401">
        <v>1925</v>
      </c>
      <c r="U1401">
        <v>1990</v>
      </c>
      <c r="V1401" t="s">
        <v>92</v>
      </c>
      <c r="W1401" t="s">
        <v>93</v>
      </c>
      <c r="X1401" t="s">
        <v>154</v>
      </c>
      <c r="Y1401" t="s">
        <v>124</v>
      </c>
      <c r="Z1401" t="s">
        <v>116</v>
      </c>
      <c r="AA1401">
        <v>0</v>
      </c>
      <c r="AB1401" t="s">
        <v>97</v>
      </c>
      <c r="AC1401" t="s">
        <v>97</v>
      </c>
      <c r="AD1401" t="s">
        <v>125</v>
      </c>
      <c r="AE1401" t="s">
        <v>97</v>
      </c>
      <c r="AF1401" t="s">
        <v>97</v>
      </c>
      <c r="AG1401" t="s">
        <v>99</v>
      </c>
      <c r="AH1401" t="s">
        <v>140</v>
      </c>
      <c r="AI1401">
        <v>264</v>
      </c>
      <c r="AJ1401" t="s">
        <v>101</v>
      </c>
      <c r="AK1401">
        <v>0</v>
      </c>
      <c r="AL1401">
        <v>712</v>
      </c>
      <c r="AM1401">
        <v>976</v>
      </c>
      <c r="AN1401" t="s">
        <v>102</v>
      </c>
      <c r="AO1401" t="s">
        <v>103</v>
      </c>
      <c r="AP1401" t="s">
        <v>104</v>
      </c>
      <c r="AQ1401" t="s">
        <v>105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96</v>
      </c>
      <c r="BC1401">
        <v>7</v>
      </c>
      <c r="BD1401" t="s">
        <v>106</v>
      </c>
      <c r="BE1401">
        <v>1</v>
      </c>
      <c r="BF1401" t="s">
        <v>96</v>
      </c>
      <c r="BG1401" t="s">
        <v>126</v>
      </c>
      <c r="BH1401">
        <v>1925</v>
      </c>
      <c r="BI1401" t="s">
        <v>101</v>
      </c>
      <c r="BJ1401">
        <v>1</v>
      </c>
      <c r="BK1401">
        <v>216</v>
      </c>
      <c r="BL1401" t="s">
        <v>146</v>
      </c>
      <c r="BM1401" t="s">
        <v>97</v>
      </c>
      <c r="BN1401" t="s">
        <v>104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V1401" t="s">
        <v>133</v>
      </c>
      <c r="BX1401">
        <v>0</v>
      </c>
      <c r="BY1401">
        <v>10</v>
      </c>
      <c r="BZ1401">
        <v>2009</v>
      </c>
      <c r="CA1401" t="s">
        <v>109</v>
      </c>
      <c r="CB1401" t="s">
        <v>110</v>
      </c>
      <c r="CC1401">
        <v>137450</v>
      </c>
    </row>
    <row r="1402" spans="1:81" x14ac:dyDescent="0.3">
      <c r="A1402">
        <v>1401</v>
      </c>
      <c r="B1402">
        <v>50</v>
      </c>
      <c r="C1402" t="s">
        <v>141</v>
      </c>
      <c r="D1402">
        <v>50</v>
      </c>
      <c r="E1402">
        <v>6000</v>
      </c>
      <c r="F1402" t="s">
        <v>82</v>
      </c>
      <c r="H1402" t="s">
        <v>83</v>
      </c>
      <c r="I1402" t="s">
        <v>84</v>
      </c>
      <c r="J1402" t="s">
        <v>85</v>
      </c>
      <c r="K1402" t="s">
        <v>121</v>
      </c>
      <c r="L1402" t="s">
        <v>87</v>
      </c>
      <c r="M1402" t="s">
        <v>147</v>
      </c>
      <c r="N1402" t="s">
        <v>89</v>
      </c>
      <c r="O1402" t="s">
        <v>89</v>
      </c>
      <c r="P1402" t="s">
        <v>90</v>
      </c>
      <c r="Q1402" t="s">
        <v>131</v>
      </c>
      <c r="R1402">
        <v>6</v>
      </c>
      <c r="S1402">
        <v>7</v>
      </c>
      <c r="T1402">
        <v>1929</v>
      </c>
      <c r="U1402">
        <v>1950</v>
      </c>
      <c r="V1402" t="s">
        <v>92</v>
      </c>
      <c r="W1402" t="s">
        <v>93</v>
      </c>
      <c r="X1402" t="s">
        <v>154</v>
      </c>
      <c r="Y1402" t="s">
        <v>124</v>
      </c>
      <c r="Z1402" t="s">
        <v>116</v>
      </c>
      <c r="AA1402">
        <v>0</v>
      </c>
      <c r="AB1402" t="s">
        <v>97</v>
      </c>
      <c r="AC1402" t="s">
        <v>97</v>
      </c>
      <c r="AD1402" t="s">
        <v>125</v>
      </c>
      <c r="AE1402" t="s">
        <v>97</v>
      </c>
      <c r="AF1402" t="s">
        <v>97</v>
      </c>
      <c r="AG1402" t="s">
        <v>99</v>
      </c>
      <c r="AH1402" t="s">
        <v>101</v>
      </c>
      <c r="AI1402">
        <v>0</v>
      </c>
      <c r="AJ1402" t="s">
        <v>101</v>
      </c>
      <c r="AK1402">
        <v>0</v>
      </c>
      <c r="AL1402">
        <v>862</v>
      </c>
      <c r="AM1402">
        <v>862</v>
      </c>
      <c r="AN1402" t="s">
        <v>102</v>
      </c>
      <c r="AO1402" t="s">
        <v>97</v>
      </c>
      <c r="AP1402" t="s">
        <v>104</v>
      </c>
      <c r="AQ1402" t="s">
        <v>105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97</v>
      </c>
      <c r="BC1402">
        <v>5</v>
      </c>
      <c r="BD1402" t="s">
        <v>106</v>
      </c>
      <c r="BE1402">
        <v>1</v>
      </c>
      <c r="BF1402" t="s">
        <v>96</v>
      </c>
      <c r="BG1402" t="s">
        <v>155</v>
      </c>
      <c r="BH1402">
        <v>1929</v>
      </c>
      <c r="BI1402" t="s">
        <v>108</v>
      </c>
      <c r="BJ1402">
        <v>1</v>
      </c>
      <c r="BK1402">
        <v>208</v>
      </c>
      <c r="BL1402" t="s">
        <v>97</v>
      </c>
      <c r="BM1402" t="s">
        <v>97</v>
      </c>
      <c r="BN1402" t="s">
        <v>104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X1402">
        <v>0</v>
      </c>
      <c r="BY1402">
        <v>7</v>
      </c>
      <c r="BZ1402">
        <v>2008</v>
      </c>
      <c r="CA1402" t="s">
        <v>109</v>
      </c>
      <c r="CB1402" t="s">
        <v>110</v>
      </c>
      <c r="CC1402">
        <v>120000</v>
      </c>
    </row>
    <row r="1403" spans="1:81" x14ac:dyDescent="0.3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H1403" t="s">
        <v>119</v>
      </c>
      <c r="I1403" t="s">
        <v>84</v>
      </c>
      <c r="J1403" t="s">
        <v>85</v>
      </c>
      <c r="K1403" t="s">
        <v>86</v>
      </c>
      <c r="L1403" t="s">
        <v>87</v>
      </c>
      <c r="M1403" t="s">
        <v>192</v>
      </c>
      <c r="N1403" t="s">
        <v>89</v>
      </c>
      <c r="O1403" t="s">
        <v>89</v>
      </c>
      <c r="P1403" t="s">
        <v>90</v>
      </c>
      <c r="Q1403" t="s">
        <v>91</v>
      </c>
      <c r="R1403">
        <v>6</v>
      </c>
      <c r="S1403">
        <v>5</v>
      </c>
      <c r="T1403">
        <v>2004</v>
      </c>
      <c r="U1403">
        <v>2004</v>
      </c>
      <c r="V1403" t="s">
        <v>92</v>
      </c>
      <c r="W1403" t="s">
        <v>93</v>
      </c>
      <c r="X1403" t="s">
        <v>94</v>
      </c>
      <c r="Y1403" t="s">
        <v>94</v>
      </c>
      <c r="Z1403" t="s">
        <v>116</v>
      </c>
      <c r="AA1403">
        <v>0</v>
      </c>
      <c r="AB1403" t="s">
        <v>97</v>
      </c>
      <c r="AC1403" t="s">
        <v>97</v>
      </c>
      <c r="AD1403" t="s">
        <v>98</v>
      </c>
      <c r="AE1403" t="s">
        <v>97</v>
      </c>
      <c r="AF1403" t="s">
        <v>97</v>
      </c>
      <c r="AG1403" t="s">
        <v>99</v>
      </c>
      <c r="AH1403" t="s">
        <v>100</v>
      </c>
      <c r="AI1403">
        <v>759</v>
      </c>
      <c r="AJ1403" t="s">
        <v>101</v>
      </c>
      <c r="AK1403">
        <v>0</v>
      </c>
      <c r="AL1403">
        <v>80</v>
      </c>
      <c r="AM1403">
        <v>839</v>
      </c>
      <c r="AN1403" t="s">
        <v>102</v>
      </c>
      <c r="AO1403" t="s">
        <v>103</v>
      </c>
      <c r="AP1403" t="s">
        <v>104</v>
      </c>
      <c r="AQ1403" t="s">
        <v>105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97</v>
      </c>
      <c r="BC1403">
        <v>8</v>
      </c>
      <c r="BD1403" t="s">
        <v>106</v>
      </c>
      <c r="BE1403">
        <v>1</v>
      </c>
      <c r="BF1403" t="s">
        <v>97</v>
      </c>
      <c r="BG1403" t="s">
        <v>107</v>
      </c>
      <c r="BH1403">
        <v>2004</v>
      </c>
      <c r="BI1403" t="s">
        <v>156</v>
      </c>
      <c r="BJ1403">
        <v>2</v>
      </c>
      <c r="BK1403">
        <v>398</v>
      </c>
      <c r="BL1403" t="s">
        <v>97</v>
      </c>
      <c r="BM1403" t="s">
        <v>97</v>
      </c>
      <c r="BN1403" t="s">
        <v>104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X1403">
        <v>0</v>
      </c>
      <c r="BY1403">
        <v>4</v>
      </c>
      <c r="BZ1403">
        <v>2008</v>
      </c>
      <c r="CA1403" t="s">
        <v>109</v>
      </c>
      <c r="CB1403" t="s">
        <v>110</v>
      </c>
      <c r="CC1403">
        <v>193000</v>
      </c>
    </row>
    <row r="1404" spans="1:81" x14ac:dyDescent="0.3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H1404" t="s">
        <v>83</v>
      </c>
      <c r="I1404" t="s">
        <v>84</v>
      </c>
      <c r="J1404" t="s">
        <v>85</v>
      </c>
      <c r="K1404" t="s">
        <v>86</v>
      </c>
      <c r="L1404" t="s">
        <v>87</v>
      </c>
      <c r="M1404" t="s">
        <v>88</v>
      </c>
      <c r="N1404" t="s">
        <v>89</v>
      </c>
      <c r="O1404" t="s">
        <v>89</v>
      </c>
      <c r="P1404" t="s">
        <v>90</v>
      </c>
      <c r="Q1404" t="s">
        <v>114</v>
      </c>
      <c r="R1404">
        <v>7</v>
      </c>
      <c r="S1404">
        <v>5</v>
      </c>
      <c r="T1404">
        <v>2006</v>
      </c>
      <c r="U1404">
        <v>2006</v>
      </c>
      <c r="V1404" t="s">
        <v>92</v>
      </c>
      <c r="W1404" t="s">
        <v>93</v>
      </c>
      <c r="X1404" t="s">
        <v>94</v>
      </c>
      <c r="Y1404" t="s">
        <v>94</v>
      </c>
      <c r="Z1404" t="s">
        <v>116</v>
      </c>
      <c r="AA1404">
        <v>0</v>
      </c>
      <c r="AB1404" t="s">
        <v>96</v>
      </c>
      <c r="AC1404" t="s">
        <v>97</v>
      </c>
      <c r="AD1404" t="s">
        <v>98</v>
      </c>
      <c r="AE1404" t="s">
        <v>96</v>
      </c>
      <c r="AF1404" t="s">
        <v>96</v>
      </c>
      <c r="AG1404" t="s">
        <v>129</v>
      </c>
      <c r="AH1404" t="s">
        <v>101</v>
      </c>
      <c r="AI1404">
        <v>0</v>
      </c>
      <c r="AJ1404" t="s">
        <v>101</v>
      </c>
      <c r="AK1404">
        <v>0</v>
      </c>
      <c r="AL1404">
        <v>1286</v>
      </c>
      <c r="AM1404">
        <v>1286</v>
      </c>
      <c r="AN1404" t="s">
        <v>102</v>
      </c>
      <c r="AO1404" t="s">
        <v>103</v>
      </c>
      <c r="AP1404" t="s">
        <v>104</v>
      </c>
      <c r="AQ1404" t="s">
        <v>105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96</v>
      </c>
      <c r="BC1404">
        <v>6</v>
      </c>
      <c r="BD1404" t="s">
        <v>106</v>
      </c>
      <c r="BE1404">
        <v>1</v>
      </c>
      <c r="BF1404" t="s">
        <v>96</v>
      </c>
      <c r="BG1404" t="s">
        <v>107</v>
      </c>
      <c r="BH1404">
        <v>2006</v>
      </c>
      <c r="BI1404" t="s">
        <v>108</v>
      </c>
      <c r="BJ1404">
        <v>2</v>
      </c>
      <c r="BK1404">
        <v>662</v>
      </c>
      <c r="BL1404" t="s">
        <v>97</v>
      </c>
      <c r="BM1404" t="s">
        <v>97</v>
      </c>
      <c r="BN1404" t="s">
        <v>104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X1404">
        <v>0</v>
      </c>
      <c r="BY1404">
        <v>7</v>
      </c>
      <c r="BZ1404">
        <v>2006</v>
      </c>
      <c r="CA1404" t="s">
        <v>157</v>
      </c>
      <c r="CB1404" t="s">
        <v>158</v>
      </c>
      <c r="CC1404">
        <v>193879</v>
      </c>
    </row>
    <row r="1405" spans="1:81" x14ac:dyDescent="0.3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H1405" t="s">
        <v>119</v>
      </c>
      <c r="I1405" t="s">
        <v>84</v>
      </c>
      <c r="J1405" t="s">
        <v>85</v>
      </c>
      <c r="K1405" t="s">
        <v>165</v>
      </c>
      <c r="L1405" t="s">
        <v>87</v>
      </c>
      <c r="M1405" t="s">
        <v>135</v>
      </c>
      <c r="N1405" t="s">
        <v>201</v>
      </c>
      <c r="O1405" t="s">
        <v>89</v>
      </c>
      <c r="P1405" t="s">
        <v>90</v>
      </c>
      <c r="Q1405" t="s">
        <v>114</v>
      </c>
      <c r="R1405">
        <v>8</v>
      </c>
      <c r="S1405">
        <v>5</v>
      </c>
      <c r="T1405">
        <v>2007</v>
      </c>
      <c r="U1405">
        <v>2007</v>
      </c>
      <c r="V1405" t="s">
        <v>92</v>
      </c>
      <c r="W1405" t="s">
        <v>93</v>
      </c>
      <c r="X1405" t="s">
        <v>94</v>
      </c>
      <c r="Y1405" t="s">
        <v>94</v>
      </c>
      <c r="Z1405" t="s">
        <v>136</v>
      </c>
      <c r="AA1405">
        <v>84</v>
      </c>
      <c r="AB1405" t="s">
        <v>96</v>
      </c>
      <c r="AC1405" t="s">
        <v>97</v>
      </c>
      <c r="AD1405" t="s">
        <v>98</v>
      </c>
      <c r="AE1405" t="s">
        <v>96</v>
      </c>
      <c r="AF1405" t="s">
        <v>97</v>
      </c>
      <c r="AG1405" t="s">
        <v>96</v>
      </c>
      <c r="AH1405" t="s">
        <v>100</v>
      </c>
      <c r="AI1405">
        <v>929</v>
      </c>
      <c r="AJ1405" t="s">
        <v>101</v>
      </c>
      <c r="AK1405">
        <v>0</v>
      </c>
      <c r="AL1405">
        <v>556</v>
      </c>
      <c r="AM1405">
        <v>1485</v>
      </c>
      <c r="AN1405" t="s">
        <v>102</v>
      </c>
      <c r="AO1405" t="s">
        <v>103</v>
      </c>
      <c r="AP1405" t="s">
        <v>104</v>
      </c>
      <c r="AQ1405" t="s">
        <v>105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96</v>
      </c>
      <c r="BC1405">
        <v>6</v>
      </c>
      <c r="BD1405" t="s">
        <v>106</v>
      </c>
      <c r="BE1405">
        <v>0</v>
      </c>
      <c r="BG1405" t="s">
        <v>107</v>
      </c>
      <c r="BH1405">
        <v>2007</v>
      </c>
      <c r="BI1405" t="s">
        <v>101</v>
      </c>
      <c r="BJ1405">
        <v>3</v>
      </c>
      <c r="BK1405">
        <v>754</v>
      </c>
      <c r="BL1405" t="s">
        <v>97</v>
      </c>
      <c r="BM1405" t="s">
        <v>97</v>
      </c>
      <c r="BN1405" t="s">
        <v>104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X1405">
        <v>0</v>
      </c>
      <c r="BY1405">
        <v>8</v>
      </c>
      <c r="BZ1405">
        <v>2007</v>
      </c>
      <c r="CA1405" t="s">
        <v>109</v>
      </c>
      <c r="CB1405" t="s">
        <v>110</v>
      </c>
      <c r="CC1405">
        <v>282922</v>
      </c>
    </row>
    <row r="1406" spans="1:81" x14ac:dyDescent="0.3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173</v>
      </c>
      <c r="H1406" t="s">
        <v>83</v>
      </c>
      <c r="I1406" t="s">
        <v>84</v>
      </c>
      <c r="J1406" t="s">
        <v>85</v>
      </c>
      <c r="K1406" t="s">
        <v>121</v>
      </c>
      <c r="L1406" t="s">
        <v>87</v>
      </c>
      <c r="M1406" t="s">
        <v>142</v>
      </c>
      <c r="N1406" t="s">
        <v>143</v>
      </c>
      <c r="O1406" t="s">
        <v>89</v>
      </c>
      <c r="P1406" t="s">
        <v>90</v>
      </c>
      <c r="Q1406" t="s">
        <v>131</v>
      </c>
      <c r="R1406">
        <v>3</v>
      </c>
      <c r="S1406">
        <v>4</v>
      </c>
      <c r="T1406">
        <v>1915</v>
      </c>
      <c r="U1406">
        <v>1950</v>
      </c>
      <c r="V1406" t="s">
        <v>92</v>
      </c>
      <c r="W1406" t="s">
        <v>93</v>
      </c>
      <c r="X1406" t="s">
        <v>123</v>
      </c>
      <c r="Y1406" t="s">
        <v>123</v>
      </c>
      <c r="Z1406" t="s">
        <v>116</v>
      </c>
      <c r="AA1406">
        <v>0</v>
      </c>
      <c r="AB1406" t="s">
        <v>97</v>
      </c>
      <c r="AC1406" t="s">
        <v>97</v>
      </c>
      <c r="AD1406" t="s">
        <v>98</v>
      </c>
      <c r="AE1406" t="s">
        <v>97</v>
      </c>
      <c r="AF1406" t="s">
        <v>97</v>
      </c>
      <c r="AG1406" t="s">
        <v>99</v>
      </c>
      <c r="AH1406" t="s">
        <v>101</v>
      </c>
      <c r="AI1406">
        <v>0</v>
      </c>
      <c r="AJ1406" t="s">
        <v>101</v>
      </c>
      <c r="AK1406">
        <v>0</v>
      </c>
      <c r="AL1406">
        <v>672</v>
      </c>
      <c r="AM1406">
        <v>672</v>
      </c>
      <c r="AN1406" t="s">
        <v>102</v>
      </c>
      <c r="AO1406" t="s">
        <v>97</v>
      </c>
      <c r="AP1406" t="s">
        <v>104</v>
      </c>
      <c r="AQ1406" t="s">
        <v>105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97</v>
      </c>
      <c r="BC1406">
        <v>6</v>
      </c>
      <c r="BD1406" t="s">
        <v>106</v>
      </c>
      <c r="BE1406">
        <v>0</v>
      </c>
      <c r="BG1406" t="s">
        <v>126</v>
      </c>
      <c r="BH1406">
        <v>1998</v>
      </c>
      <c r="BI1406" t="s">
        <v>101</v>
      </c>
      <c r="BJ1406">
        <v>3</v>
      </c>
      <c r="BK1406">
        <v>936</v>
      </c>
      <c r="BL1406" t="s">
        <v>97</v>
      </c>
      <c r="BM1406" t="s">
        <v>97</v>
      </c>
      <c r="BN1406" t="s">
        <v>104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V1406" t="s">
        <v>133</v>
      </c>
      <c r="BX1406">
        <v>0</v>
      </c>
      <c r="BY1406">
        <v>1</v>
      </c>
      <c r="BZ1406">
        <v>2006</v>
      </c>
      <c r="CA1406" t="s">
        <v>109</v>
      </c>
      <c r="CB1406" t="s">
        <v>218</v>
      </c>
      <c r="CC1406">
        <v>105000</v>
      </c>
    </row>
    <row r="1407" spans="1:81" x14ac:dyDescent="0.3">
      <c r="A1407">
        <v>1406</v>
      </c>
      <c r="B1407">
        <v>120</v>
      </c>
      <c r="C1407" t="s">
        <v>141</v>
      </c>
      <c r="D1407">
        <v>44</v>
      </c>
      <c r="E1407">
        <v>3842</v>
      </c>
      <c r="F1407" t="s">
        <v>82</v>
      </c>
      <c r="H1407" t="s">
        <v>119</v>
      </c>
      <c r="I1407" t="s">
        <v>198</v>
      </c>
      <c r="J1407" t="s">
        <v>85</v>
      </c>
      <c r="K1407" t="s">
        <v>86</v>
      </c>
      <c r="L1407" t="s">
        <v>193</v>
      </c>
      <c r="M1407" t="s">
        <v>122</v>
      </c>
      <c r="N1407" t="s">
        <v>89</v>
      </c>
      <c r="O1407" t="s">
        <v>89</v>
      </c>
      <c r="P1407" t="s">
        <v>178</v>
      </c>
      <c r="Q1407" t="s">
        <v>114</v>
      </c>
      <c r="R1407">
        <v>8</v>
      </c>
      <c r="S1407">
        <v>5</v>
      </c>
      <c r="T1407">
        <v>2004</v>
      </c>
      <c r="U1407">
        <v>2005</v>
      </c>
      <c r="V1407" t="s">
        <v>151</v>
      </c>
      <c r="W1407" t="s">
        <v>93</v>
      </c>
      <c r="X1407" t="s">
        <v>179</v>
      </c>
      <c r="Y1407" t="s">
        <v>180</v>
      </c>
      <c r="Z1407" t="s">
        <v>136</v>
      </c>
      <c r="AA1407">
        <v>174</v>
      </c>
      <c r="AB1407" t="s">
        <v>96</v>
      </c>
      <c r="AC1407" t="s">
        <v>97</v>
      </c>
      <c r="AD1407" t="s">
        <v>98</v>
      </c>
      <c r="AE1407" t="s">
        <v>103</v>
      </c>
      <c r="AF1407" t="s">
        <v>97</v>
      </c>
      <c r="AG1407" t="s">
        <v>96</v>
      </c>
      <c r="AH1407" t="s">
        <v>100</v>
      </c>
      <c r="AI1407">
        <v>1373</v>
      </c>
      <c r="AJ1407" t="s">
        <v>101</v>
      </c>
      <c r="AK1407">
        <v>0</v>
      </c>
      <c r="AL1407">
        <v>221</v>
      </c>
      <c r="AM1407">
        <v>1594</v>
      </c>
      <c r="AN1407" t="s">
        <v>102</v>
      </c>
      <c r="AO1407" t="s">
        <v>103</v>
      </c>
      <c r="AP1407" t="s">
        <v>104</v>
      </c>
      <c r="AQ1407" t="s">
        <v>105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96</v>
      </c>
      <c r="BC1407">
        <v>5</v>
      </c>
      <c r="BD1407" t="s">
        <v>106</v>
      </c>
      <c r="BE1407">
        <v>1</v>
      </c>
      <c r="BF1407" t="s">
        <v>96</v>
      </c>
      <c r="BG1407" t="s">
        <v>107</v>
      </c>
      <c r="BH1407">
        <v>2004</v>
      </c>
      <c r="BI1407" t="s">
        <v>156</v>
      </c>
      <c r="BJ1407">
        <v>2</v>
      </c>
      <c r="BK1407">
        <v>482</v>
      </c>
      <c r="BL1407" t="s">
        <v>97</v>
      </c>
      <c r="BM1407" t="s">
        <v>97</v>
      </c>
      <c r="BN1407" t="s">
        <v>104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X1407">
        <v>0</v>
      </c>
      <c r="BY1407">
        <v>1</v>
      </c>
      <c r="BZ1407">
        <v>2008</v>
      </c>
      <c r="CA1407" t="s">
        <v>109</v>
      </c>
      <c r="CB1407" t="s">
        <v>110</v>
      </c>
      <c r="CC1407">
        <v>275000</v>
      </c>
    </row>
    <row r="1408" spans="1:81" x14ac:dyDescent="0.3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H1408" t="s">
        <v>83</v>
      </c>
      <c r="I1408" t="s">
        <v>84</v>
      </c>
      <c r="J1408" t="s">
        <v>85</v>
      </c>
      <c r="K1408" t="s">
        <v>121</v>
      </c>
      <c r="L1408" t="s">
        <v>87</v>
      </c>
      <c r="M1408" t="s">
        <v>88</v>
      </c>
      <c r="N1408" t="s">
        <v>89</v>
      </c>
      <c r="O1408" t="s">
        <v>89</v>
      </c>
      <c r="P1408" t="s">
        <v>90</v>
      </c>
      <c r="Q1408" t="s">
        <v>190</v>
      </c>
      <c r="R1408">
        <v>5</v>
      </c>
      <c r="S1408">
        <v>7</v>
      </c>
      <c r="T1408">
        <v>1972</v>
      </c>
      <c r="U1408">
        <v>2007</v>
      </c>
      <c r="V1408" t="s">
        <v>92</v>
      </c>
      <c r="W1408" t="s">
        <v>93</v>
      </c>
      <c r="X1408" t="s">
        <v>139</v>
      </c>
      <c r="Y1408" t="s">
        <v>124</v>
      </c>
      <c r="Z1408" t="s">
        <v>116</v>
      </c>
      <c r="AA1408">
        <v>0</v>
      </c>
      <c r="AB1408" t="s">
        <v>97</v>
      </c>
      <c r="AC1408" t="s">
        <v>97</v>
      </c>
      <c r="AD1408" t="s">
        <v>117</v>
      </c>
      <c r="AE1408" t="s">
        <v>96</v>
      </c>
      <c r="AF1408" t="s">
        <v>97</v>
      </c>
      <c r="AG1408" t="s">
        <v>129</v>
      </c>
      <c r="AH1408" t="s">
        <v>100</v>
      </c>
      <c r="AI1408">
        <v>656</v>
      </c>
      <c r="AJ1408" t="s">
        <v>101</v>
      </c>
      <c r="AK1408">
        <v>0</v>
      </c>
      <c r="AL1408">
        <v>112</v>
      </c>
      <c r="AM1408">
        <v>768</v>
      </c>
      <c r="AN1408" t="s">
        <v>102</v>
      </c>
      <c r="AO1408" t="s">
        <v>97</v>
      </c>
      <c r="AP1408" t="s">
        <v>104</v>
      </c>
      <c r="AQ1408" t="s">
        <v>105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97</v>
      </c>
      <c r="BC1408">
        <v>5</v>
      </c>
      <c r="BD1408" t="s">
        <v>106</v>
      </c>
      <c r="BE1408">
        <v>0</v>
      </c>
      <c r="BG1408" t="s">
        <v>126</v>
      </c>
      <c r="BH1408">
        <v>1988</v>
      </c>
      <c r="BI1408" t="s">
        <v>101</v>
      </c>
      <c r="BJ1408">
        <v>2</v>
      </c>
      <c r="BK1408">
        <v>396</v>
      </c>
      <c r="BL1408" t="s">
        <v>97</v>
      </c>
      <c r="BM1408" t="s">
        <v>97</v>
      </c>
      <c r="BN1408" t="s">
        <v>104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V1408" t="s">
        <v>133</v>
      </c>
      <c r="BX1408">
        <v>0</v>
      </c>
      <c r="BY1408">
        <v>3</v>
      </c>
      <c r="BZ1408">
        <v>2009</v>
      </c>
      <c r="CA1408" t="s">
        <v>109</v>
      </c>
      <c r="CB1408" t="s">
        <v>110</v>
      </c>
      <c r="CC1408">
        <v>133000</v>
      </c>
    </row>
    <row r="1409" spans="1:81" x14ac:dyDescent="0.3">
      <c r="A1409">
        <v>1408</v>
      </c>
      <c r="B1409">
        <v>20</v>
      </c>
      <c r="C1409" t="s">
        <v>81</v>
      </c>
      <c r="E1409">
        <v>8780</v>
      </c>
      <c r="F1409" t="s">
        <v>82</v>
      </c>
      <c r="H1409" t="s">
        <v>119</v>
      </c>
      <c r="I1409" t="s">
        <v>84</v>
      </c>
      <c r="J1409" t="s">
        <v>85</v>
      </c>
      <c r="K1409" t="s">
        <v>121</v>
      </c>
      <c r="L1409" t="s">
        <v>87</v>
      </c>
      <c r="M1409" t="s">
        <v>130</v>
      </c>
      <c r="N1409" t="s">
        <v>89</v>
      </c>
      <c r="O1409" t="s">
        <v>89</v>
      </c>
      <c r="P1409" t="s">
        <v>90</v>
      </c>
      <c r="Q1409" t="s">
        <v>114</v>
      </c>
      <c r="R1409">
        <v>5</v>
      </c>
      <c r="S1409">
        <v>5</v>
      </c>
      <c r="T1409">
        <v>1985</v>
      </c>
      <c r="U1409">
        <v>1985</v>
      </c>
      <c r="V1409" t="s">
        <v>92</v>
      </c>
      <c r="W1409" t="s">
        <v>93</v>
      </c>
      <c r="X1409" t="s">
        <v>139</v>
      </c>
      <c r="Y1409" t="s">
        <v>160</v>
      </c>
      <c r="Z1409" t="s">
        <v>116</v>
      </c>
      <c r="AA1409">
        <v>0</v>
      </c>
      <c r="AB1409" t="s">
        <v>97</v>
      </c>
      <c r="AC1409" t="s">
        <v>97</v>
      </c>
      <c r="AD1409" t="s">
        <v>117</v>
      </c>
      <c r="AE1409" t="s">
        <v>97</v>
      </c>
      <c r="AF1409" t="s">
        <v>97</v>
      </c>
      <c r="AG1409" t="s">
        <v>99</v>
      </c>
      <c r="AH1409" t="s">
        <v>118</v>
      </c>
      <c r="AI1409">
        <v>625</v>
      </c>
      <c r="AJ1409" t="s">
        <v>101</v>
      </c>
      <c r="AK1409">
        <v>0</v>
      </c>
      <c r="AL1409">
        <v>208</v>
      </c>
      <c r="AM1409">
        <v>833</v>
      </c>
      <c r="AN1409" t="s">
        <v>102</v>
      </c>
      <c r="AO1409" t="s">
        <v>103</v>
      </c>
      <c r="AP1409" t="s">
        <v>104</v>
      </c>
      <c r="AQ1409" t="s">
        <v>105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97</v>
      </c>
      <c r="BC1409">
        <v>5</v>
      </c>
      <c r="BD1409" t="s">
        <v>106</v>
      </c>
      <c r="BE1409">
        <v>0</v>
      </c>
      <c r="BJ1409">
        <v>0</v>
      </c>
      <c r="BK1409">
        <v>0</v>
      </c>
      <c r="BN1409" t="s">
        <v>104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V1409" t="s">
        <v>133</v>
      </c>
      <c r="BX1409">
        <v>0</v>
      </c>
      <c r="BY1409">
        <v>3</v>
      </c>
      <c r="BZ1409">
        <v>2009</v>
      </c>
      <c r="CA1409" t="s">
        <v>109</v>
      </c>
      <c r="CB1409" t="s">
        <v>110</v>
      </c>
      <c r="CC1409">
        <v>112000</v>
      </c>
    </row>
    <row r="1410" spans="1:81" x14ac:dyDescent="0.3">
      <c r="A1410">
        <v>1409</v>
      </c>
      <c r="B1410">
        <v>70</v>
      </c>
      <c r="C1410" t="s">
        <v>141</v>
      </c>
      <c r="D1410">
        <v>60</v>
      </c>
      <c r="E1410">
        <v>7740</v>
      </c>
      <c r="F1410" t="s">
        <v>82</v>
      </c>
      <c r="H1410" t="s">
        <v>83</v>
      </c>
      <c r="I1410" t="s">
        <v>84</v>
      </c>
      <c r="J1410" t="s">
        <v>85</v>
      </c>
      <c r="K1410" t="s">
        <v>86</v>
      </c>
      <c r="L1410" t="s">
        <v>87</v>
      </c>
      <c r="M1410" t="s">
        <v>142</v>
      </c>
      <c r="N1410" t="s">
        <v>89</v>
      </c>
      <c r="O1410" t="s">
        <v>89</v>
      </c>
      <c r="P1410" t="s">
        <v>90</v>
      </c>
      <c r="Q1410" t="s">
        <v>91</v>
      </c>
      <c r="R1410">
        <v>4</v>
      </c>
      <c r="S1410">
        <v>7</v>
      </c>
      <c r="T1410">
        <v>1910</v>
      </c>
      <c r="U1410">
        <v>1950</v>
      </c>
      <c r="V1410" t="s">
        <v>92</v>
      </c>
      <c r="W1410" t="s">
        <v>93</v>
      </c>
      <c r="X1410" t="s">
        <v>94</v>
      </c>
      <c r="Y1410" t="s">
        <v>94</v>
      </c>
      <c r="Z1410" t="s">
        <v>116</v>
      </c>
      <c r="AA1410">
        <v>0</v>
      </c>
      <c r="AB1410" t="s">
        <v>97</v>
      </c>
      <c r="AC1410" t="s">
        <v>97</v>
      </c>
      <c r="AD1410" t="s">
        <v>117</v>
      </c>
      <c r="AE1410" t="s">
        <v>146</v>
      </c>
      <c r="AF1410" t="s">
        <v>97</v>
      </c>
      <c r="AG1410" t="s">
        <v>99</v>
      </c>
      <c r="AH1410" t="s">
        <v>101</v>
      </c>
      <c r="AI1410">
        <v>0</v>
      </c>
      <c r="AJ1410" t="s">
        <v>101</v>
      </c>
      <c r="AK1410">
        <v>0</v>
      </c>
      <c r="AL1410">
        <v>622</v>
      </c>
      <c r="AM1410">
        <v>622</v>
      </c>
      <c r="AN1410" t="s">
        <v>102</v>
      </c>
      <c r="AO1410" t="s">
        <v>96</v>
      </c>
      <c r="AP1410" t="s">
        <v>104</v>
      </c>
      <c r="AQ1410" t="s">
        <v>105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97</v>
      </c>
      <c r="BC1410">
        <v>6</v>
      </c>
      <c r="BD1410" t="s">
        <v>106</v>
      </c>
      <c r="BE1410">
        <v>0</v>
      </c>
      <c r="BG1410" t="s">
        <v>126</v>
      </c>
      <c r="BH1410">
        <v>1966</v>
      </c>
      <c r="BI1410" t="s">
        <v>101</v>
      </c>
      <c r="BJ1410">
        <v>2</v>
      </c>
      <c r="BK1410">
        <v>528</v>
      </c>
      <c r="BL1410" t="s">
        <v>97</v>
      </c>
      <c r="BM1410" t="s">
        <v>97</v>
      </c>
      <c r="BN1410" t="s">
        <v>104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X1410">
        <v>0</v>
      </c>
      <c r="BY1410">
        <v>6</v>
      </c>
      <c r="BZ1410">
        <v>2010</v>
      </c>
      <c r="CA1410" t="s">
        <v>109</v>
      </c>
      <c r="CB1410" t="s">
        <v>110</v>
      </c>
      <c r="CC1410">
        <v>125500</v>
      </c>
    </row>
    <row r="1411" spans="1:81" x14ac:dyDescent="0.3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H1411" t="s">
        <v>119</v>
      </c>
      <c r="I1411" t="s">
        <v>84</v>
      </c>
      <c r="J1411" t="s">
        <v>85</v>
      </c>
      <c r="K1411" t="s">
        <v>165</v>
      </c>
      <c r="L1411" t="s">
        <v>87</v>
      </c>
      <c r="M1411" t="s">
        <v>137</v>
      </c>
      <c r="N1411" t="s">
        <v>89</v>
      </c>
      <c r="O1411" t="s">
        <v>89</v>
      </c>
      <c r="P1411" t="s">
        <v>90</v>
      </c>
      <c r="Q1411" t="s">
        <v>91</v>
      </c>
      <c r="R1411">
        <v>7</v>
      </c>
      <c r="S1411">
        <v>6</v>
      </c>
      <c r="T1411">
        <v>1986</v>
      </c>
      <c r="U1411">
        <v>1991</v>
      </c>
      <c r="V1411" t="s">
        <v>92</v>
      </c>
      <c r="W1411" t="s">
        <v>93</v>
      </c>
      <c r="X1411" t="s">
        <v>160</v>
      </c>
      <c r="Y1411" t="s">
        <v>160</v>
      </c>
      <c r="Z1411" t="s">
        <v>95</v>
      </c>
      <c r="AA1411">
        <v>123</v>
      </c>
      <c r="AB1411" t="s">
        <v>97</v>
      </c>
      <c r="AC1411" t="s">
        <v>96</v>
      </c>
      <c r="AD1411" t="s">
        <v>117</v>
      </c>
      <c r="AE1411" t="s">
        <v>96</v>
      </c>
      <c r="AF1411" t="s">
        <v>97</v>
      </c>
      <c r="AG1411" t="s">
        <v>99</v>
      </c>
      <c r="AH1411" t="s">
        <v>101</v>
      </c>
      <c r="AI1411">
        <v>0</v>
      </c>
      <c r="AJ1411" t="s">
        <v>101</v>
      </c>
      <c r="AK1411">
        <v>0</v>
      </c>
      <c r="AL1411">
        <v>791</v>
      </c>
      <c r="AM1411">
        <v>791</v>
      </c>
      <c r="AN1411" t="s">
        <v>102</v>
      </c>
      <c r="AO1411" t="s">
        <v>96</v>
      </c>
      <c r="AP1411" t="s">
        <v>104</v>
      </c>
      <c r="AQ1411" t="s">
        <v>105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97</v>
      </c>
      <c r="BC1411">
        <v>7</v>
      </c>
      <c r="BD1411" t="s">
        <v>106</v>
      </c>
      <c r="BE1411">
        <v>1</v>
      </c>
      <c r="BF1411" t="s">
        <v>97</v>
      </c>
      <c r="BG1411" t="s">
        <v>107</v>
      </c>
      <c r="BH1411">
        <v>1986</v>
      </c>
      <c r="BI1411" t="s">
        <v>156</v>
      </c>
      <c r="BJ1411">
        <v>2</v>
      </c>
      <c r="BK1411">
        <v>542</v>
      </c>
      <c r="BL1411" t="s">
        <v>97</v>
      </c>
      <c r="BM1411" t="s">
        <v>97</v>
      </c>
      <c r="BN1411" t="s">
        <v>104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V1411" t="s">
        <v>133</v>
      </c>
      <c r="BX1411">
        <v>0</v>
      </c>
      <c r="BY1411">
        <v>11</v>
      </c>
      <c r="BZ1411">
        <v>2008</v>
      </c>
      <c r="CA1411" t="s">
        <v>109</v>
      </c>
      <c r="CB1411" t="s">
        <v>110</v>
      </c>
      <c r="CC1411">
        <v>215000</v>
      </c>
    </row>
    <row r="1412" spans="1:81" x14ac:dyDescent="0.3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H1412" t="s">
        <v>83</v>
      </c>
      <c r="I1412" t="s">
        <v>84</v>
      </c>
      <c r="J1412" t="s">
        <v>85</v>
      </c>
      <c r="K1412" t="s">
        <v>86</v>
      </c>
      <c r="L1412" t="s">
        <v>87</v>
      </c>
      <c r="M1412" t="s">
        <v>88</v>
      </c>
      <c r="N1412" t="s">
        <v>89</v>
      </c>
      <c r="O1412" t="s">
        <v>89</v>
      </c>
      <c r="P1412" t="s">
        <v>90</v>
      </c>
      <c r="Q1412" t="s">
        <v>91</v>
      </c>
      <c r="R1412">
        <v>7</v>
      </c>
      <c r="S1412">
        <v>5</v>
      </c>
      <c r="T1412">
        <v>2001</v>
      </c>
      <c r="U1412">
        <v>2001</v>
      </c>
      <c r="V1412" t="s">
        <v>92</v>
      </c>
      <c r="W1412" t="s">
        <v>93</v>
      </c>
      <c r="X1412" t="s">
        <v>94</v>
      </c>
      <c r="Y1412" t="s">
        <v>94</v>
      </c>
      <c r="Z1412" t="s">
        <v>116</v>
      </c>
      <c r="AA1412">
        <v>0</v>
      </c>
      <c r="AB1412" t="s">
        <v>96</v>
      </c>
      <c r="AC1412" t="s">
        <v>97</v>
      </c>
      <c r="AD1412" t="s">
        <v>98</v>
      </c>
      <c r="AE1412" t="s">
        <v>96</v>
      </c>
      <c r="AF1412" t="s">
        <v>97</v>
      </c>
      <c r="AG1412" t="s">
        <v>99</v>
      </c>
      <c r="AH1412" t="s">
        <v>100</v>
      </c>
      <c r="AI1412">
        <v>666</v>
      </c>
      <c r="AJ1412" t="s">
        <v>101</v>
      </c>
      <c r="AK1412">
        <v>0</v>
      </c>
      <c r="AL1412">
        <v>278</v>
      </c>
      <c r="AM1412">
        <v>944</v>
      </c>
      <c r="AN1412" t="s">
        <v>102</v>
      </c>
      <c r="AO1412" t="s">
        <v>103</v>
      </c>
      <c r="AP1412" t="s">
        <v>104</v>
      </c>
      <c r="AQ1412" t="s">
        <v>105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96</v>
      </c>
      <c r="BC1412">
        <v>6</v>
      </c>
      <c r="BD1412" t="s">
        <v>106</v>
      </c>
      <c r="BE1412">
        <v>0</v>
      </c>
      <c r="BG1412" t="s">
        <v>107</v>
      </c>
      <c r="BH1412">
        <v>2001</v>
      </c>
      <c r="BI1412" t="s">
        <v>108</v>
      </c>
      <c r="BJ1412">
        <v>2</v>
      </c>
      <c r="BK1412">
        <v>622</v>
      </c>
      <c r="BL1412" t="s">
        <v>97</v>
      </c>
      <c r="BM1412" t="s">
        <v>97</v>
      </c>
      <c r="BN1412" t="s">
        <v>104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X1412">
        <v>0</v>
      </c>
      <c r="BY1412">
        <v>6</v>
      </c>
      <c r="BZ1412">
        <v>2009</v>
      </c>
      <c r="CA1412" t="s">
        <v>109</v>
      </c>
      <c r="CB1412" t="s">
        <v>110</v>
      </c>
      <c r="CC1412">
        <v>230000</v>
      </c>
    </row>
    <row r="1413" spans="1:81" x14ac:dyDescent="0.3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H1413" t="s">
        <v>83</v>
      </c>
      <c r="I1413" t="s">
        <v>84</v>
      </c>
      <c r="J1413" t="s">
        <v>85</v>
      </c>
      <c r="K1413" t="s">
        <v>86</v>
      </c>
      <c r="L1413" t="s">
        <v>87</v>
      </c>
      <c r="M1413" t="s">
        <v>270</v>
      </c>
      <c r="N1413" t="s">
        <v>89</v>
      </c>
      <c r="O1413" t="s">
        <v>89</v>
      </c>
      <c r="P1413" t="s">
        <v>90</v>
      </c>
      <c r="Q1413" t="s">
        <v>131</v>
      </c>
      <c r="R1413">
        <v>6</v>
      </c>
      <c r="S1413">
        <v>8</v>
      </c>
      <c r="T1413">
        <v>1950</v>
      </c>
      <c r="U1413">
        <v>2005</v>
      </c>
      <c r="V1413" t="s">
        <v>92</v>
      </c>
      <c r="W1413" t="s">
        <v>93</v>
      </c>
      <c r="X1413" t="s">
        <v>94</v>
      </c>
      <c r="Y1413" t="s">
        <v>94</v>
      </c>
      <c r="Z1413" t="s">
        <v>116</v>
      </c>
      <c r="AA1413">
        <v>0</v>
      </c>
      <c r="AB1413" t="s">
        <v>97</v>
      </c>
      <c r="AC1413" t="s">
        <v>96</v>
      </c>
      <c r="AD1413" t="s">
        <v>117</v>
      </c>
      <c r="AE1413" t="s">
        <v>97</v>
      </c>
      <c r="AF1413" t="s">
        <v>97</v>
      </c>
      <c r="AG1413" t="s">
        <v>99</v>
      </c>
      <c r="AH1413" t="s">
        <v>140</v>
      </c>
      <c r="AI1413">
        <v>120</v>
      </c>
      <c r="AJ1413" t="s">
        <v>101</v>
      </c>
      <c r="AK1413">
        <v>0</v>
      </c>
      <c r="AL1413">
        <v>736</v>
      </c>
      <c r="AM1413">
        <v>856</v>
      </c>
      <c r="AN1413" t="s">
        <v>102</v>
      </c>
      <c r="AO1413" t="s">
        <v>103</v>
      </c>
      <c r="AP1413" t="s">
        <v>104</v>
      </c>
      <c r="AQ1413" t="s">
        <v>105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97</v>
      </c>
      <c r="BC1413">
        <v>6</v>
      </c>
      <c r="BD1413" t="s">
        <v>223</v>
      </c>
      <c r="BE1413">
        <v>0</v>
      </c>
      <c r="BG1413" t="s">
        <v>107</v>
      </c>
      <c r="BH1413">
        <v>1950</v>
      </c>
      <c r="BI1413" t="s">
        <v>101</v>
      </c>
      <c r="BJ1413">
        <v>1</v>
      </c>
      <c r="BK1413">
        <v>271</v>
      </c>
      <c r="BL1413" t="s">
        <v>97</v>
      </c>
      <c r="BM1413" t="s">
        <v>97</v>
      </c>
      <c r="BN1413" t="s">
        <v>104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V1413" t="s">
        <v>133</v>
      </c>
      <c r="BX1413">
        <v>0</v>
      </c>
      <c r="BY1413">
        <v>9</v>
      </c>
      <c r="BZ1413">
        <v>2009</v>
      </c>
      <c r="CA1413" t="s">
        <v>109</v>
      </c>
      <c r="CB1413" t="s">
        <v>110</v>
      </c>
      <c r="CC1413">
        <v>140000</v>
      </c>
    </row>
    <row r="1414" spans="1:81" x14ac:dyDescent="0.3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H1414" t="s">
        <v>83</v>
      </c>
      <c r="I1414" t="s">
        <v>84</v>
      </c>
      <c r="J1414" t="s">
        <v>85</v>
      </c>
      <c r="K1414" t="s">
        <v>86</v>
      </c>
      <c r="L1414" t="s">
        <v>87</v>
      </c>
      <c r="M1414" t="s">
        <v>270</v>
      </c>
      <c r="N1414" t="s">
        <v>89</v>
      </c>
      <c r="O1414" t="s">
        <v>89</v>
      </c>
      <c r="P1414" t="s">
        <v>166</v>
      </c>
      <c r="Q1414" t="s">
        <v>114</v>
      </c>
      <c r="R1414">
        <v>4</v>
      </c>
      <c r="S1414">
        <v>5</v>
      </c>
      <c r="T1414">
        <v>1949</v>
      </c>
      <c r="U1414">
        <v>1950</v>
      </c>
      <c r="V1414" t="s">
        <v>92</v>
      </c>
      <c r="W1414" t="s">
        <v>93</v>
      </c>
      <c r="X1414" t="s">
        <v>95</v>
      </c>
      <c r="Y1414" t="s">
        <v>136</v>
      </c>
      <c r="Z1414" t="s">
        <v>116</v>
      </c>
      <c r="AA1414">
        <v>0</v>
      </c>
      <c r="AB1414" t="s">
        <v>97</v>
      </c>
      <c r="AC1414" t="s">
        <v>97</v>
      </c>
      <c r="AD1414" t="s">
        <v>167</v>
      </c>
      <c r="AI1414">
        <v>0</v>
      </c>
      <c r="AK1414">
        <v>0</v>
      </c>
      <c r="AL1414">
        <v>0</v>
      </c>
      <c r="AM1414">
        <v>0</v>
      </c>
      <c r="AN1414" t="s">
        <v>239</v>
      </c>
      <c r="AO1414" t="s">
        <v>146</v>
      </c>
      <c r="AP1414" t="s">
        <v>176</v>
      </c>
      <c r="AQ1414" t="s">
        <v>144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97</v>
      </c>
      <c r="BC1414">
        <v>6</v>
      </c>
      <c r="BD1414" t="s">
        <v>106</v>
      </c>
      <c r="BE1414">
        <v>0</v>
      </c>
      <c r="BG1414" t="s">
        <v>126</v>
      </c>
      <c r="BH1414">
        <v>1956</v>
      </c>
      <c r="BI1414" t="s">
        <v>101</v>
      </c>
      <c r="BJ1414">
        <v>2</v>
      </c>
      <c r="BK1414">
        <v>420</v>
      </c>
      <c r="BL1414" t="s">
        <v>97</v>
      </c>
      <c r="BM1414" t="s">
        <v>97</v>
      </c>
      <c r="BN1414" t="s">
        <v>104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X1414">
        <v>0</v>
      </c>
      <c r="BY1414">
        <v>6</v>
      </c>
      <c r="BZ1414">
        <v>2009</v>
      </c>
      <c r="CA1414" t="s">
        <v>109</v>
      </c>
      <c r="CB1414" t="s">
        <v>110</v>
      </c>
      <c r="CC1414">
        <v>90000</v>
      </c>
    </row>
    <row r="1415" spans="1:81" x14ac:dyDescent="0.3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H1415" t="s">
        <v>119</v>
      </c>
      <c r="I1415" t="s">
        <v>84</v>
      </c>
      <c r="J1415" t="s">
        <v>85</v>
      </c>
      <c r="K1415" t="s">
        <v>121</v>
      </c>
      <c r="L1415" t="s">
        <v>87</v>
      </c>
      <c r="M1415" t="s">
        <v>169</v>
      </c>
      <c r="N1415" t="s">
        <v>89</v>
      </c>
      <c r="O1415" t="s">
        <v>89</v>
      </c>
      <c r="P1415" t="s">
        <v>90</v>
      </c>
      <c r="Q1415" t="s">
        <v>114</v>
      </c>
      <c r="R1415">
        <v>8</v>
      </c>
      <c r="S1415">
        <v>5</v>
      </c>
      <c r="T1415">
        <v>2005</v>
      </c>
      <c r="U1415">
        <v>2006</v>
      </c>
      <c r="V1415" t="s">
        <v>92</v>
      </c>
      <c r="W1415" t="s">
        <v>93</v>
      </c>
      <c r="X1415" t="s">
        <v>94</v>
      </c>
      <c r="Y1415" t="s">
        <v>94</v>
      </c>
      <c r="Z1415" t="s">
        <v>136</v>
      </c>
      <c r="AA1415">
        <v>366</v>
      </c>
      <c r="AB1415" t="s">
        <v>96</v>
      </c>
      <c r="AC1415" t="s">
        <v>97</v>
      </c>
      <c r="AD1415" t="s">
        <v>98</v>
      </c>
      <c r="AE1415" t="s">
        <v>96</v>
      </c>
      <c r="AF1415" t="s">
        <v>96</v>
      </c>
      <c r="AG1415" t="s">
        <v>99</v>
      </c>
      <c r="AH1415" t="s">
        <v>100</v>
      </c>
      <c r="AI1415">
        <v>976</v>
      </c>
      <c r="AJ1415" t="s">
        <v>101</v>
      </c>
      <c r="AK1415">
        <v>0</v>
      </c>
      <c r="AL1415">
        <v>868</v>
      </c>
      <c r="AM1415">
        <v>1844</v>
      </c>
      <c r="AN1415" t="s">
        <v>102</v>
      </c>
      <c r="AO1415" t="s">
        <v>103</v>
      </c>
      <c r="AP1415" t="s">
        <v>104</v>
      </c>
      <c r="AQ1415" t="s">
        <v>105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96</v>
      </c>
      <c r="BC1415">
        <v>7</v>
      </c>
      <c r="BD1415" t="s">
        <v>106</v>
      </c>
      <c r="BE1415">
        <v>1</v>
      </c>
      <c r="BF1415" t="s">
        <v>96</v>
      </c>
      <c r="BG1415" t="s">
        <v>107</v>
      </c>
      <c r="BH1415">
        <v>2005</v>
      </c>
      <c r="BI1415" t="s">
        <v>156</v>
      </c>
      <c r="BJ1415">
        <v>2</v>
      </c>
      <c r="BK1415">
        <v>620</v>
      </c>
      <c r="BL1415" t="s">
        <v>97</v>
      </c>
      <c r="BM1415" t="s">
        <v>97</v>
      </c>
      <c r="BN1415" t="s">
        <v>104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X1415">
        <v>0</v>
      </c>
      <c r="BY1415">
        <v>9</v>
      </c>
      <c r="BZ1415">
        <v>2009</v>
      </c>
      <c r="CA1415" t="s">
        <v>172</v>
      </c>
      <c r="CB1415" t="s">
        <v>127</v>
      </c>
      <c r="CC1415">
        <v>257000</v>
      </c>
    </row>
    <row r="1416" spans="1:81" x14ac:dyDescent="0.3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83</v>
      </c>
      <c r="I1416" t="s">
        <v>174</v>
      </c>
      <c r="J1416" t="s">
        <v>85</v>
      </c>
      <c r="K1416" t="s">
        <v>86</v>
      </c>
      <c r="L1416" t="s">
        <v>87</v>
      </c>
      <c r="M1416" t="s">
        <v>147</v>
      </c>
      <c r="N1416" t="s">
        <v>89</v>
      </c>
      <c r="O1416" t="s">
        <v>89</v>
      </c>
      <c r="P1416" t="s">
        <v>90</v>
      </c>
      <c r="Q1416" t="s">
        <v>131</v>
      </c>
      <c r="R1416">
        <v>6</v>
      </c>
      <c r="S1416">
        <v>7</v>
      </c>
      <c r="T1416">
        <v>1923</v>
      </c>
      <c r="U1416">
        <v>2000</v>
      </c>
      <c r="V1416" t="s">
        <v>183</v>
      </c>
      <c r="W1416" t="s">
        <v>93</v>
      </c>
      <c r="X1416" t="s">
        <v>123</v>
      </c>
      <c r="Y1416" t="s">
        <v>123</v>
      </c>
      <c r="Z1416" t="s">
        <v>116</v>
      </c>
      <c r="AA1416">
        <v>0</v>
      </c>
      <c r="AB1416" t="s">
        <v>97</v>
      </c>
      <c r="AC1416" t="s">
        <v>97</v>
      </c>
      <c r="AD1416" t="s">
        <v>125</v>
      </c>
      <c r="AE1416" t="s">
        <v>97</v>
      </c>
      <c r="AF1416" t="s">
        <v>97</v>
      </c>
      <c r="AG1416" t="s">
        <v>99</v>
      </c>
      <c r="AH1416" t="s">
        <v>101</v>
      </c>
      <c r="AI1416">
        <v>0</v>
      </c>
      <c r="AJ1416" t="s">
        <v>101</v>
      </c>
      <c r="AK1416">
        <v>0</v>
      </c>
      <c r="AL1416">
        <v>833</v>
      </c>
      <c r="AM1416">
        <v>833</v>
      </c>
      <c r="AN1416" t="s">
        <v>102</v>
      </c>
      <c r="AO1416" t="s">
        <v>96</v>
      </c>
      <c r="AP1416" t="s">
        <v>104</v>
      </c>
      <c r="AQ1416" t="s">
        <v>105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96</v>
      </c>
      <c r="BC1416">
        <v>8</v>
      </c>
      <c r="BD1416" t="s">
        <v>106</v>
      </c>
      <c r="BE1416">
        <v>1</v>
      </c>
      <c r="BF1416" t="s">
        <v>96</v>
      </c>
      <c r="BG1416" t="s">
        <v>126</v>
      </c>
      <c r="BH1416">
        <v>1922</v>
      </c>
      <c r="BI1416" t="s">
        <v>101</v>
      </c>
      <c r="BJ1416">
        <v>2</v>
      </c>
      <c r="BK1416">
        <v>370</v>
      </c>
      <c r="BL1416" t="s">
        <v>97</v>
      </c>
      <c r="BM1416" t="s">
        <v>97</v>
      </c>
      <c r="BN1416" t="s">
        <v>176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X1416">
        <v>0</v>
      </c>
      <c r="BY1416">
        <v>6</v>
      </c>
      <c r="BZ1416">
        <v>2008</v>
      </c>
      <c r="CA1416" t="s">
        <v>109</v>
      </c>
      <c r="CB1416" t="s">
        <v>110</v>
      </c>
      <c r="CC1416">
        <v>207000</v>
      </c>
    </row>
    <row r="1417" spans="1:81" x14ac:dyDescent="0.3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H1417" t="s">
        <v>83</v>
      </c>
      <c r="I1417" t="s">
        <v>84</v>
      </c>
      <c r="J1417" t="s">
        <v>85</v>
      </c>
      <c r="K1417" t="s">
        <v>86</v>
      </c>
      <c r="L1417" t="s">
        <v>87</v>
      </c>
      <c r="M1417" t="s">
        <v>226</v>
      </c>
      <c r="N1417" t="s">
        <v>89</v>
      </c>
      <c r="O1417" t="s">
        <v>89</v>
      </c>
      <c r="P1417" t="s">
        <v>178</v>
      </c>
      <c r="Q1417" t="s">
        <v>114</v>
      </c>
      <c r="R1417">
        <v>7</v>
      </c>
      <c r="S1417">
        <v>5</v>
      </c>
      <c r="T1417">
        <v>2007</v>
      </c>
      <c r="U1417">
        <v>2007</v>
      </c>
      <c r="V1417" t="s">
        <v>151</v>
      </c>
      <c r="W1417" t="s">
        <v>93</v>
      </c>
      <c r="X1417" t="s">
        <v>94</v>
      </c>
      <c r="Y1417" t="s">
        <v>94</v>
      </c>
      <c r="Z1417" t="s">
        <v>95</v>
      </c>
      <c r="AA1417">
        <v>130</v>
      </c>
      <c r="AB1417" t="s">
        <v>96</v>
      </c>
      <c r="AC1417" t="s">
        <v>97</v>
      </c>
      <c r="AD1417" t="s">
        <v>98</v>
      </c>
      <c r="AE1417" t="s">
        <v>96</v>
      </c>
      <c r="AF1417" t="s">
        <v>97</v>
      </c>
      <c r="AG1417" t="s">
        <v>99</v>
      </c>
      <c r="AH1417" t="s">
        <v>118</v>
      </c>
      <c r="AI1417">
        <v>988</v>
      </c>
      <c r="AJ1417" t="s">
        <v>101</v>
      </c>
      <c r="AK1417">
        <v>0</v>
      </c>
      <c r="AL1417">
        <v>398</v>
      </c>
      <c r="AM1417">
        <v>1386</v>
      </c>
      <c r="AN1417" t="s">
        <v>102</v>
      </c>
      <c r="AO1417" t="s">
        <v>103</v>
      </c>
      <c r="AP1417" t="s">
        <v>104</v>
      </c>
      <c r="AQ1417" t="s">
        <v>105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96</v>
      </c>
      <c r="BC1417">
        <v>7</v>
      </c>
      <c r="BD1417" t="s">
        <v>106</v>
      </c>
      <c r="BE1417">
        <v>1</v>
      </c>
      <c r="BF1417" t="s">
        <v>97</v>
      </c>
      <c r="BG1417" t="s">
        <v>107</v>
      </c>
      <c r="BH1417">
        <v>2007</v>
      </c>
      <c r="BI1417" t="s">
        <v>108</v>
      </c>
      <c r="BJ1417">
        <v>3</v>
      </c>
      <c r="BK1417">
        <v>660</v>
      </c>
      <c r="BL1417" t="s">
        <v>97</v>
      </c>
      <c r="BM1417" t="s">
        <v>97</v>
      </c>
      <c r="BN1417" t="s">
        <v>104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X1417">
        <v>0</v>
      </c>
      <c r="BY1417">
        <v>5</v>
      </c>
      <c r="BZ1417">
        <v>2009</v>
      </c>
      <c r="CA1417" t="s">
        <v>109</v>
      </c>
      <c r="CB1417" t="s">
        <v>110</v>
      </c>
      <c r="CC1417">
        <v>175900</v>
      </c>
    </row>
    <row r="1418" spans="1:81" x14ac:dyDescent="0.3">
      <c r="A1418">
        <v>1417</v>
      </c>
      <c r="B1418">
        <v>190</v>
      </c>
      <c r="C1418" t="s">
        <v>141</v>
      </c>
      <c r="D1418">
        <v>60</v>
      </c>
      <c r="E1418">
        <v>11340</v>
      </c>
      <c r="F1418" t="s">
        <v>82</v>
      </c>
      <c r="H1418" t="s">
        <v>83</v>
      </c>
      <c r="I1418" t="s">
        <v>84</v>
      </c>
      <c r="J1418" t="s">
        <v>85</v>
      </c>
      <c r="K1418" t="s">
        <v>86</v>
      </c>
      <c r="L1418" t="s">
        <v>87</v>
      </c>
      <c r="M1418" t="s">
        <v>142</v>
      </c>
      <c r="N1418" t="s">
        <v>89</v>
      </c>
      <c r="O1418" t="s">
        <v>89</v>
      </c>
      <c r="P1418" t="s">
        <v>148</v>
      </c>
      <c r="Q1418" t="s">
        <v>91</v>
      </c>
      <c r="R1418">
        <v>4</v>
      </c>
      <c r="S1418">
        <v>6</v>
      </c>
      <c r="T1418">
        <v>1885</v>
      </c>
      <c r="U1418">
        <v>1950</v>
      </c>
      <c r="V1418" t="s">
        <v>92</v>
      </c>
      <c r="W1418" t="s">
        <v>93</v>
      </c>
      <c r="X1418" t="s">
        <v>94</v>
      </c>
      <c r="Y1418" t="s">
        <v>185</v>
      </c>
      <c r="Z1418" t="s">
        <v>116</v>
      </c>
      <c r="AA1418">
        <v>0</v>
      </c>
      <c r="AB1418" t="s">
        <v>97</v>
      </c>
      <c r="AC1418" t="s">
        <v>97</v>
      </c>
      <c r="AD1418" t="s">
        <v>98</v>
      </c>
      <c r="AE1418" t="s">
        <v>97</v>
      </c>
      <c r="AF1418" t="s">
        <v>97</v>
      </c>
      <c r="AG1418" t="s">
        <v>99</v>
      </c>
      <c r="AH1418" t="s">
        <v>101</v>
      </c>
      <c r="AI1418">
        <v>0</v>
      </c>
      <c r="AJ1418" t="s">
        <v>101</v>
      </c>
      <c r="AK1418">
        <v>0</v>
      </c>
      <c r="AL1418">
        <v>777</v>
      </c>
      <c r="AM1418">
        <v>777</v>
      </c>
      <c r="AN1418" t="s">
        <v>102</v>
      </c>
      <c r="AO1418" t="s">
        <v>96</v>
      </c>
      <c r="AP1418" t="s">
        <v>104</v>
      </c>
      <c r="AQ1418" t="s">
        <v>105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97</v>
      </c>
      <c r="BC1418">
        <v>11</v>
      </c>
      <c r="BD1418" t="s">
        <v>106</v>
      </c>
      <c r="BE1418">
        <v>0</v>
      </c>
      <c r="BG1418" t="s">
        <v>126</v>
      </c>
      <c r="BH1418">
        <v>1971</v>
      </c>
      <c r="BI1418" t="s">
        <v>101</v>
      </c>
      <c r="BJ1418">
        <v>2</v>
      </c>
      <c r="BK1418">
        <v>560</v>
      </c>
      <c r="BL1418" t="s">
        <v>97</v>
      </c>
      <c r="BM1418" t="s">
        <v>97</v>
      </c>
      <c r="BN1418" t="s">
        <v>176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X1418">
        <v>0</v>
      </c>
      <c r="BY1418">
        <v>4</v>
      </c>
      <c r="BZ1418">
        <v>2010</v>
      </c>
      <c r="CA1418" t="s">
        <v>109</v>
      </c>
      <c r="CB1418" t="s">
        <v>110</v>
      </c>
      <c r="CC1418">
        <v>122500</v>
      </c>
    </row>
    <row r="1419" spans="1:81" x14ac:dyDescent="0.3">
      <c r="A1419">
        <v>1418</v>
      </c>
      <c r="B1419">
        <v>60</v>
      </c>
      <c r="C1419" t="s">
        <v>81</v>
      </c>
      <c r="E1419">
        <v>16545</v>
      </c>
      <c r="F1419" t="s">
        <v>82</v>
      </c>
      <c r="H1419" t="s">
        <v>119</v>
      </c>
      <c r="I1419" t="s">
        <v>84</v>
      </c>
      <c r="J1419" t="s">
        <v>85</v>
      </c>
      <c r="K1419" t="s">
        <v>86</v>
      </c>
      <c r="L1419" t="s">
        <v>87</v>
      </c>
      <c r="M1419" t="s">
        <v>128</v>
      </c>
      <c r="N1419" t="s">
        <v>89</v>
      </c>
      <c r="O1419" t="s">
        <v>89</v>
      </c>
      <c r="P1419" t="s">
        <v>90</v>
      </c>
      <c r="Q1419" t="s">
        <v>91</v>
      </c>
      <c r="R1419">
        <v>8</v>
      </c>
      <c r="S1419">
        <v>5</v>
      </c>
      <c r="T1419">
        <v>1998</v>
      </c>
      <c r="U1419">
        <v>1998</v>
      </c>
      <c r="V1419" t="s">
        <v>92</v>
      </c>
      <c r="W1419" t="s">
        <v>93</v>
      </c>
      <c r="X1419" t="s">
        <v>94</v>
      </c>
      <c r="Y1419" t="s">
        <v>94</v>
      </c>
      <c r="Z1419" t="s">
        <v>95</v>
      </c>
      <c r="AA1419">
        <v>731</v>
      </c>
      <c r="AB1419" t="s">
        <v>96</v>
      </c>
      <c r="AC1419" t="s">
        <v>97</v>
      </c>
      <c r="AD1419" t="s">
        <v>98</v>
      </c>
      <c r="AE1419" t="s">
        <v>96</v>
      </c>
      <c r="AF1419" t="s">
        <v>97</v>
      </c>
      <c r="AG1419" t="s">
        <v>120</v>
      </c>
      <c r="AH1419" t="s">
        <v>100</v>
      </c>
      <c r="AI1419">
        <v>781</v>
      </c>
      <c r="AJ1419" t="s">
        <v>101</v>
      </c>
      <c r="AK1419">
        <v>0</v>
      </c>
      <c r="AL1419">
        <v>503</v>
      </c>
      <c r="AM1419">
        <v>1284</v>
      </c>
      <c r="AN1419" t="s">
        <v>102</v>
      </c>
      <c r="AO1419" t="s">
        <v>103</v>
      </c>
      <c r="AP1419" t="s">
        <v>104</v>
      </c>
      <c r="AQ1419" t="s">
        <v>105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96</v>
      </c>
      <c r="BC1419">
        <v>7</v>
      </c>
      <c r="BD1419" t="s">
        <v>106</v>
      </c>
      <c r="BE1419">
        <v>1</v>
      </c>
      <c r="BF1419" t="s">
        <v>97</v>
      </c>
      <c r="BG1419" t="s">
        <v>107</v>
      </c>
      <c r="BH1419">
        <v>1998</v>
      </c>
      <c r="BI1419" t="s">
        <v>156</v>
      </c>
      <c r="BJ1419">
        <v>3</v>
      </c>
      <c r="BK1419">
        <v>1069</v>
      </c>
      <c r="BL1419" t="s">
        <v>97</v>
      </c>
      <c r="BM1419" t="s">
        <v>97</v>
      </c>
      <c r="BN1419" t="s">
        <v>104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X1419">
        <v>0</v>
      </c>
      <c r="BY1419">
        <v>5</v>
      </c>
      <c r="BZ1419">
        <v>2009</v>
      </c>
      <c r="CA1419" t="s">
        <v>109</v>
      </c>
      <c r="CB1419" t="s">
        <v>110</v>
      </c>
      <c r="CC1419">
        <v>340000</v>
      </c>
    </row>
    <row r="1420" spans="1:81" x14ac:dyDescent="0.3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H1420" t="s">
        <v>83</v>
      </c>
      <c r="I1420" t="s">
        <v>84</v>
      </c>
      <c r="J1420" t="s">
        <v>85</v>
      </c>
      <c r="K1420" t="s">
        <v>86</v>
      </c>
      <c r="L1420" t="s">
        <v>87</v>
      </c>
      <c r="M1420" t="s">
        <v>270</v>
      </c>
      <c r="N1420" t="s">
        <v>89</v>
      </c>
      <c r="O1420" t="s">
        <v>89</v>
      </c>
      <c r="P1420" t="s">
        <v>90</v>
      </c>
      <c r="Q1420" t="s">
        <v>114</v>
      </c>
      <c r="R1420">
        <v>5</v>
      </c>
      <c r="S1420">
        <v>5</v>
      </c>
      <c r="T1420">
        <v>1963</v>
      </c>
      <c r="U1420">
        <v>1963</v>
      </c>
      <c r="V1420" t="s">
        <v>92</v>
      </c>
      <c r="W1420" t="s">
        <v>93</v>
      </c>
      <c r="X1420" t="s">
        <v>139</v>
      </c>
      <c r="Y1420" t="s">
        <v>139</v>
      </c>
      <c r="Z1420" t="s">
        <v>116</v>
      </c>
      <c r="AA1420">
        <v>0</v>
      </c>
      <c r="AB1420" t="s">
        <v>97</v>
      </c>
      <c r="AC1420" t="s">
        <v>97</v>
      </c>
      <c r="AD1420" t="s">
        <v>117</v>
      </c>
      <c r="AE1420" t="s">
        <v>97</v>
      </c>
      <c r="AF1420" t="s">
        <v>97</v>
      </c>
      <c r="AG1420" t="s">
        <v>99</v>
      </c>
      <c r="AH1420" t="s">
        <v>140</v>
      </c>
      <c r="AI1420">
        <v>25</v>
      </c>
      <c r="AJ1420" t="s">
        <v>152</v>
      </c>
      <c r="AK1420">
        <v>872</v>
      </c>
      <c r="AL1420">
        <v>247</v>
      </c>
      <c r="AM1420">
        <v>1144</v>
      </c>
      <c r="AN1420" t="s">
        <v>102</v>
      </c>
      <c r="AO1420" t="s">
        <v>97</v>
      </c>
      <c r="AP1420" t="s">
        <v>104</v>
      </c>
      <c r="AQ1420" t="s">
        <v>105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97</v>
      </c>
      <c r="BC1420">
        <v>6</v>
      </c>
      <c r="BD1420" t="s">
        <v>106</v>
      </c>
      <c r="BE1420">
        <v>0</v>
      </c>
      <c r="BG1420" t="s">
        <v>126</v>
      </c>
      <c r="BH1420">
        <v>1962</v>
      </c>
      <c r="BI1420" t="s">
        <v>101</v>
      </c>
      <c r="BJ1420">
        <v>1</v>
      </c>
      <c r="BK1420">
        <v>336</v>
      </c>
      <c r="BL1420" t="s">
        <v>97</v>
      </c>
      <c r="BM1420" t="s">
        <v>97</v>
      </c>
      <c r="BN1420" t="s">
        <v>104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X1420">
        <v>0</v>
      </c>
      <c r="BY1420">
        <v>8</v>
      </c>
      <c r="BZ1420">
        <v>2008</v>
      </c>
      <c r="CA1420" t="s">
        <v>172</v>
      </c>
      <c r="CB1420" t="s">
        <v>110</v>
      </c>
      <c r="CC1420">
        <v>124000</v>
      </c>
    </row>
    <row r="1421" spans="1:81" x14ac:dyDescent="0.3">
      <c r="A1421">
        <v>1420</v>
      </c>
      <c r="B1421">
        <v>20</v>
      </c>
      <c r="C1421" t="s">
        <v>81</v>
      </c>
      <c r="E1421">
        <v>16381</v>
      </c>
      <c r="F1421" t="s">
        <v>82</v>
      </c>
      <c r="H1421" t="s">
        <v>119</v>
      </c>
      <c r="I1421" t="s">
        <v>84</v>
      </c>
      <c r="J1421" t="s">
        <v>85</v>
      </c>
      <c r="K1421" t="s">
        <v>86</v>
      </c>
      <c r="L1421" t="s">
        <v>87</v>
      </c>
      <c r="M1421" t="s">
        <v>122</v>
      </c>
      <c r="N1421" t="s">
        <v>89</v>
      </c>
      <c r="O1421" t="s">
        <v>89</v>
      </c>
      <c r="P1421" t="s">
        <v>90</v>
      </c>
      <c r="Q1421" t="s">
        <v>114</v>
      </c>
      <c r="R1421">
        <v>6</v>
      </c>
      <c r="S1421">
        <v>5</v>
      </c>
      <c r="T1421">
        <v>1969</v>
      </c>
      <c r="U1421">
        <v>1969</v>
      </c>
      <c r="V1421" t="s">
        <v>92</v>
      </c>
      <c r="W1421" t="s">
        <v>93</v>
      </c>
      <c r="X1421" t="s">
        <v>160</v>
      </c>
      <c r="Y1421" t="s">
        <v>160</v>
      </c>
      <c r="Z1421" t="s">
        <v>95</v>
      </c>
      <c r="AA1421">
        <v>312</v>
      </c>
      <c r="AB1421" t="s">
        <v>96</v>
      </c>
      <c r="AC1421" t="s">
        <v>96</v>
      </c>
      <c r="AD1421" t="s">
        <v>117</v>
      </c>
      <c r="AE1421" t="s">
        <v>97</v>
      </c>
      <c r="AF1421" t="s">
        <v>97</v>
      </c>
      <c r="AG1421" t="s">
        <v>129</v>
      </c>
      <c r="AH1421" t="s">
        <v>152</v>
      </c>
      <c r="AI1421">
        <v>1110</v>
      </c>
      <c r="AJ1421" t="s">
        <v>101</v>
      </c>
      <c r="AK1421">
        <v>0</v>
      </c>
      <c r="AL1421">
        <v>734</v>
      </c>
      <c r="AM1421">
        <v>1844</v>
      </c>
      <c r="AN1421" t="s">
        <v>102</v>
      </c>
      <c r="AO1421" t="s">
        <v>96</v>
      </c>
      <c r="AP1421" t="s">
        <v>104</v>
      </c>
      <c r="AQ1421" t="s">
        <v>105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96</v>
      </c>
      <c r="BC1421">
        <v>7</v>
      </c>
      <c r="BD1421" t="s">
        <v>106</v>
      </c>
      <c r="BE1421">
        <v>1</v>
      </c>
      <c r="BF1421" t="s">
        <v>97</v>
      </c>
      <c r="BG1421" t="s">
        <v>107</v>
      </c>
      <c r="BH1421">
        <v>1969</v>
      </c>
      <c r="BI1421" t="s">
        <v>108</v>
      </c>
      <c r="BJ1421">
        <v>2</v>
      </c>
      <c r="BK1421">
        <v>540</v>
      </c>
      <c r="BL1421" t="s">
        <v>97</v>
      </c>
      <c r="BM1421" t="s">
        <v>97</v>
      </c>
      <c r="BN1421" t="s">
        <v>104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X1421">
        <v>0</v>
      </c>
      <c r="BY1421">
        <v>12</v>
      </c>
      <c r="BZ1421">
        <v>2006</v>
      </c>
      <c r="CA1421" t="s">
        <v>109</v>
      </c>
      <c r="CB1421" t="s">
        <v>110</v>
      </c>
      <c r="CC1421">
        <v>223000</v>
      </c>
    </row>
    <row r="1422" spans="1:81" x14ac:dyDescent="0.3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H1422" t="s">
        <v>83</v>
      </c>
      <c r="I1422" t="s">
        <v>84</v>
      </c>
      <c r="J1422" t="s">
        <v>85</v>
      </c>
      <c r="K1422" t="s">
        <v>121</v>
      </c>
      <c r="L1422" t="s">
        <v>87</v>
      </c>
      <c r="M1422" t="s">
        <v>137</v>
      </c>
      <c r="N1422" t="s">
        <v>89</v>
      </c>
      <c r="O1422" t="s">
        <v>89</v>
      </c>
      <c r="P1422" t="s">
        <v>90</v>
      </c>
      <c r="Q1422" t="s">
        <v>91</v>
      </c>
      <c r="R1422">
        <v>6</v>
      </c>
      <c r="S1422">
        <v>6</v>
      </c>
      <c r="T1422">
        <v>1968</v>
      </c>
      <c r="U1422">
        <v>1968</v>
      </c>
      <c r="V1422" t="s">
        <v>92</v>
      </c>
      <c r="W1422" t="s">
        <v>93</v>
      </c>
      <c r="X1422" t="s">
        <v>139</v>
      </c>
      <c r="Y1422" t="s">
        <v>139</v>
      </c>
      <c r="Z1422" t="s">
        <v>95</v>
      </c>
      <c r="AA1422">
        <v>420</v>
      </c>
      <c r="AB1422" t="s">
        <v>97</v>
      </c>
      <c r="AC1422" t="s">
        <v>97</v>
      </c>
      <c r="AD1422" t="s">
        <v>117</v>
      </c>
      <c r="AE1422" t="s">
        <v>97</v>
      </c>
      <c r="AF1422" t="s">
        <v>97</v>
      </c>
      <c r="AG1422" t="s">
        <v>99</v>
      </c>
      <c r="AH1422" t="s">
        <v>118</v>
      </c>
      <c r="AI1422">
        <v>404</v>
      </c>
      <c r="AJ1422" t="s">
        <v>101</v>
      </c>
      <c r="AK1422">
        <v>0</v>
      </c>
      <c r="AL1422">
        <v>304</v>
      </c>
      <c r="AM1422">
        <v>708</v>
      </c>
      <c r="AN1422" t="s">
        <v>102</v>
      </c>
      <c r="AO1422" t="s">
        <v>96</v>
      </c>
      <c r="AP1422" t="s">
        <v>104</v>
      </c>
      <c r="AQ1422" t="s">
        <v>105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97</v>
      </c>
      <c r="BC1422">
        <v>7</v>
      </c>
      <c r="BD1422" t="s">
        <v>106</v>
      </c>
      <c r="BE1422">
        <v>1</v>
      </c>
      <c r="BF1422" t="s">
        <v>97</v>
      </c>
      <c r="BG1422" t="s">
        <v>107</v>
      </c>
      <c r="BH1422">
        <v>1968</v>
      </c>
      <c r="BI1422" t="s">
        <v>108</v>
      </c>
      <c r="BJ1422">
        <v>2</v>
      </c>
      <c r="BK1422">
        <v>776</v>
      </c>
      <c r="BL1422" t="s">
        <v>97</v>
      </c>
      <c r="BM1422" t="s">
        <v>97</v>
      </c>
      <c r="BN1422" t="s">
        <v>104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X1422">
        <v>0</v>
      </c>
      <c r="BY1422">
        <v>5</v>
      </c>
      <c r="BZ1422">
        <v>2006</v>
      </c>
      <c r="CA1422" t="s">
        <v>109</v>
      </c>
      <c r="CB1422" t="s">
        <v>110</v>
      </c>
      <c r="CC1422">
        <v>179900</v>
      </c>
    </row>
    <row r="1423" spans="1:81" x14ac:dyDescent="0.3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H1423" t="s">
        <v>83</v>
      </c>
      <c r="I1423" t="s">
        <v>84</v>
      </c>
      <c r="J1423" t="s">
        <v>85</v>
      </c>
      <c r="K1423" t="s">
        <v>86</v>
      </c>
      <c r="L1423" t="s">
        <v>87</v>
      </c>
      <c r="M1423" t="s">
        <v>215</v>
      </c>
      <c r="N1423" t="s">
        <v>89</v>
      </c>
      <c r="O1423" t="s">
        <v>89</v>
      </c>
      <c r="P1423" t="s">
        <v>178</v>
      </c>
      <c r="Q1423" t="s">
        <v>114</v>
      </c>
      <c r="R1423">
        <v>6</v>
      </c>
      <c r="S1423">
        <v>5</v>
      </c>
      <c r="T1423">
        <v>1977</v>
      </c>
      <c r="U1423">
        <v>1977</v>
      </c>
      <c r="V1423" t="s">
        <v>92</v>
      </c>
      <c r="W1423" t="s">
        <v>93</v>
      </c>
      <c r="X1423" t="s">
        <v>160</v>
      </c>
      <c r="Y1423" t="s">
        <v>160</v>
      </c>
      <c r="Z1423" t="s">
        <v>116</v>
      </c>
      <c r="AA1423">
        <v>0</v>
      </c>
      <c r="AB1423" t="s">
        <v>97</v>
      </c>
      <c r="AC1423" t="s">
        <v>97</v>
      </c>
      <c r="AD1423" t="s">
        <v>117</v>
      </c>
      <c r="AE1423" t="s">
        <v>96</v>
      </c>
      <c r="AF1423" t="s">
        <v>97</v>
      </c>
      <c r="AG1423" t="s">
        <v>99</v>
      </c>
      <c r="AH1423" t="s">
        <v>118</v>
      </c>
      <c r="AI1423">
        <v>360</v>
      </c>
      <c r="AJ1423" t="s">
        <v>101</v>
      </c>
      <c r="AK1423">
        <v>0</v>
      </c>
      <c r="AL1423">
        <v>709</v>
      </c>
      <c r="AM1423">
        <v>1069</v>
      </c>
      <c r="AN1423" t="s">
        <v>102</v>
      </c>
      <c r="AO1423" t="s">
        <v>97</v>
      </c>
      <c r="AP1423" t="s">
        <v>104</v>
      </c>
      <c r="AQ1423" t="s">
        <v>105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97</v>
      </c>
      <c r="BC1423">
        <v>4</v>
      </c>
      <c r="BD1423" t="s">
        <v>106</v>
      </c>
      <c r="BE1423">
        <v>1</v>
      </c>
      <c r="BF1423" t="s">
        <v>146</v>
      </c>
      <c r="BG1423" t="s">
        <v>107</v>
      </c>
      <c r="BH1423">
        <v>1977</v>
      </c>
      <c r="BI1423" t="s">
        <v>108</v>
      </c>
      <c r="BJ1423">
        <v>2</v>
      </c>
      <c r="BK1423">
        <v>440</v>
      </c>
      <c r="BL1423" t="s">
        <v>97</v>
      </c>
      <c r="BM1423" t="s">
        <v>97</v>
      </c>
      <c r="BN1423" t="s">
        <v>104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X1423">
        <v>0</v>
      </c>
      <c r="BY1423">
        <v>7</v>
      </c>
      <c r="BZ1423">
        <v>2010</v>
      </c>
      <c r="CA1423" t="s">
        <v>109</v>
      </c>
      <c r="CB1423" t="s">
        <v>110</v>
      </c>
      <c r="CC1423">
        <v>127500</v>
      </c>
    </row>
    <row r="1424" spans="1:81" x14ac:dyDescent="0.3">
      <c r="A1424">
        <v>1423</v>
      </c>
      <c r="B1424">
        <v>120</v>
      </c>
      <c r="C1424" t="s">
        <v>141</v>
      </c>
      <c r="D1424">
        <v>37</v>
      </c>
      <c r="E1424">
        <v>4435</v>
      </c>
      <c r="F1424" t="s">
        <v>82</v>
      </c>
      <c r="H1424" t="s">
        <v>83</v>
      </c>
      <c r="I1424" t="s">
        <v>84</v>
      </c>
      <c r="J1424" t="s">
        <v>85</v>
      </c>
      <c r="K1424" t="s">
        <v>86</v>
      </c>
      <c r="L1424" t="s">
        <v>87</v>
      </c>
      <c r="M1424" t="s">
        <v>88</v>
      </c>
      <c r="N1424" t="s">
        <v>89</v>
      </c>
      <c r="O1424" t="s">
        <v>89</v>
      </c>
      <c r="P1424" t="s">
        <v>178</v>
      </c>
      <c r="Q1424" t="s">
        <v>114</v>
      </c>
      <c r="R1424">
        <v>6</v>
      </c>
      <c r="S1424">
        <v>5</v>
      </c>
      <c r="T1424">
        <v>2003</v>
      </c>
      <c r="U1424">
        <v>2003</v>
      </c>
      <c r="V1424" t="s">
        <v>92</v>
      </c>
      <c r="W1424" t="s">
        <v>93</v>
      </c>
      <c r="X1424" t="s">
        <v>94</v>
      </c>
      <c r="Y1424" t="s">
        <v>94</v>
      </c>
      <c r="Z1424" t="s">
        <v>95</v>
      </c>
      <c r="AA1424">
        <v>170</v>
      </c>
      <c r="AB1424" t="s">
        <v>96</v>
      </c>
      <c r="AC1424" t="s">
        <v>97</v>
      </c>
      <c r="AD1424" t="s">
        <v>98</v>
      </c>
      <c r="AE1424" t="s">
        <v>96</v>
      </c>
      <c r="AF1424" t="s">
        <v>97</v>
      </c>
      <c r="AG1424" t="s">
        <v>129</v>
      </c>
      <c r="AH1424" t="s">
        <v>100</v>
      </c>
      <c r="AI1424">
        <v>686</v>
      </c>
      <c r="AJ1424" t="s">
        <v>101</v>
      </c>
      <c r="AK1424">
        <v>0</v>
      </c>
      <c r="AL1424">
        <v>162</v>
      </c>
      <c r="AM1424">
        <v>848</v>
      </c>
      <c r="AN1424" t="s">
        <v>102</v>
      </c>
      <c r="AO1424" t="s">
        <v>103</v>
      </c>
      <c r="AP1424" t="s">
        <v>104</v>
      </c>
      <c r="AQ1424" t="s">
        <v>105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96</v>
      </c>
      <c r="BC1424">
        <v>3</v>
      </c>
      <c r="BD1424" t="s">
        <v>106</v>
      </c>
      <c r="BE1424">
        <v>0</v>
      </c>
      <c r="BG1424" t="s">
        <v>107</v>
      </c>
      <c r="BH1424">
        <v>2003</v>
      </c>
      <c r="BI1424" t="s">
        <v>156</v>
      </c>
      <c r="BJ1424">
        <v>2</v>
      </c>
      <c r="BK1424">
        <v>420</v>
      </c>
      <c r="BL1424" t="s">
        <v>97</v>
      </c>
      <c r="BM1424" t="s">
        <v>97</v>
      </c>
      <c r="BN1424" t="s">
        <v>104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X1424">
        <v>0</v>
      </c>
      <c r="BY1424">
        <v>3</v>
      </c>
      <c r="BZ1424">
        <v>2008</v>
      </c>
      <c r="CA1424" t="s">
        <v>109</v>
      </c>
      <c r="CB1424" t="s">
        <v>110</v>
      </c>
      <c r="CC1424">
        <v>136500</v>
      </c>
    </row>
    <row r="1425" spans="1:81" x14ac:dyDescent="0.3">
      <c r="A1425">
        <v>1424</v>
      </c>
      <c r="B1425">
        <v>80</v>
      </c>
      <c r="C1425" t="s">
        <v>81</v>
      </c>
      <c r="E1425">
        <v>19690</v>
      </c>
      <c r="F1425" t="s">
        <v>82</v>
      </c>
      <c r="H1425" t="s">
        <v>119</v>
      </c>
      <c r="I1425" t="s">
        <v>84</v>
      </c>
      <c r="J1425" t="s">
        <v>85</v>
      </c>
      <c r="K1425" t="s">
        <v>165</v>
      </c>
      <c r="L1425" t="s">
        <v>87</v>
      </c>
      <c r="M1425" t="s">
        <v>184</v>
      </c>
      <c r="N1425" t="s">
        <v>89</v>
      </c>
      <c r="O1425" t="s">
        <v>89</v>
      </c>
      <c r="P1425" t="s">
        <v>90</v>
      </c>
      <c r="Q1425" t="s">
        <v>196</v>
      </c>
      <c r="R1425">
        <v>6</v>
      </c>
      <c r="S1425">
        <v>7</v>
      </c>
      <c r="T1425">
        <v>1966</v>
      </c>
      <c r="U1425">
        <v>1966</v>
      </c>
      <c r="V1425" t="s">
        <v>213</v>
      </c>
      <c r="W1425" t="s">
        <v>241</v>
      </c>
      <c r="X1425" t="s">
        <v>160</v>
      </c>
      <c r="Y1425" t="s">
        <v>160</v>
      </c>
      <c r="Z1425" t="s">
        <v>116</v>
      </c>
      <c r="AA1425">
        <v>0</v>
      </c>
      <c r="AB1425" t="s">
        <v>96</v>
      </c>
      <c r="AC1425" t="s">
        <v>96</v>
      </c>
      <c r="AD1425" t="s">
        <v>117</v>
      </c>
      <c r="AE1425" t="s">
        <v>96</v>
      </c>
      <c r="AF1425" t="s">
        <v>97</v>
      </c>
      <c r="AG1425" t="s">
        <v>129</v>
      </c>
      <c r="AH1425" t="s">
        <v>101</v>
      </c>
      <c r="AI1425">
        <v>0</v>
      </c>
      <c r="AJ1425" t="s">
        <v>101</v>
      </c>
      <c r="AK1425">
        <v>0</v>
      </c>
      <c r="AL1425">
        <v>697</v>
      </c>
      <c r="AM1425">
        <v>697</v>
      </c>
      <c r="AN1425" t="s">
        <v>102</v>
      </c>
      <c r="AO1425" t="s">
        <v>97</v>
      </c>
      <c r="AP1425" t="s">
        <v>104</v>
      </c>
      <c r="AQ1425" t="s">
        <v>105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96</v>
      </c>
      <c r="BC1425">
        <v>8</v>
      </c>
      <c r="BD1425" t="s">
        <v>106</v>
      </c>
      <c r="BE1425">
        <v>1</v>
      </c>
      <c r="BF1425" t="s">
        <v>96</v>
      </c>
      <c r="BG1425" t="s">
        <v>107</v>
      </c>
      <c r="BH1425">
        <v>1966</v>
      </c>
      <c r="BI1425" t="s">
        <v>101</v>
      </c>
      <c r="BJ1425">
        <v>2</v>
      </c>
      <c r="BK1425">
        <v>432</v>
      </c>
      <c r="BL1425" t="s">
        <v>96</v>
      </c>
      <c r="BM1425" t="s">
        <v>96</v>
      </c>
      <c r="BN1425" t="s">
        <v>104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96</v>
      </c>
      <c r="BV1425" t="s">
        <v>164</v>
      </c>
      <c r="BX1425">
        <v>0</v>
      </c>
      <c r="BY1425">
        <v>8</v>
      </c>
      <c r="BZ1425">
        <v>2006</v>
      </c>
      <c r="CA1425" t="s">
        <v>109</v>
      </c>
      <c r="CB1425" t="s">
        <v>209</v>
      </c>
      <c r="CC1425">
        <v>274970</v>
      </c>
    </row>
    <row r="1426" spans="1:81" x14ac:dyDescent="0.3">
      <c r="A1426">
        <v>1425</v>
      </c>
      <c r="B1426">
        <v>20</v>
      </c>
      <c r="C1426" t="s">
        <v>81</v>
      </c>
      <c r="E1426">
        <v>9503</v>
      </c>
      <c r="F1426" t="s">
        <v>82</v>
      </c>
      <c r="H1426" t="s">
        <v>83</v>
      </c>
      <c r="I1426" t="s">
        <v>84</v>
      </c>
      <c r="J1426" t="s">
        <v>85</v>
      </c>
      <c r="K1426" t="s">
        <v>86</v>
      </c>
      <c r="L1426" t="s">
        <v>87</v>
      </c>
      <c r="M1426" t="s">
        <v>270</v>
      </c>
      <c r="N1426" t="s">
        <v>89</v>
      </c>
      <c r="O1426" t="s">
        <v>89</v>
      </c>
      <c r="P1426" t="s">
        <v>90</v>
      </c>
      <c r="Q1426" t="s">
        <v>114</v>
      </c>
      <c r="R1426">
        <v>5</v>
      </c>
      <c r="S1426">
        <v>5</v>
      </c>
      <c r="T1426">
        <v>1958</v>
      </c>
      <c r="U1426">
        <v>1983</v>
      </c>
      <c r="V1426" t="s">
        <v>151</v>
      </c>
      <c r="W1426" t="s">
        <v>93</v>
      </c>
      <c r="X1426" t="s">
        <v>139</v>
      </c>
      <c r="Y1426" t="s">
        <v>139</v>
      </c>
      <c r="Z1426" t="s">
        <v>116</v>
      </c>
      <c r="AA1426">
        <v>0</v>
      </c>
      <c r="AB1426" t="s">
        <v>97</v>
      </c>
      <c r="AC1426" t="s">
        <v>97</v>
      </c>
      <c r="AD1426" t="s">
        <v>117</v>
      </c>
      <c r="AE1426" t="s">
        <v>97</v>
      </c>
      <c r="AF1426" t="s">
        <v>97</v>
      </c>
      <c r="AG1426" t="s">
        <v>99</v>
      </c>
      <c r="AH1426" t="s">
        <v>118</v>
      </c>
      <c r="AI1426">
        <v>457</v>
      </c>
      <c r="AJ1426" t="s">
        <v>152</v>
      </c>
      <c r="AK1426">
        <v>374</v>
      </c>
      <c r="AL1426">
        <v>193</v>
      </c>
      <c r="AM1426">
        <v>1024</v>
      </c>
      <c r="AN1426" t="s">
        <v>102</v>
      </c>
      <c r="AO1426" t="s">
        <v>97</v>
      </c>
      <c r="AP1426" t="s">
        <v>104</v>
      </c>
      <c r="AQ1426" t="s">
        <v>105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97</v>
      </c>
      <c r="BC1426">
        <v>6</v>
      </c>
      <c r="BD1426" t="s">
        <v>145</v>
      </c>
      <c r="BE1426">
        <v>1</v>
      </c>
      <c r="BF1426" t="s">
        <v>97</v>
      </c>
      <c r="BG1426" t="s">
        <v>126</v>
      </c>
      <c r="BH1426">
        <v>1970</v>
      </c>
      <c r="BI1426" t="s">
        <v>101</v>
      </c>
      <c r="BJ1426">
        <v>1</v>
      </c>
      <c r="BK1426">
        <v>484</v>
      </c>
      <c r="BL1426" t="s">
        <v>97</v>
      </c>
      <c r="BM1426" t="s">
        <v>97</v>
      </c>
      <c r="BN1426" t="s">
        <v>104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V1426" t="s">
        <v>162</v>
      </c>
      <c r="BX1426">
        <v>0</v>
      </c>
      <c r="BY1426">
        <v>6</v>
      </c>
      <c r="BZ1426">
        <v>2007</v>
      </c>
      <c r="CA1426" t="s">
        <v>109</v>
      </c>
      <c r="CB1426" t="s">
        <v>110</v>
      </c>
      <c r="CC1426">
        <v>144000</v>
      </c>
    </row>
    <row r="1427" spans="1:81" x14ac:dyDescent="0.3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H1427" t="s">
        <v>119</v>
      </c>
      <c r="I1427" t="s">
        <v>84</v>
      </c>
      <c r="J1427" t="s">
        <v>85</v>
      </c>
      <c r="K1427" t="s">
        <v>86</v>
      </c>
      <c r="L1427" t="s">
        <v>87</v>
      </c>
      <c r="M1427" t="s">
        <v>270</v>
      </c>
      <c r="N1427" t="s">
        <v>89</v>
      </c>
      <c r="O1427" t="s">
        <v>89</v>
      </c>
      <c r="P1427" t="s">
        <v>90</v>
      </c>
      <c r="Q1427" t="s">
        <v>114</v>
      </c>
      <c r="R1427">
        <v>6</v>
      </c>
      <c r="S1427">
        <v>6</v>
      </c>
      <c r="T1427">
        <v>1959</v>
      </c>
      <c r="U1427">
        <v>1959</v>
      </c>
      <c r="V1427" t="s">
        <v>151</v>
      </c>
      <c r="W1427" t="s">
        <v>93</v>
      </c>
      <c r="X1427" t="s">
        <v>139</v>
      </c>
      <c r="Y1427" t="s">
        <v>139</v>
      </c>
      <c r="Z1427" t="s">
        <v>136</v>
      </c>
      <c r="AA1427">
        <v>243</v>
      </c>
      <c r="AB1427" t="s">
        <v>96</v>
      </c>
      <c r="AC1427" t="s">
        <v>97</v>
      </c>
      <c r="AD1427" t="s">
        <v>117</v>
      </c>
      <c r="AE1427" t="s">
        <v>97</v>
      </c>
      <c r="AF1427" t="s">
        <v>97</v>
      </c>
      <c r="AG1427" t="s">
        <v>99</v>
      </c>
      <c r="AH1427" t="s">
        <v>101</v>
      </c>
      <c r="AI1427">
        <v>0</v>
      </c>
      <c r="AJ1427" t="s">
        <v>101</v>
      </c>
      <c r="AK1427">
        <v>0</v>
      </c>
      <c r="AL1427">
        <v>1252</v>
      </c>
      <c r="AM1427">
        <v>1252</v>
      </c>
      <c r="AN1427" t="s">
        <v>102</v>
      </c>
      <c r="AO1427" t="s">
        <v>103</v>
      </c>
      <c r="AP1427" t="s">
        <v>104</v>
      </c>
      <c r="AQ1427" t="s">
        <v>105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96</v>
      </c>
      <c r="BC1427">
        <v>7</v>
      </c>
      <c r="BD1427" t="s">
        <v>106</v>
      </c>
      <c r="BE1427">
        <v>0</v>
      </c>
      <c r="BG1427" t="s">
        <v>126</v>
      </c>
      <c r="BH1427">
        <v>1960</v>
      </c>
      <c r="BI1427" t="s">
        <v>101</v>
      </c>
      <c r="BJ1427">
        <v>2</v>
      </c>
      <c r="BK1427">
        <v>528</v>
      </c>
      <c r="BL1427" t="s">
        <v>97</v>
      </c>
      <c r="BM1427" t="s">
        <v>97</v>
      </c>
      <c r="BN1427" t="s">
        <v>104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X1427">
        <v>0</v>
      </c>
      <c r="BY1427">
        <v>10</v>
      </c>
      <c r="BZ1427">
        <v>2008</v>
      </c>
      <c r="CA1427" t="s">
        <v>109</v>
      </c>
      <c r="CB1427" t="s">
        <v>110</v>
      </c>
      <c r="CC1427">
        <v>142000</v>
      </c>
    </row>
    <row r="1428" spans="1:81" x14ac:dyDescent="0.3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H1428" t="s">
        <v>119</v>
      </c>
      <c r="I1428" t="s">
        <v>84</v>
      </c>
      <c r="J1428" t="s">
        <v>85</v>
      </c>
      <c r="K1428" t="s">
        <v>86</v>
      </c>
      <c r="L1428" t="s">
        <v>87</v>
      </c>
      <c r="M1428" t="s">
        <v>128</v>
      </c>
      <c r="N1428" t="s">
        <v>89</v>
      </c>
      <c r="O1428" t="s">
        <v>89</v>
      </c>
      <c r="P1428" t="s">
        <v>90</v>
      </c>
      <c r="Q1428" t="s">
        <v>91</v>
      </c>
      <c r="R1428">
        <v>7</v>
      </c>
      <c r="S1428">
        <v>5</v>
      </c>
      <c r="T1428">
        <v>1994</v>
      </c>
      <c r="U1428">
        <v>1994</v>
      </c>
      <c r="V1428" t="s">
        <v>92</v>
      </c>
      <c r="W1428" t="s">
        <v>93</v>
      </c>
      <c r="X1428" t="s">
        <v>94</v>
      </c>
      <c r="Y1428" t="s">
        <v>94</v>
      </c>
      <c r="Z1428" t="s">
        <v>95</v>
      </c>
      <c r="AA1428">
        <v>448</v>
      </c>
      <c r="AB1428" t="s">
        <v>96</v>
      </c>
      <c r="AC1428" t="s">
        <v>97</v>
      </c>
      <c r="AD1428" t="s">
        <v>98</v>
      </c>
      <c r="AE1428" t="s">
        <v>96</v>
      </c>
      <c r="AF1428" t="s">
        <v>97</v>
      </c>
      <c r="AG1428" t="s">
        <v>99</v>
      </c>
      <c r="AH1428" t="s">
        <v>100</v>
      </c>
      <c r="AI1428">
        <v>1000</v>
      </c>
      <c r="AJ1428" t="s">
        <v>101</v>
      </c>
      <c r="AK1428">
        <v>0</v>
      </c>
      <c r="AL1428">
        <v>223</v>
      </c>
      <c r="AM1428">
        <v>1223</v>
      </c>
      <c r="AN1428" t="s">
        <v>102</v>
      </c>
      <c r="AO1428" t="s">
        <v>103</v>
      </c>
      <c r="AP1428" t="s">
        <v>104</v>
      </c>
      <c r="AQ1428" t="s">
        <v>105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96</v>
      </c>
      <c r="BC1428">
        <v>5</v>
      </c>
      <c r="BD1428" t="s">
        <v>106</v>
      </c>
      <c r="BE1428">
        <v>2</v>
      </c>
      <c r="BF1428" t="s">
        <v>97</v>
      </c>
      <c r="BG1428" t="s">
        <v>107</v>
      </c>
      <c r="BH1428">
        <v>1994</v>
      </c>
      <c r="BI1428" t="s">
        <v>108</v>
      </c>
      <c r="BJ1428">
        <v>2</v>
      </c>
      <c r="BK1428">
        <v>525</v>
      </c>
      <c r="BL1428" t="s">
        <v>97</v>
      </c>
      <c r="BM1428" t="s">
        <v>97</v>
      </c>
      <c r="BN1428" t="s">
        <v>104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X1428">
        <v>0</v>
      </c>
      <c r="BY1428">
        <v>8</v>
      </c>
      <c r="BZ1428">
        <v>2008</v>
      </c>
      <c r="CA1428" t="s">
        <v>109</v>
      </c>
      <c r="CB1428" t="s">
        <v>110</v>
      </c>
      <c r="CC1428">
        <v>271000</v>
      </c>
    </row>
    <row r="1429" spans="1:81" x14ac:dyDescent="0.3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173</v>
      </c>
      <c r="H1429" t="s">
        <v>83</v>
      </c>
      <c r="I1429" t="s">
        <v>174</v>
      </c>
      <c r="J1429" t="s">
        <v>85</v>
      </c>
      <c r="K1429" t="s">
        <v>86</v>
      </c>
      <c r="L1429" t="s">
        <v>87</v>
      </c>
      <c r="M1429" t="s">
        <v>270</v>
      </c>
      <c r="N1429" t="s">
        <v>143</v>
      </c>
      <c r="O1429" t="s">
        <v>89</v>
      </c>
      <c r="P1429" t="s">
        <v>90</v>
      </c>
      <c r="Q1429" t="s">
        <v>131</v>
      </c>
      <c r="R1429">
        <v>5</v>
      </c>
      <c r="S1429">
        <v>6</v>
      </c>
      <c r="T1429">
        <v>1945</v>
      </c>
      <c r="U1429">
        <v>1950</v>
      </c>
      <c r="V1429" t="s">
        <v>92</v>
      </c>
      <c r="W1429" t="s">
        <v>93</v>
      </c>
      <c r="X1429" t="s">
        <v>115</v>
      </c>
      <c r="Y1429" t="s">
        <v>115</v>
      </c>
      <c r="Z1429" t="s">
        <v>116</v>
      </c>
      <c r="AA1429">
        <v>0</v>
      </c>
      <c r="AB1429" t="s">
        <v>97</v>
      </c>
      <c r="AC1429" t="s">
        <v>97</v>
      </c>
      <c r="AD1429" t="s">
        <v>117</v>
      </c>
      <c r="AE1429" t="s">
        <v>97</v>
      </c>
      <c r="AF1429" t="s">
        <v>97</v>
      </c>
      <c r="AG1429" t="s">
        <v>99</v>
      </c>
      <c r="AH1429" t="s">
        <v>140</v>
      </c>
      <c r="AI1429">
        <v>580</v>
      </c>
      <c r="AJ1429" t="s">
        <v>101</v>
      </c>
      <c r="AK1429">
        <v>0</v>
      </c>
      <c r="AL1429">
        <v>333</v>
      </c>
      <c r="AM1429">
        <v>913</v>
      </c>
      <c r="AN1429" t="s">
        <v>102</v>
      </c>
      <c r="AO1429" t="s">
        <v>97</v>
      </c>
      <c r="AP1429" t="s">
        <v>104</v>
      </c>
      <c r="AQ1429" t="s">
        <v>163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97</v>
      </c>
      <c r="BC1429">
        <v>6</v>
      </c>
      <c r="BD1429" t="s">
        <v>106</v>
      </c>
      <c r="BE1429">
        <v>1</v>
      </c>
      <c r="BF1429" t="s">
        <v>97</v>
      </c>
      <c r="BG1429" t="s">
        <v>107</v>
      </c>
      <c r="BH1429">
        <v>1962</v>
      </c>
      <c r="BI1429" t="s">
        <v>101</v>
      </c>
      <c r="BJ1429">
        <v>1</v>
      </c>
      <c r="BK1429">
        <v>288</v>
      </c>
      <c r="BL1429" t="s">
        <v>97</v>
      </c>
      <c r="BM1429" t="s">
        <v>97</v>
      </c>
      <c r="BN1429" t="s">
        <v>104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X1429">
        <v>0</v>
      </c>
      <c r="BY1429">
        <v>4</v>
      </c>
      <c r="BZ1429">
        <v>2008</v>
      </c>
      <c r="CA1429" t="s">
        <v>109</v>
      </c>
      <c r="CB1429" t="s">
        <v>110</v>
      </c>
      <c r="CC1429">
        <v>140000</v>
      </c>
    </row>
    <row r="1430" spans="1:81" x14ac:dyDescent="0.3">
      <c r="A1430">
        <v>1429</v>
      </c>
      <c r="B1430">
        <v>30</v>
      </c>
      <c r="C1430" t="s">
        <v>141</v>
      </c>
      <c r="D1430">
        <v>60</v>
      </c>
      <c r="E1430">
        <v>7200</v>
      </c>
      <c r="F1430" t="s">
        <v>82</v>
      </c>
      <c r="H1430" t="s">
        <v>83</v>
      </c>
      <c r="I1430" t="s">
        <v>84</v>
      </c>
      <c r="J1430" t="s">
        <v>85</v>
      </c>
      <c r="K1430" t="s">
        <v>121</v>
      </c>
      <c r="L1430" t="s">
        <v>87</v>
      </c>
      <c r="M1430" t="s">
        <v>142</v>
      </c>
      <c r="N1430" t="s">
        <v>89</v>
      </c>
      <c r="O1430" t="s">
        <v>89</v>
      </c>
      <c r="P1430" t="s">
        <v>90</v>
      </c>
      <c r="Q1430" t="s">
        <v>114</v>
      </c>
      <c r="R1430">
        <v>5</v>
      </c>
      <c r="S1430">
        <v>7</v>
      </c>
      <c r="T1430">
        <v>1940</v>
      </c>
      <c r="U1430">
        <v>1992</v>
      </c>
      <c r="V1430" t="s">
        <v>92</v>
      </c>
      <c r="W1430" t="s">
        <v>93</v>
      </c>
      <c r="X1430" t="s">
        <v>115</v>
      </c>
      <c r="Y1430" t="s">
        <v>115</v>
      </c>
      <c r="Z1430" t="s">
        <v>136</v>
      </c>
      <c r="AA1430">
        <v>294</v>
      </c>
      <c r="AB1430" t="s">
        <v>97</v>
      </c>
      <c r="AC1430" t="s">
        <v>96</v>
      </c>
      <c r="AD1430" t="s">
        <v>117</v>
      </c>
      <c r="AE1430" t="s">
        <v>97</v>
      </c>
      <c r="AF1430" t="s">
        <v>97</v>
      </c>
      <c r="AG1430" t="s">
        <v>99</v>
      </c>
      <c r="AH1430" t="s">
        <v>140</v>
      </c>
      <c r="AI1430">
        <v>510</v>
      </c>
      <c r="AJ1430" t="s">
        <v>101</v>
      </c>
      <c r="AK1430">
        <v>0</v>
      </c>
      <c r="AL1430">
        <v>278</v>
      </c>
      <c r="AM1430">
        <v>788</v>
      </c>
      <c r="AN1430" t="s">
        <v>102</v>
      </c>
      <c r="AO1430" t="s">
        <v>97</v>
      </c>
      <c r="AP1430" t="s">
        <v>104</v>
      </c>
      <c r="AQ1430" t="s">
        <v>105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96</v>
      </c>
      <c r="BC1430">
        <v>4</v>
      </c>
      <c r="BD1430" t="s">
        <v>106</v>
      </c>
      <c r="BE1430">
        <v>2</v>
      </c>
      <c r="BF1430" t="s">
        <v>96</v>
      </c>
      <c r="BG1430" t="s">
        <v>107</v>
      </c>
      <c r="BH1430">
        <v>1940</v>
      </c>
      <c r="BI1430" t="s">
        <v>101</v>
      </c>
      <c r="BJ1430">
        <v>1</v>
      </c>
      <c r="BK1430">
        <v>240</v>
      </c>
      <c r="BL1430" t="s">
        <v>97</v>
      </c>
      <c r="BM1430" t="s">
        <v>97</v>
      </c>
      <c r="BN1430" t="s">
        <v>104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V1430" t="s">
        <v>133</v>
      </c>
      <c r="BX1430">
        <v>0</v>
      </c>
      <c r="BY1430">
        <v>2</v>
      </c>
      <c r="BZ1430">
        <v>2010</v>
      </c>
      <c r="CA1430" t="s">
        <v>109</v>
      </c>
      <c r="CB1430" t="s">
        <v>127</v>
      </c>
      <c r="CC1430">
        <v>119000</v>
      </c>
    </row>
    <row r="1431" spans="1:81" x14ac:dyDescent="0.3">
      <c r="A1431">
        <v>1430</v>
      </c>
      <c r="B1431">
        <v>20</v>
      </c>
      <c r="C1431" t="s">
        <v>81</v>
      </c>
      <c r="E1431">
        <v>12546</v>
      </c>
      <c r="F1431" t="s">
        <v>82</v>
      </c>
      <c r="H1431" t="s">
        <v>119</v>
      </c>
      <c r="I1431" t="s">
        <v>84</v>
      </c>
      <c r="J1431" t="s">
        <v>85</v>
      </c>
      <c r="K1431" t="s">
        <v>121</v>
      </c>
      <c r="L1431" t="s">
        <v>87</v>
      </c>
      <c r="M1431" t="s">
        <v>137</v>
      </c>
      <c r="N1431" t="s">
        <v>89</v>
      </c>
      <c r="O1431" t="s">
        <v>89</v>
      </c>
      <c r="P1431" t="s">
        <v>90</v>
      </c>
      <c r="Q1431" t="s">
        <v>114</v>
      </c>
      <c r="R1431">
        <v>6</v>
      </c>
      <c r="S1431">
        <v>7</v>
      </c>
      <c r="T1431">
        <v>1981</v>
      </c>
      <c r="U1431">
        <v>1981</v>
      </c>
      <c r="V1431" t="s">
        <v>92</v>
      </c>
      <c r="W1431" t="s">
        <v>93</v>
      </c>
      <c r="X1431" t="s">
        <v>115</v>
      </c>
      <c r="Y1431" t="s">
        <v>115</v>
      </c>
      <c r="Z1431" t="s">
        <v>95</v>
      </c>
      <c r="AA1431">
        <v>310</v>
      </c>
      <c r="AB1431" t="s">
        <v>96</v>
      </c>
      <c r="AC1431" t="s">
        <v>96</v>
      </c>
      <c r="AD1431" t="s">
        <v>117</v>
      </c>
      <c r="AE1431" t="s">
        <v>96</v>
      </c>
      <c r="AF1431" t="s">
        <v>97</v>
      </c>
      <c r="AG1431" t="s">
        <v>99</v>
      </c>
      <c r="AH1431" t="s">
        <v>140</v>
      </c>
      <c r="AI1431">
        <v>678</v>
      </c>
      <c r="AJ1431" t="s">
        <v>101</v>
      </c>
      <c r="AK1431">
        <v>0</v>
      </c>
      <c r="AL1431">
        <v>762</v>
      </c>
      <c r="AM1431">
        <v>1440</v>
      </c>
      <c r="AN1431" t="s">
        <v>102</v>
      </c>
      <c r="AO1431" t="s">
        <v>103</v>
      </c>
      <c r="AP1431" t="s">
        <v>104</v>
      </c>
      <c r="AQ1431" t="s">
        <v>105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96</v>
      </c>
      <c r="BC1431">
        <v>7</v>
      </c>
      <c r="BD1431" t="s">
        <v>106</v>
      </c>
      <c r="BE1431">
        <v>1</v>
      </c>
      <c r="BF1431" t="s">
        <v>97</v>
      </c>
      <c r="BG1431" t="s">
        <v>107</v>
      </c>
      <c r="BH1431">
        <v>1981</v>
      </c>
      <c r="BI1431" t="s">
        <v>156</v>
      </c>
      <c r="BJ1431">
        <v>2</v>
      </c>
      <c r="BK1431">
        <v>467</v>
      </c>
      <c r="BL1431" t="s">
        <v>97</v>
      </c>
      <c r="BM1431" t="s">
        <v>97</v>
      </c>
      <c r="BN1431" t="s">
        <v>104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X1431">
        <v>0</v>
      </c>
      <c r="BY1431">
        <v>4</v>
      </c>
      <c r="BZ1431">
        <v>2007</v>
      </c>
      <c r="CA1431" t="s">
        <v>109</v>
      </c>
      <c r="CB1431" t="s">
        <v>110</v>
      </c>
      <c r="CC1431">
        <v>182900</v>
      </c>
    </row>
    <row r="1432" spans="1:81" x14ac:dyDescent="0.3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H1432" t="s">
        <v>230</v>
      </c>
      <c r="I1432" t="s">
        <v>84</v>
      </c>
      <c r="J1432" t="s">
        <v>85</v>
      </c>
      <c r="K1432" t="s">
        <v>86</v>
      </c>
      <c r="L1432" t="s">
        <v>87</v>
      </c>
      <c r="M1432" t="s">
        <v>192</v>
      </c>
      <c r="N1432" t="s">
        <v>201</v>
      </c>
      <c r="O1432" t="s">
        <v>89</v>
      </c>
      <c r="P1432" t="s">
        <v>90</v>
      </c>
      <c r="Q1432" t="s">
        <v>91</v>
      </c>
      <c r="R1432">
        <v>5</v>
      </c>
      <c r="S1432">
        <v>5</v>
      </c>
      <c r="T1432">
        <v>2005</v>
      </c>
      <c r="U1432">
        <v>2005</v>
      </c>
      <c r="V1432" t="s">
        <v>92</v>
      </c>
      <c r="W1432" t="s">
        <v>93</v>
      </c>
      <c r="X1432" t="s">
        <v>94</v>
      </c>
      <c r="Y1432" t="s">
        <v>94</v>
      </c>
      <c r="Z1432" t="s">
        <v>116</v>
      </c>
      <c r="AA1432">
        <v>0</v>
      </c>
      <c r="AB1432" t="s">
        <v>96</v>
      </c>
      <c r="AC1432" t="s">
        <v>97</v>
      </c>
      <c r="AD1432" t="s">
        <v>98</v>
      </c>
      <c r="AE1432" t="s">
        <v>96</v>
      </c>
      <c r="AF1432" t="s">
        <v>96</v>
      </c>
      <c r="AG1432" t="s">
        <v>129</v>
      </c>
      <c r="AH1432" t="s">
        <v>101</v>
      </c>
      <c r="AI1432">
        <v>0</v>
      </c>
      <c r="AJ1432" t="s">
        <v>101</v>
      </c>
      <c r="AK1432">
        <v>0</v>
      </c>
      <c r="AL1432">
        <v>732</v>
      </c>
      <c r="AM1432">
        <v>732</v>
      </c>
      <c r="AN1432" t="s">
        <v>102</v>
      </c>
      <c r="AO1432" t="s">
        <v>103</v>
      </c>
      <c r="AP1432" t="s">
        <v>104</v>
      </c>
      <c r="AQ1432" t="s">
        <v>105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97</v>
      </c>
      <c r="BC1432">
        <v>7</v>
      </c>
      <c r="BD1432" t="s">
        <v>106</v>
      </c>
      <c r="BE1432">
        <v>1</v>
      </c>
      <c r="BF1432" t="s">
        <v>96</v>
      </c>
      <c r="BG1432" t="s">
        <v>155</v>
      </c>
      <c r="BH1432">
        <v>2005</v>
      </c>
      <c r="BI1432" t="s">
        <v>156</v>
      </c>
      <c r="BJ1432">
        <v>2</v>
      </c>
      <c r="BK1432">
        <v>372</v>
      </c>
      <c r="BL1432" t="s">
        <v>97</v>
      </c>
      <c r="BM1432" t="s">
        <v>97</v>
      </c>
      <c r="BN1432" t="s">
        <v>104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X1432">
        <v>0</v>
      </c>
      <c r="BY1432">
        <v>7</v>
      </c>
      <c r="BZ1432">
        <v>2006</v>
      </c>
      <c r="CA1432" t="s">
        <v>109</v>
      </c>
      <c r="CB1432" t="s">
        <v>110</v>
      </c>
      <c r="CC1432">
        <v>192140</v>
      </c>
    </row>
    <row r="1433" spans="1:81" x14ac:dyDescent="0.3">
      <c r="A1433">
        <v>1432</v>
      </c>
      <c r="B1433">
        <v>120</v>
      </c>
      <c r="C1433" t="s">
        <v>81</v>
      </c>
      <c r="E1433">
        <v>4928</v>
      </c>
      <c r="F1433" t="s">
        <v>82</v>
      </c>
      <c r="H1433" t="s">
        <v>119</v>
      </c>
      <c r="I1433" t="s">
        <v>84</v>
      </c>
      <c r="J1433" t="s">
        <v>85</v>
      </c>
      <c r="K1433" t="s">
        <v>86</v>
      </c>
      <c r="L1433" t="s">
        <v>87</v>
      </c>
      <c r="M1433" t="s">
        <v>215</v>
      </c>
      <c r="N1433" t="s">
        <v>89</v>
      </c>
      <c r="O1433" t="s">
        <v>89</v>
      </c>
      <c r="P1433" t="s">
        <v>178</v>
      </c>
      <c r="Q1433" t="s">
        <v>114</v>
      </c>
      <c r="R1433">
        <v>6</v>
      </c>
      <c r="S1433">
        <v>6</v>
      </c>
      <c r="T1433">
        <v>1976</v>
      </c>
      <c r="U1433">
        <v>1976</v>
      </c>
      <c r="V1433" t="s">
        <v>92</v>
      </c>
      <c r="W1433" t="s">
        <v>93</v>
      </c>
      <c r="X1433" t="s">
        <v>160</v>
      </c>
      <c r="Y1433" t="s">
        <v>160</v>
      </c>
      <c r="Z1433" t="s">
        <v>116</v>
      </c>
      <c r="AA1433">
        <v>0</v>
      </c>
      <c r="AB1433" t="s">
        <v>97</v>
      </c>
      <c r="AC1433" t="s">
        <v>97</v>
      </c>
      <c r="AD1433" t="s">
        <v>117</v>
      </c>
      <c r="AE1433" t="s">
        <v>96</v>
      </c>
      <c r="AF1433" t="s">
        <v>97</v>
      </c>
      <c r="AG1433" t="s">
        <v>99</v>
      </c>
      <c r="AH1433" t="s">
        <v>171</v>
      </c>
      <c r="AI1433">
        <v>958</v>
      </c>
      <c r="AJ1433" t="s">
        <v>101</v>
      </c>
      <c r="AK1433">
        <v>0</v>
      </c>
      <c r="AL1433">
        <v>0</v>
      </c>
      <c r="AM1433">
        <v>958</v>
      </c>
      <c r="AN1433" t="s">
        <v>102</v>
      </c>
      <c r="AO1433" t="s">
        <v>97</v>
      </c>
      <c r="AP1433" t="s">
        <v>104</v>
      </c>
      <c r="AQ1433" t="s">
        <v>105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97</v>
      </c>
      <c r="BC1433">
        <v>5</v>
      </c>
      <c r="BD1433" t="s">
        <v>106</v>
      </c>
      <c r="BE1433">
        <v>0</v>
      </c>
      <c r="BG1433" t="s">
        <v>107</v>
      </c>
      <c r="BH1433">
        <v>1976</v>
      </c>
      <c r="BI1433" t="s">
        <v>108</v>
      </c>
      <c r="BJ1433">
        <v>2</v>
      </c>
      <c r="BK1433">
        <v>440</v>
      </c>
      <c r="BL1433" t="s">
        <v>97</v>
      </c>
      <c r="BM1433" t="s">
        <v>97</v>
      </c>
      <c r="BN1433" t="s">
        <v>104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X1433">
        <v>0</v>
      </c>
      <c r="BY1433">
        <v>10</v>
      </c>
      <c r="BZ1433">
        <v>2009</v>
      </c>
      <c r="CA1433" t="s">
        <v>109</v>
      </c>
      <c r="CB1433" t="s">
        <v>110</v>
      </c>
      <c r="CC1433">
        <v>143750</v>
      </c>
    </row>
    <row r="1434" spans="1:81" x14ac:dyDescent="0.3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173</v>
      </c>
      <c r="H1434" t="s">
        <v>83</v>
      </c>
      <c r="I1434" t="s">
        <v>84</v>
      </c>
      <c r="J1434" t="s">
        <v>85</v>
      </c>
      <c r="K1434" t="s">
        <v>86</v>
      </c>
      <c r="L1434" t="s">
        <v>87</v>
      </c>
      <c r="M1434" t="s">
        <v>142</v>
      </c>
      <c r="N1434" t="s">
        <v>89</v>
      </c>
      <c r="O1434" t="s">
        <v>89</v>
      </c>
      <c r="P1434" t="s">
        <v>90</v>
      </c>
      <c r="Q1434" t="s">
        <v>114</v>
      </c>
      <c r="R1434">
        <v>4</v>
      </c>
      <c r="S1434">
        <v>6</v>
      </c>
      <c r="T1434">
        <v>1927</v>
      </c>
      <c r="U1434">
        <v>2007</v>
      </c>
      <c r="V1434" t="s">
        <v>92</v>
      </c>
      <c r="W1434" t="s">
        <v>93</v>
      </c>
      <c r="X1434" t="s">
        <v>123</v>
      </c>
      <c r="Y1434" t="s">
        <v>123</v>
      </c>
      <c r="Z1434" t="s">
        <v>116</v>
      </c>
      <c r="AA1434">
        <v>0</v>
      </c>
      <c r="AB1434" t="s">
        <v>97</v>
      </c>
      <c r="AC1434" t="s">
        <v>97</v>
      </c>
      <c r="AD1434" t="s">
        <v>125</v>
      </c>
      <c r="AE1434" t="s">
        <v>97</v>
      </c>
      <c r="AF1434" t="s">
        <v>97</v>
      </c>
      <c r="AG1434" t="s">
        <v>99</v>
      </c>
      <c r="AH1434" t="s">
        <v>101</v>
      </c>
      <c r="AI1434">
        <v>0</v>
      </c>
      <c r="AJ1434" t="s">
        <v>101</v>
      </c>
      <c r="AK1434">
        <v>0</v>
      </c>
      <c r="AL1434">
        <v>656</v>
      </c>
      <c r="AM1434">
        <v>656</v>
      </c>
      <c r="AN1434" t="s">
        <v>102</v>
      </c>
      <c r="AO1434" t="s">
        <v>97</v>
      </c>
      <c r="AP1434" t="s">
        <v>104</v>
      </c>
      <c r="AQ1434" t="s">
        <v>105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97</v>
      </c>
      <c r="BC1434">
        <v>5</v>
      </c>
      <c r="BD1434" t="s">
        <v>106</v>
      </c>
      <c r="BE1434">
        <v>0</v>
      </c>
      <c r="BG1434" t="s">
        <v>126</v>
      </c>
      <c r="BH1434">
        <v>1928</v>
      </c>
      <c r="BI1434" t="s">
        <v>101</v>
      </c>
      <c r="BJ1434">
        <v>1</v>
      </c>
      <c r="BK1434">
        <v>216</v>
      </c>
      <c r="BL1434" t="s">
        <v>146</v>
      </c>
      <c r="BM1434" t="s">
        <v>146</v>
      </c>
      <c r="BN1434" t="s">
        <v>104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X1434">
        <v>0</v>
      </c>
      <c r="BY1434">
        <v>8</v>
      </c>
      <c r="BZ1434">
        <v>2007</v>
      </c>
      <c r="CA1434" t="s">
        <v>109</v>
      </c>
      <c r="CB1434" t="s">
        <v>110</v>
      </c>
      <c r="CC1434">
        <v>64500</v>
      </c>
    </row>
    <row r="1435" spans="1:81" x14ac:dyDescent="0.3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H1435" t="s">
        <v>119</v>
      </c>
      <c r="I1435" t="s">
        <v>84</v>
      </c>
      <c r="J1435" t="s">
        <v>85</v>
      </c>
      <c r="K1435" t="s">
        <v>86</v>
      </c>
      <c r="L1435" t="s">
        <v>87</v>
      </c>
      <c r="M1435" t="s">
        <v>192</v>
      </c>
      <c r="N1435" t="s">
        <v>89</v>
      </c>
      <c r="O1435" t="s">
        <v>89</v>
      </c>
      <c r="P1435" t="s">
        <v>90</v>
      </c>
      <c r="Q1435" t="s">
        <v>91</v>
      </c>
      <c r="R1435">
        <v>6</v>
      </c>
      <c r="S1435">
        <v>5</v>
      </c>
      <c r="T1435">
        <v>2000</v>
      </c>
      <c r="U1435">
        <v>2000</v>
      </c>
      <c r="V1435" t="s">
        <v>92</v>
      </c>
      <c r="W1435" t="s">
        <v>93</v>
      </c>
      <c r="X1435" t="s">
        <v>94</v>
      </c>
      <c r="Y1435" t="s">
        <v>94</v>
      </c>
      <c r="Z1435" t="s">
        <v>95</v>
      </c>
      <c r="AA1435">
        <v>318</v>
      </c>
      <c r="AB1435" t="s">
        <v>97</v>
      </c>
      <c r="AC1435" t="s">
        <v>97</v>
      </c>
      <c r="AD1435" t="s">
        <v>98</v>
      </c>
      <c r="AE1435" t="s">
        <v>96</v>
      </c>
      <c r="AF1435" t="s">
        <v>97</v>
      </c>
      <c r="AG1435" t="s">
        <v>99</v>
      </c>
      <c r="AH1435" t="s">
        <v>101</v>
      </c>
      <c r="AI1435">
        <v>0</v>
      </c>
      <c r="AJ1435" t="s">
        <v>101</v>
      </c>
      <c r="AK1435">
        <v>0</v>
      </c>
      <c r="AL1435">
        <v>936</v>
      </c>
      <c r="AM1435">
        <v>936</v>
      </c>
      <c r="AN1435" t="s">
        <v>102</v>
      </c>
      <c r="AO1435" t="s">
        <v>103</v>
      </c>
      <c r="AP1435" t="s">
        <v>104</v>
      </c>
      <c r="AQ1435" t="s">
        <v>105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97</v>
      </c>
      <c r="BC1435">
        <v>8</v>
      </c>
      <c r="BD1435" t="s">
        <v>106</v>
      </c>
      <c r="BE1435">
        <v>1</v>
      </c>
      <c r="BF1435" t="s">
        <v>97</v>
      </c>
      <c r="BG1435" t="s">
        <v>107</v>
      </c>
      <c r="BH1435">
        <v>2000</v>
      </c>
      <c r="BI1435" t="s">
        <v>156</v>
      </c>
      <c r="BJ1435">
        <v>2</v>
      </c>
      <c r="BK1435">
        <v>451</v>
      </c>
      <c r="BL1435" t="s">
        <v>97</v>
      </c>
      <c r="BM1435" t="s">
        <v>97</v>
      </c>
      <c r="BN1435" t="s">
        <v>104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X1435">
        <v>0</v>
      </c>
      <c r="BY1435">
        <v>5</v>
      </c>
      <c r="BZ1435">
        <v>2008</v>
      </c>
      <c r="CA1435" t="s">
        <v>109</v>
      </c>
      <c r="CB1435" t="s">
        <v>110</v>
      </c>
      <c r="CC1435">
        <v>186500</v>
      </c>
    </row>
    <row r="1436" spans="1:81" x14ac:dyDescent="0.3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H1436" t="s">
        <v>83</v>
      </c>
      <c r="I1436" t="s">
        <v>194</v>
      </c>
      <c r="J1436" t="s">
        <v>85</v>
      </c>
      <c r="K1436" t="s">
        <v>86</v>
      </c>
      <c r="L1436" t="s">
        <v>193</v>
      </c>
      <c r="M1436" t="s">
        <v>130</v>
      </c>
      <c r="N1436" t="s">
        <v>89</v>
      </c>
      <c r="O1436" t="s">
        <v>89</v>
      </c>
      <c r="P1436" t="s">
        <v>90</v>
      </c>
      <c r="Q1436" t="s">
        <v>114</v>
      </c>
      <c r="R1436">
        <v>5</v>
      </c>
      <c r="S1436">
        <v>5</v>
      </c>
      <c r="T1436">
        <v>1977</v>
      </c>
      <c r="U1436">
        <v>1977</v>
      </c>
      <c r="V1436" t="s">
        <v>92</v>
      </c>
      <c r="W1436" t="s">
        <v>93</v>
      </c>
      <c r="X1436" t="s">
        <v>95</v>
      </c>
      <c r="Y1436" t="s">
        <v>95</v>
      </c>
      <c r="Z1436" t="s">
        <v>116</v>
      </c>
      <c r="AA1436">
        <v>0</v>
      </c>
      <c r="AB1436" t="s">
        <v>97</v>
      </c>
      <c r="AC1436" t="s">
        <v>97</v>
      </c>
      <c r="AD1436" t="s">
        <v>117</v>
      </c>
      <c r="AE1436" t="s">
        <v>97</v>
      </c>
      <c r="AF1436" t="s">
        <v>97</v>
      </c>
      <c r="AG1436" t="s">
        <v>99</v>
      </c>
      <c r="AH1436" t="s">
        <v>118</v>
      </c>
      <c r="AI1436">
        <v>936</v>
      </c>
      <c r="AJ1436" t="s">
        <v>101</v>
      </c>
      <c r="AK1436">
        <v>0</v>
      </c>
      <c r="AL1436">
        <v>190</v>
      </c>
      <c r="AM1436">
        <v>1126</v>
      </c>
      <c r="AN1436" t="s">
        <v>102</v>
      </c>
      <c r="AO1436" t="s">
        <v>146</v>
      </c>
      <c r="AP1436" t="s">
        <v>104</v>
      </c>
      <c r="AQ1436" t="s">
        <v>105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97</v>
      </c>
      <c r="BC1436">
        <v>5</v>
      </c>
      <c r="BD1436" t="s">
        <v>106</v>
      </c>
      <c r="BE1436">
        <v>1</v>
      </c>
      <c r="BF1436" t="s">
        <v>96</v>
      </c>
      <c r="BG1436" t="s">
        <v>107</v>
      </c>
      <c r="BH1436">
        <v>1977</v>
      </c>
      <c r="BI1436" t="s">
        <v>108</v>
      </c>
      <c r="BJ1436">
        <v>2</v>
      </c>
      <c r="BK1436">
        <v>484</v>
      </c>
      <c r="BL1436" t="s">
        <v>97</v>
      </c>
      <c r="BM1436" t="s">
        <v>97</v>
      </c>
      <c r="BN1436" t="s">
        <v>189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X1436">
        <v>0</v>
      </c>
      <c r="BY1436">
        <v>5</v>
      </c>
      <c r="BZ1436">
        <v>2006</v>
      </c>
      <c r="CA1436" t="s">
        <v>109</v>
      </c>
      <c r="CB1436" t="s">
        <v>110</v>
      </c>
      <c r="CC1436">
        <v>160000</v>
      </c>
    </row>
    <row r="1437" spans="1:81" x14ac:dyDescent="0.3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H1437" t="s">
        <v>83</v>
      </c>
      <c r="I1437" t="s">
        <v>84</v>
      </c>
      <c r="J1437" t="s">
        <v>85</v>
      </c>
      <c r="K1437" t="s">
        <v>86</v>
      </c>
      <c r="L1437" t="s">
        <v>87</v>
      </c>
      <c r="M1437" t="s">
        <v>270</v>
      </c>
      <c r="N1437" t="s">
        <v>89</v>
      </c>
      <c r="O1437" t="s">
        <v>89</v>
      </c>
      <c r="P1437" t="s">
        <v>90</v>
      </c>
      <c r="Q1437" t="s">
        <v>114</v>
      </c>
      <c r="R1437">
        <v>6</v>
      </c>
      <c r="S1437">
        <v>9</v>
      </c>
      <c r="T1437">
        <v>1962</v>
      </c>
      <c r="U1437">
        <v>2005</v>
      </c>
      <c r="V1437" t="s">
        <v>92</v>
      </c>
      <c r="W1437" t="s">
        <v>93</v>
      </c>
      <c r="X1437" t="s">
        <v>123</v>
      </c>
      <c r="Y1437" t="s">
        <v>123</v>
      </c>
      <c r="Z1437" t="s">
        <v>95</v>
      </c>
      <c r="AA1437">
        <v>237</v>
      </c>
      <c r="AB1437" t="s">
        <v>96</v>
      </c>
      <c r="AC1437" t="s">
        <v>96</v>
      </c>
      <c r="AD1437" t="s">
        <v>117</v>
      </c>
      <c r="AE1437" t="s">
        <v>97</v>
      </c>
      <c r="AF1437" t="s">
        <v>97</v>
      </c>
      <c r="AG1437" t="s">
        <v>99</v>
      </c>
      <c r="AH1437" t="s">
        <v>101</v>
      </c>
      <c r="AI1437">
        <v>0</v>
      </c>
      <c r="AJ1437" t="s">
        <v>101</v>
      </c>
      <c r="AK1437">
        <v>0</v>
      </c>
      <c r="AL1437">
        <v>1319</v>
      </c>
      <c r="AM1437">
        <v>1319</v>
      </c>
      <c r="AN1437" t="s">
        <v>102</v>
      </c>
      <c r="AO1437" t="s">
        <v>97</v>
      </c>
      <c r="AP1437" t="s">
        <v>104</v>
      </c>
      <c r="AQ1437" t="s">
        <v>105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96</v>
      </c>
      <c r="BC1437">
        <v>7</v>
      </c>
      <c r="BD1437" t="s">
        <v>106</v>
      </c>
      <c r="BE1437">
        <v>1</v>
      </c>
      <c r="BF1437" t="s">
        <v>96</v>
      </c>
      <c r="BG1437" t="s">
        <v>107</v>
      </c>
      <c r="BH1437">
        <v>1962</v>
      </c>
      <c r="BI1437" t="s">
        <v>108</v>
      </c>
      <c r="BJ1437">
        <v>2</v>
      </c>
      <c r="BK1437">
        <v>462</v>
      </c>
      <c r="BL1437" t="s">
        <v>97</v>
      </c>
      <c r="BM1437" t="s">
        <v>97</v>
      </c>
      <c r="BN1437" t="s">
        <v>104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V1437" t="s">
        <v>164</v>
      </c>
      <c r="BX1437">
        <v>0</v>
      </c>
      <c r="BY1437">
        <v>7</v>
      </c>
      <c r="BZ1437">
        <v>2008</v>
      </c>
      <c r="CA1437" t="s">
        <v>172</v>
      </c>
      <c r="CB1437" t="s">
        <v>127</v>
      </c>
      <c r="CC1437">
        <v>174000</v>
      </c>
    </row>
    <row r="1438" spans="1:81" x14ac:dyDescent="0.3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H1438" t="s">
        <v>83</v>
      </c>
      <c r="I1438" t="s">
        <v>84</v>
      </c>
      <c r="J1438" t="s">
        <v>85</v>
      </c>
      <c r="K1438" t="s">
        <v>111</v>
      </c>
      <c r="L1438" t="s">
        <v>87</v>
      </c>
      <c r="M1438" t="s">
        <v>270</v>
      </c>
      <c r="N1438" t="s">
        <v>89</v>
      </c>
      <c r="O1438" t="s">
        <v>89</v>
      </c>
      <c r="P1438" t="s">
        <v>90</v>
      </c>
      <c r="Q1438" t="s">
        <v>114</v>
      </c>
      <c r="R1438">
        <v>4</v>
      </c>
      <c r="S1438">
        <v>6</v>
      </c>
      <c r="T1438">
        <v>1971</v>
      </c>
      <c r="U1438">
        <v>1971</v>
      </c>
      <c r="V1438" t="s">
        <v>92</v>
      </c>
      <c r="W1438" t="s">
        <v>93</v>
      </c>
      <c r="X1438" t="s">
        <v>139</v>
      </c>
      <c r="Y1438" t="s">
        <v>139</v>
      </c>
      <c r="Z1438" t="s">
        <v>116</v>
      </c>
      <c r="AA1438">
        <v>0</v>
      </c>
      <c r="AB1438" t="s">
        <v>97</v>
      </c>
      <c r="AC1438" t="s">
        <v>97</v>
      </c>
      <c r="AD1438" t="s">
        <v>98</v>
      </c>
      <c r="AE1438" t="s">
        <v>97</v>
      </c>
      <c r="AF1438" t="s">
        <v>97</v>
      </c>
      <c r="AG1438" t="s">
        <v>99</v>
      </c>
      <c r="AH1438" t="s">
        <v>118</v>
      </c>
      <c r="AI1438">
        <v>616</v>
      </c>
      <c r="AJ1438" t="s">
        <v>101</v>
      </c>
      <c r="AK1438">
        <v>0</v>
      </c>
      <c r="AL1438">
        <v>248</v>
      </c>
      <c r="AM1438">
        <v>864</v>
      </c>
      <c r="AN1438" t="s">
        <v>102</v>
      </c>
      <c r="AO1438" t="s">
        <v>97</v>
      </c>
      <c r="AP1438" t="s">
        <v>104</v>
      </c>
      <c r="AQ1438" t="s">
        <v>105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97</v>
      </c>
      <c r="BC1438">
        <v>5</v>
      </c>
      <c r="BD1438" t="s">
        <v>106</v>
      </c>
      <c r="BE1438">
        <v>0</v>
      </c>
      <c r="BG1438" t="s">
        <v>126</v>
      </c>
      <c r="BH1438">
        <v>1974</v>
      </c>
      <c r="BI1438" t="s">
        <v>101</v>
      </c>
      <c r="BJ1438">
        <v>2</v>
      </c>
      <c r="BK1438">
        <v>528</v>
      </c>
      <c r="BL1438" t="s">
        <v>97</v>
      </c>
      <c r="BM1438" t="s">
        <v>97</v>
      </c>
      <c r="BN1438" t="s">
        <v>104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V1438" t="s">
        <v>162</v>
      </c>
      <c r="BX1438">
        <v>0</v>
      </c>
      <c r="BY1438">
        <v>5</v>
      </c>
      <c r="BZ1438">
        <v>2007</v>
      </c>
      <c r="CA1438" t="s">
        <v>109</v>
      </c>
      <c r="CB1438" t="s">
        <v>110</v>
      </c>
      <c r="CC1438">
        <v>120500</v>
      </c>
    </row>
    <row r="1439" spans="1:81" x14ac:dyDescent="0.3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H1439" t="s">
        <v>83</v>
      </c>
      <c r="I1439" t="s">
        <v>84</v>
      </c>
      <c r="J1439" t="s">
        <v>85</v>
      </c>
      <c r="K1439" t="s">
        <v>111</v>
      </c>
      <c r="L1439" t="s">
        <v>87</v>
      </c>
      <c r="M1439" t="s">
        <v>153</v>
      </c>
      <c r="N1439" t="s">
        <v>89</v>
      </c>
      <c r="O1439" t="s">
        <v>89</v>
      </c>
      <c r="P1439" t="s">
        <v>90</v>
      </c>
      <c r="Q1439" t="s">
        <v>114</v>
      </c>
      <c r="R1439">
        <v>8</v>
      </c>
      <c r="S1439">
        <v>5</v>
      </c>
      <c r="T1439">
        <v>2008</v>
      </c>
      <c r="U1439">
        <v>2008</v>
      </c>
      <c r="V1439" t="s">
        <v>151</v>
      </c>
      <c r="W1439" t="s">
        <v>93</v>
      </c>
      <c r="X1439" t="s">
        <v>94</v>
      </c>
      <c r="Y1439" t="s">
        <v>94</v>
      </c>
      <c r="Z1439" t="s">
        <v>136</v>
      </c>
      <c r="AA1439">
        <v>426</v>
      </c>
      <c r="AB1439" t="s">
        <v>103</v>
      </c>
      <c r="AC1439" t="s">
        <v>97</v>
      </c>
      <c r="AD1439" t="s">
        <v>98</v>
      </c>
      <c r="AE1439" t="s">
        <v>103</v>
      </c>
      <c r="AF1439" t="s">
        <v>97</v>
      </c>
      <c r="AG1439" t="s">
        <v>129</v>
      </c>
      <c r="AH1439" t="s">
        <v>100</v>
      </c>
      <c r="AI1439">
        <v>1336</v>
      </c>
      <c r="AJ1439" t="s">
        <v>101</v>
      </c>
      <c r="AK1439">
        <v>0</v>
      </c>
      <c r="AL1439">
        <v>596</v>
      </c>
      <c r="AM1439">
        <v>1932</v>
      </c>
      <c r="AN1439" t="s">
        <v>102</v>
      </c>
      <c r="AO1439" t="s">
        <v>103</v>
      </c>
      <c r="AP1439" t="s">
        <v>104</v>
      </c>
      <c r="AQ1439" t="s">
        <v>105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103</v>
      </c>
      <c r="BC1439">
        <v>7</v>
      </c>
      <c r="BD1439" t="s">
        <v>106</v>
      </c>
      <c r="BE1439">
        <v>1</v>
      </c>
      <c r="BF1439" t="s">
        <v>96</v>
      </c>
      <c r="BG1439" t="s">
        <v>107</v>
      </c>
      <c r="BH1439">
        <v>2008</v>
      </c>
      <c r="BI1439" t="s">
        <v>156</v>
      </c>
      <c r="BJ1439">
        <v>3</v>
      </c>
      <c r="BK1439">
        <v>774</v>
      </c>
      <c r="BL1439" t="s">
        <v>97</v>
      </c>
      <c r="BM1439" t="s">
        <v>97</v>
      </c>
      <c r="BN1439" t="s">
        <v>104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X1439">
        <v>0</v>
      </c>
      <c r="BY1439">
        <v>11</v>
      </c>
      <c r="BZ1439">
        <v>2008</v>
      </c>
      <c r="CA1439" t="s">
        <v>157</v>
      </c>
      <c r="CB1439" t="s">
        <v>158</v>
      </c>
      <c r="CC1439">
        <v>394617</v>
      </c>
    </row>
    <row r="1440" spans="1:81" x14ac:dyDescent="0.3">
      <c r="A1440">
        <v>1439</v>
      </c>
      <c r="B1440">
        <v>20</v>
      </c>
      <c r="C1440" t="s">
        <v>141</v>
      </c>
      <c r="D1440">
        <v>90</v>
      </c>
      <c r="E1440">
        <v>7407</v>
      </c>
      <c r="F1440" t="s">
        <v>82</v>
      </c>
      <c r="H1440" t="s">
        <v>83</v>
      </c>
      <c r="I1440" t="s">
        <v>84</v>
      </c>
      <c r="J1440" t="s">
        <v>85</v>
      </c>
      <c r="K1440" t="s">
        <v>86</v>
      </c>
      <c r="L1440" t="s">
        <v>87</v>
      </c>
      <c r="M1440" t="s">
        <v>142</v>
      </c>
      <c r="N1440" t="s">
        <v>143</v>
      </c>
      <c r="O1440" t="s">
        <v>89</v>
      </c>
      <c r="P1440" t="s">
        <v>90</v>
      </c>
      <c r="Q1440" t="s">
        <v>114</v>
      </c>
      <c r="R1440">
        <v>6</v>
      </c>
      <c r="S1440">
        <v>7</v>
      </c>
      <c r="T1440">
        <v>1957</v>
      </c>
      <c r="U1440">
        <v>1996</v>
      </c>
      <c r="V1440" t="s">
        <v>92</v>
      </c>
      <c r="W1440" t="s">
        <v>93</v>
      </c>
      <c r="X1440" t="s">
        <v>115</v>
      </c>
      <c r="Y1440" t="s">
        <v>115</v>
      </c>
      <c r="Z1440" t="s">
        <v>116</v>
      </c>
      <c r="AA1440">
        <v>0</v>
      </c>
      <c r="AB1440" t="s">
        <v>97</v>
      </c>
      <c r="AC1440" t="s">
        <v>97</v>
      </c>
      <c r="AD1440" t="s">
        <v>117</v>
      </c>
      <c r="AE1440" t="s">
        <v>97</v>
      </c>
      <c r="AF1440" t="s">
        <v>97</v>
      </c>
      <c r="AG1440" t="s">
        <v>99</v>
      </c>
      <c r="AH1440" t="s">
        <v>100</v>
      </c>
      <c r="AI1440">
        <v>600</v>
      </c>
      <c r="AJ1440" t="s">
        <v>101</v>
      </c>
      <c r="AK1440">
        <v>0</v>
      </c>
      <c r="AL1440">
        <v>312</v>
      </c>
      <c r="AM1440">
        <v>912</v>
      </c>
      <c r="AN1440" t="s">
        <v>102</v>
      </c>
      <c r="AO1440" t="s">
        <v>97</v>
      </c>
      <c r="AP1440" t="s">
        <v>104</v>
      </c>
      <c r="AQ1440" t="s">
        <v>163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97</v>
      </c>
      <c r="BC1440">
        <v>6</v>
      </c>
      <c r="BD1440" t="s">
        <v>106</v>
      </c>
      <c r="BE1440">
        <v>0</v>
      </c>
      <c r="BG1440" t="s">
        <v>107</v>
      </c>
      <c r="BH1440">
        <v>1957</v>
      </c>
      <c r="BI1440" t="s">
        <v>101</v>
      </c>
      <c r="BJ1440">
        <v>2</v>
      </c>
      <c r="BK1440">
        <v>923</v>
      </c>
      <c r="BL1440" t="s">
        <v>97</v>
      </c>
      <c r="BM1440" t="s">
        <v>97</v>
      </c>
      <c r="BN1440" t="s">
        <v>104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V1440" t="s">
        <v>133</v>
      </c>
      <c r="BX1440">
        <v>0</v>
      </c>
      <c r="BY1440">
        <v>4</v>
      </c>
      <c r="BZ1440">
        <v>2010</v>
      </c>
      <c r="CA1440" t="s">
        <v>109</v>
      </c>
      <c r="CB1440" t="s">
        <v>110</v>
      </c>
      <c r="CC1440">
        <v>149700</v>
      </c>
    </row>
    <row r="1441" spans="1:81" x14ac:dyDescent="0.3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H1441" t="s">
        <v>83</v>
      </c>
      <c r="I1441" t="s">
        <v>84</v>
      </c>
      <c r="J1441" t="s">
        <v>85</v>
      </c>
      <c r="K1441" t="s">
        <v>86</v>
      </c>
      <c r="L1441" t="s">
        <v>87</v>
      </c>
      <c r="M1441" t="s">
        <v>137</v>
      </c>
      <c r="N1441" t="s">
        <v>89</v>
      </c>
      <c r="O1441" t="s">
        <v>89</v>
      </c>
      <c r="P1441" t="s">
        <v>90</v>
      </c>
      <c r="Q1441" t="s">
        <v>196</v>
      </c>
      <c r="R1441">
        <v>7</v>
      </c>
      <c r="S1441">
        <v>6</v>
      </c>
      <c r="T1441">
        <v>1979</v>
      </c>
      <c r="U1441">
        <v>1979</v>
      </c>
      <c r="V1441" t="s">
        <v>151</v>
      </c>
      <c r="W1441" t="s">
        <v>93</v>
      </c>
      <c r="X1441" t="s">
        <v>139</v>
      </c>
      <c r="Y1441" t="s">
        <v>139</v>
      </c>
      <c r="Z1441" t="s">
        <v>95</v>
      </c>
      <c r="AA1441">
        <v>96</v>
      </c>
      <c r="AB1441" t="s">
        <v>97</v>
      </c>
      <c r="AC1441" t="s">
        <v>97</v>
      </c>
      <c r="AD1441" t="s">
        <v>117</v>
      </c>
      <c r="AE1441" t="s">
        <v>97</v>
      </c>
      <c r="AF1441" t="s">
        <v>97</v>
      </c>
      <c r="AG1441" t="s">
        <v>99</v>
      </c>
      <c r="AH1441" t="s">
        <v>100</v>
      </c>
      <c r="AI1441">
        <v>315</v>
      </c>
      <c r="AJ1441" t="s">
        <v>152</v>
      </c>
      <c r="AK1441">
        <v>110</v>
      </c>
      <c r="AL1441">
        <v>114</v>
      </c>
      <c r="AM1441">
        <v>539</v>
      </c>
      <c r="AN1441" t="s">
        <v>102</v>
      </c>
      <c r="AO1441" t="s">
        <v>97</v>
      </c>
      <c r="AP1441" t="s">
        <v>104</v>
      </c>
      <c r="AQ1441" t="s">
        <v>105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97</v>
      </c>
      <c r="BC1441">
        <v>6</v>
      </c>
      <c r="BD1441" t="s">
        <v>106</v>
      </c>
      <c r="BE1441">
        <v>1</v>
      </c>
      <c r="BF1441" t="s">
        <v>97</v>
      </c>
      <c r="BG1441" t="s">
        <v>107</v>
      </c>
      <c r="BH1441">
        <v>1979</v>
      </c>
      <c r="BI1441" t="s">
        <v>108</v>
      </c>
      <c r="BJ1441">
        <v>2</v>
      </c>
      <c r="BK1441">
        <v>550</v>
      </c>
      <c r="BL1441" t="s">
        <v>97</v>
      </c>
      <c r="BM1441" t="s">
        <v>97</v>
      </c>
      <c r="BN1441" t="s">
        <v>104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X1441">
        <v>0</v>
      </c>
      <c r="BY1441">
        <v>11</v>
      </c>
      <c r="BZ1441">
        <v>2007</v>
      </c>
      <c r="CA1441" t="s">
        <v>109</v>
      </c>
      <c r="CB1441" t="s">
        <v>110</v>
      </c>
      <c r="CC1441">
        <v>197000</v>
      </c>
    </row>
    <row r="1442" spans="1:81" x14ac:dyDescent="0.3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H1442" t="s">
        <v>119</v>
      </c>
      <c r="I1442" t="s">
        <v>174</v>
      </c>
      <c r="J1442" t="s">
        <v>85</v>
      </c>
      <c r="K1442" t="s">
        <v>86</v>
      </c>
      <c r="L1442" t="s">
        <v>193</v>
      </c>
      <c r="M1442" t="s">
        <v>122</v>
      </c>
      <c r="N1442" t="s">
        <v>89</v>
      </c>
      <c r="O1442" t="s">
        <v>89</v>
      </c>
      <c r="P1442" t="s">
        <v>90</v>
      </c>
      <c r="Q1442" t="s">
        <v>224</v>
      </c>
      <c r="R1442">
        <v>6</v>
      </c>
      <c r="S1442">
        <v>7</v>
      </c>
      <c r="T1442">
        <v>1922</v>
      </c>
      <c r="U1442">
        <v>1994</v>
      </c>
      <c r="V1442" t="s">
        <v>92</v>
      </c>
      <c r="W1442" t="s">
        <v>93</v>
      </c>
      <c r="X1442" t="s">
        <v>115</v>
      </c>
      <c r="Y1442" t="s">
        <v>115</v>
      </c>
      <c r="Z1442" t="s">
        <v>116</v>
      </c>
      <c r="AA1442">
        <v>0</v>
      </c>
      <c r="AB1442" t="s">
        <v>97</v>
      </c>
      <c r="AC1442" t="s">
        <v>97</v>
      </c>
      <c r="AD1442" t="s">
        <v>125</v>
      </c>
      <c r="AE1442" t="s">
        <v>103</v>
      </c>
      <c r="AF1442" t="s">
        <v>97</v>
      </c>
      <c r="AG1442" t="s">
        <v>99</v>
      </c>
      <c r="AH1442" t="s">
        <v>101</v>
      </c>
      <c r="AI1442">
        <v>0</v>
      </c>
      <c r="AJ1442" t="s">
        <v>101</v>
      </c>
      <c r="AK1442">
        <v>0</v>
      </c>
      <c r="AL1442">
        <v>588</v>
      </c>
      <c r="AM1442">
        <v>588</v>
      </c>
      <c r="AN1442" t="s">
        <v>102</v>
      </c>
      <c r="AO1442" t="s">
        <v>146</v>
      </c>
      <c r="AP1442" t="s">
        <v>104</v>
      </c>
      <c r="AQ1442" t="s">
        <v>105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97</v>
      </c>
      <c r="BC1442">
        <v>11</v>
      </c>
      <c r="BD1442" t="s">
        <v>145</v>
      </c>
      <c r="BE1442">
        <v>1</v>
      </c>
      <c r="BF1442" t="s">
        <v>96</v>
      </c>
      <c r="BG1442" t="s">
        <v>126</v>
      </c>
      <c r="BH1442">
        <v>1993</v>
      </c>
      <c r="BI1442" t="s">
        <v>156</v>
      </c>
      <c r="BJ1442">
        <v>2</v>
      </c>
      <c r="BK1442">
        <v>672</v>
      </c>
      <c r="BL1442" t="s">
        <v>97</v>
      </c>
      <c r="BM1442" t="s">
        <v>97</v>
      </c>
      <c r="BN1442" t="s">
        <v>104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X1442">
        <v>0</v>
      </c>
      <c r="BY1442">
        <v>9</v>
      </c>
      <c r="BZ1442">
        <v>2008</v>
      </c>
      <c r="CA1442" t="s">
        <v>109</v>
      </c>
      <c r="CB1442" t="s">
        <v>110</v>
      </c>
      <c r="CC1442">
        <v>191000</v>
      </c>
    </row>
    <row r="1443" spans="1:81" x14ac:dyDescent="0.3">
      <c r="A1443">
        <v>1442</v>
      </c>
      <c r="B1443">
        <v>120</v>
      </c>
      <c r="C1443" t="s">
        <v>141</v>
      </c>
      <c r="E1443">
        <v>4426</v>
      </c>
      <c r="F1443" t="s">
        <v>82</v>
      </c>
      <c r="H1443" t="s">
        <v>83</v>
      </c>
      <c r="I1443" t="s">
        <v>84</v>
      </c>
      <c r="J1443" t="s">
        <v>85</v>
      </c>
      <c r="K1443" t="s">
        <v>86</v>
      </c>
      <c r="L1443" t="s">
        <v>87</v>
      </c>
      <c r="M1443" t="s">
        <v>88</v>
      </c>
      <c r="N1443" t="s">
        <v>89</v>
      </c>
      <c r="O1443" t="s">
        <v>89</v>
      </c>
      <c r="P1443" t="s">
        <v>178</v>
      </c>
      <c r="Q1443" t="s">
        <v>114</v>
      </c>
      <c r="R1443">
        <v>6</v>
      </c>
      <c r="S1443">
        <v>5</v>
      </c>
      <c r="T1443">
        <v>2004</v>
      </c>
      <c r="U1443">
        <v>2004</v>
      </c>
      <c r="V1443" t="s">
        <v>92</v>
      </c>
      <c r="W1443" t="s">
        <v>93</v>
      </c>
      <c r="X1443" t="s">
        <v>94</v>
      </c>
      <c r="Y1443" t="s">
        <v>94</v>
      </c>
      <c r="Z1443" t="s">
        <v>95</v>
      </c>
      <c r="AA1443">
        <v>147</v>
      </c>
      <c r="AB1443" t="s">
        <v>96</v>
      </c>
      <c r="AC1443" t="s">
        <v>97</v>
      </c>
      <c r="AD1443" t="s">
        <v>98</v>
      </c>
      <c r="AE1443" t="s">
        <v>96</v>
      </c>
      <c r="AF1443" t="s">
        <v>97</v>
      </c>
      <c r="AG1443" t="s">
        <v>129</v>
      </c>
      <c r="AH1443" t="s">
        <v>100</v>
      </c>
      <c r="AI1443">
        <v>697</v>
      </c>
      <c r="AJ1443" t="s">
        <v>101</v>
      </c>
      <c r="AK1443">
        <v>0</v>
      </c>
      <c r="AL1443">
        <v>151</v>
      </c>
      <c r="AM1443">
        <v>848</v>
      </c>
      <c r="AN1443" t="s">
        <v>102</v>
      </c>
      <c r="AO1443" t="s">
        <v>103</v>
      </c>
      <c r="AP1443" t="s">
        <v>104</v>
      </c>
      <c r="AQ1443" t="s">
        <v>105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96</v>
      </c>
      <c r="BC1443">
        <v>3</v>
      </c>
      <c r="BD1443" t="s">
        <v>106</v>
      </c>
      <c r="BE1443">
        <v>1</v>
      </c>
      <c r="BF1443" t="s">
        <v>97</v>
      </c>
      <c r="BG1443" t="s">
        <v>107</v>
      </c>
      <c r="BH1443">
        <v>2004</v>
      </c>
      <c r="BI1443" t="s">
        <v>108</v>
      </c>
      <c r="BJ1443">
        <v>2</v>
      </c>
      <c r="BK1443">
        <v>420</v>
      </c>
      <c r="BL1443" t="s">
        <v>97</v>
      </c>
      <c r="BM1443" t="s">
        <v>97</v>
      </c>
      <c r="BN1443" t="s">
        <v>104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X1443">
        <v>0</v>
      </c>
      <c r="BY1443">
        <v>5</v>
      </c>
      <c r="BZ1443">
        <v>2008</v>
      </c>
      <c r="CA1443" t="s">
        <v>109</v>
      </c>
      <c r="CB1443" t="s">
        <v>110</v>
      </c>
      <c r="CC1443">
        <v>149300</v>
      </c>
    </row>
    <row r="1444" spans="1:81" x14ac:dyDescent="0.3">
      <c r="A1444">
        <v>1443</v>
      </c>
      <c r="B1444">
        <v>60</v>
      </c>
      <c r="C1444" t="s">
        <v>191</v>
      </c>
      <c r="D1444">
        <v>85</v>
      </c>
      <c r="E1444">
        <v>11003</v>
      </c>
      <c r="F1444" t="s">
        <v>82</v>
      </c>
      <c r="H1444" t="s">
        <v>83</v>
      </c>
      <c r="I1444" t="s">
        <v>84</v>
      </c>
      <c r="J1444" t="s">
        <v>85</v>
      </c>
      <c r="K1444" t="s">
        <v>86</v>
      </c>
      <c r="L1444" t="s">
        <v>87</v>
      </c>
      <c r="M1444" t="s">
        <v>135</v>
      </c>
      <c r="N1444" t="s">
        <v>89</v>
      </c>
      <c r="O1444" t="s">
        <v>89</v>
      </c>
      <c r="P1444" t="s">
        <v>90</v>
      </c>
      <c r="Q1444" t="s">
        <v>91</v>
      </c>
      <c r="R1444">
        <v>10</v>
      </c>
      <c r="S1444">
        <v>5</v>
      </c>
      <c r="T1444">
        <v>2008</v>
      </c>
      <c r="U1444">
        <v>2008</v>
      </c>
      <c r="V1444" t="s">
        <v>92</v>
      </c>
      <c r="W1444" t="s">
        <v>93</v>
      </c>
      <c r="X1444" t="s">
        <v>94</v>
      </c>
      <c r="Y1444" t="s">
        <v>94</v>
      </c>
      <c r="Z1444" t="s">
        <v>136</v>
      </c>
      <c r="AA1444">
        <v>160</v>
      </c>
      <c r="AB1444" t="s">
        <v>103</v>
      </c>
      <c r="AC1444" t="s">
        <v>97</v>
      </c>
      <c r="AD1444" t="s">
        <v>98</v>
      </c>
      <c r="AE1444" t="s">
        <v>103</v>
      </c>
      <c r="AF1444" t="s">
        <v>97</v>
      </c>
      <c r="AG1444" t="s">
        <v>129</v>
      </c>
      <c r="AH1444" t="s">
        <v>100</v>
      </c>
      <c r="AI1444">
        <v>765</v>
      </c>
      <c r="AJ1444" t="s">
        <v>101</v>
      </c>
      <c r="AK1444">
        <v>0</v>
      </c>
      <c r="AL1444">
        <v>252</v>
      </c>
      <c r="AM1444">
        <v>1017</v>
      </c>
      <c r="AN1444" t="s">
        <v>102</v>
      </c>
      <c r="AO1444" t="s">
        <v>103</v>
      </c>
      <c r="AP1444" t="s">
        <v>104</v>
      </c>
      <c r="AQ1444" t="s">
        <v>105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103</v>
      </c>
      <c r="BC1444">
        <v>10</v>
      </c>
      <c r="BD1444" t="s">
        <v>106</v>
      </c>
      <c r="BE1444">
        <v>1</v>
      </c>
      <c r="BF1444" t="s">
        <v>103</v>
      </c>
      <c r="BG1444" t="s">
        <v>107</v>
      </c>
      <c r="BH1444">
        <v>2008</v>
      </c>
      <c r="BI1444" t="s">
        <v>156</v>
      </c>
      <c r="BJ1444">
        <v>3</v>
      </c>
      <c r="BK1444">
        <v>812</v>
      </c>
      <c r="BL1444" t="s">
        <v>97</v>
      </c>
      <c r="BM1444" t="s">
        <v>97</v>
      </c>
      <c r="BN1444" t="s">
        <v>104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X1444">
        <v>0</v>
      </c>
      <c r="BY1444">
        <v>4</v>
      </c>
      <c r="BZ1444">
        <v>2009</v>
      </c>
      <c r="CA1444" t="s">
        <v>109</v>
      </c>
      <c r="CB1444" t="s">
        <v>110</v>
      </c>
      <c r="CC1444">
        <v>310000</v>
      </c>
    </row>
    <row r="1445" spans="1:81" x14ac:dyDescent="0.3">
      <c r="A1445">
        <v>1444</v>
      </c>
      <c r="B1445">
        <v>30</v>
      </c>
      <c r="C1445" t="s">
        <v>81</v>
      </c>
      <c r="E1445">
        <v>8854</v>
      </c>
      <c r="F1445" t="s">
        <v>82</v>
      </c>
      <c r="H1445" t="s">
        <v>83</v>
      </c>
      <c r="I1445" t="s">
        <v>84</v>
      </c>
      <c r="J1445" t="s">
        <v>85</v>
      </c>
      <c r="K1445" t="s">
        <v>86</v>
      </c>
      <c r="L1445" t="s">
        <v>87</v>
      </c>
      <c r="M1445" t="s">
        <v>147</v>
      </c>
      <c r="N1445" t="s">
        <v>89</v>
      </c>
      <c r="O1445" t="s">
        <v>89</v>
      </c>
      <c r="P1445" t="s">
        <v>90</v>
      </c>
      <c r="Q1445" t="s">
        <v>149</v>
      </c>
      <c r="R1445">
        <v>6</v>
      </c>
      <c r="S1445">
        <v>6</v>
      </c>
      <c r="T1445">
        <v>1916</v>
      </c>
      <c r="U1445">
        <v>1950</v>
      </c>
      <c r="V1445" t="s">
        <v>92</v>
      </c>
      <c r="W1445" t="s">
        <v>93</v>
      </c>
      <c r="X1445" t="s">
        <v>123</v>
      </c>
      <c r="Y1445" t="s">
        <v>123</v>
      </c>
      <c r="Z1445" t="s">
        <v>116</v>
      </c>
      <c r="AA1445">
        <v>0</v>
      </c>
      <c r="AB1445" t="s">
        <v>97</v>
      </c>
      <c r="AC1445" t="s">
        <v>97</v>
      </c>
      <c r="AD1445" t="s">
        <v>125</v>
      </c>
      <c r="AE1445" t="s">
        <v>97</v>
      </c>
      <c r="AF1445" t="s">
        <v>97</v>
      </c>
      <c r="AG1445" t="s">
        <v>99</v>
      </c>
      <c r="AH1445" t="s">
        <v>101</v>
      </c>
      <c r="AI1445">
        <v>0</v>
      </c>
      <c r="AJ1445" t="s">
        <v>101</v>
      </c>
      <c r="AK1445">
        <v>0</v>
      </c>
      <c r="AL1445">
        <v>952</v>
      </c>
      <c r="AM1445">
        <v>952</v>
      </c>
      <c r="AN1445" t="s">
        <v>221</v>
      </c>
      <c r="AO1445" t="s">
        <v>146</v>
      </c>
      <c r="AP1445" t="s">
        <v>176</v>
      </c>
      <c r="AQ1445" t="s">
        <v>144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146</v>
      </c>
      <c r="BC1445">
        <v>4</v>
      </c>
      <c r="BD1445" t="s">
        <v>106</v>
      </c>
      <c r="BE1445">
        <v>1</v>
      </c>
      <c r="BF1445" t="s">
        <v>96</v>
      </c>
      <c r="BG1445" t="s">
        <v>126</v>
      </c>
      <c r="BH1445">
        <v>1916</v>
      </c>
      <c r="BI1445" t="s">
        <v>101</v>
      </c>
      <c r="BJ1445">
        <v>1</v>
      </c>
      <c r="BK1445">
        <v>192</v>
      </c>
      <c r="BL1445" t="s">
        <v>146</v>
      </c>
      <c r="BM1445" t="s">
        <v>211</v>
      </c>
      <c r="BN1445" t="s">
        <v>189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X1445">
        <v>0</v>
      </c>
      <c r="BY1445">
        <v>5</v>
      </c>
      <c r="BZ1445">
        <v>2009</v>
      </c>
      <c r="CA1445" t="s">
        <v>109</v>
      </c>
      <c r="CB1445" t="s">
        <v>110</v>
      </c>
      <c r="CC1445">
        <v>121000</v>
      </c>
    </row>
    <row r="1446" spans="1:81" x14ac:dyDescent="0.3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H1446" t="s">
        <v>83</v>
      </c>
      <c r="I1446" t="s">
        <v>84</v>
      </c>
      <c r="J1446" t="s">
        <v>85</v>
      </c>
      <c r="K1446" t="s">
        <v>111</v>
      </c>
      <c r="L1446" t="s">
        <v>87</v>
      </c>
      <c r="M1446" t="s">
        <v>88</v>
      </c>
      <c r="N1446" t="s">
        <v>89</v>
      </c>
      <c r="O1446" t="s">
        <v>89</v>
      </c>
      <c r="P1446" t="s">
        <v>90</v>
      </c>
      <c r="Q1446" t="s">
        <v>114</v>
      </c>
      <c r="R1446">
        <v>7</v>
      </c>
      <c r="S1446">
        <v>5</v>
      </c>
      <c r="T1446">
        <v>2004</v>
      </c>
      <c r="U1446">
        <v>2004</v>
      </c>
      <c r="V1446" t="s">
        <v>92</v>
      </c>
      <c r="W1446" t="s">
        <v>93</v>
      </c>
      <c r="X1446" t="s">
        <v>94</v>
      </c>
      <c r="Y1446" t="s">
        <v>94</v>
      </c>
      <c r="Z1446" t="s">
        <v>95</v>
      </c>
      <c r="AA1446">
        <v>106</v>
      </c>
      <c r="AB1446" t="s">
        <v>96</v>
      </c>
      <c r="AC1446" t="s">
        <v>97</v>
      </c>
      <c r="AD1446" t="s">
        <v>98</v>
      </c>
      <c r="AE1446" t="s">
        <v>96</v>
      </c>
      <c r="AF1446" t="s">
        <v>97</v>
      </c>
      <c r="AG1446" t="s">
        <v>129</v>
      </c>
      <c r="AH1446" t="s">
        <v>101</v>
      </c>
      <c r="AI1446">
        <v>0</v>
      </c>
      <c r="AJ1446" t="s">
        <v>101</v>
      </c>
      <c r="AK1446">
        <v>0</v>
      </c>
      <c r="AL1446">
        <v>1422</v>
      </c>
      <c r="AM1446">
        <v>1422</v>
      </c>
      <c r="AN1446" t="s">
        <v>102</v>
      </c>
      <c r="AO1446" t="s">
        <v>103</v>
      </c>
      <c r="AP1446" t="s">
        <v>104</v>
      </c>
      <c r="AQ1446" t="s">
        <v>105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96</v>
      </c>
      <c r="BC1446">
        <v>7</v>
      </c>
      <c r="BD1446" t="s">
        <v>106</v>
      </c>
      <c r="BE1446">
        <v>0</v>
      </c>
      <c r="BG1446" t="s">
        <v>107</v>
      </c>
      <c r="BH1446">
        <v>2004</v>
      </c>
      <c r="BI1446" t="s">
        <v>108</v>
      </c>
      <c r="BJ1446">
        <v>2</v>
      </c>
      <c r="BK1446">
        <v>626</v>
      </c>
      <c r="BL1446" t="s">
        <v>97</v>
      </c>
      <c r="BM1446" t="s">
        <v>97</v>
      </c>
      <c r="BN1446" t="s">
        <v>104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X1446">
        <v>0</v>
      </c>
      <c r="BY1446">
        <v>11</v>
      </c>
      <c r="BZ1446">
        <v>2007</v>
      </c>
      <c r="CA1446" t="s">
        <v>109</v>
      </c>
      <c r="CB1446" t="s">
        <v>110</v>
      </c>
      <c r="CC1446">
        <v>179600</v>
      </c>
    </row>
    <row r="1447" spans="1:81" x14ac:dyDescent="0.3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H1447" t="s">
        <v>83</v>
      </c>
      <c r="I1447" t="s">
        <v>84</v>
      </c>
      <c r="J1447" t="s">
        <v>85</v>
      </c>
      <c r="K1447" t="s">
        <v>86</v>
      </c>
      <c r="L1447" t="s">
        <v>87</v>
      </c>
      <c r="M1447" t="s">
        <v>150</v>
      </c>
      <c r="N1447" t="s">
        <v>89</v>
      </c>
      <c r="O1447" t="s">
        <v>89</v>
      </c>
      <c r="P1447" t="s">
        <v>90</v>
      </c>
      <c r="Q1447" t="s">
        <v>190</v>
      </c>
      <c r="R1447">
        <v>6</v>
      </c>
      <c r="S1447">
        <v>5</v>
      </c>
      <c r="T1447">
        <v>1966</v>
      </c>
      <c r="U1447">
        <v>1966</v>
      </c>
      <c r="V1447" t="s">
        <v>92</v>
      </c>
      <c r="W1447" t="s">
        <v>93</v>
      </c>
      <c r="X1447" t="s">
        <v>94</v>
      </c>
      <c r="Y1447" t="s">
        <v>94</v>
      </c>
      <c r="Z1447" t="s">
        <v>116</v>
      </c>
      <c r="AA1447">
        <v>0</v>
      </c>
      <c r="AB1447" t="s">
        <v>97</v>
      </c>
      <c r="AC1447" t="s">
        <v>97</v>
      </c>
      <c r="AD1447" t="s">
        <v>117</v>
      </c>
      <c r="AE1447" t="s">
        <v>97</v>
      </c>
      <c r="AF1447" t="s">
        <v>97</v>
      </c>
      <c r="AG1447" t="s">
        <v>96</v>
      </c>
      <c r="AH1447" t="s">
        <v>171</v>
      </c>
      <c r="AI1447">
        <v>187</v>
      </c>
      <c r="AJ1447" t="s">
        <v>152</v>
      </c>
      <c r="AK1447">
        <v>627</v>
      </c>
      <c r="AL1447">
        <v>0</v>
      </c>
      <c r="AM1447">
        <v>814</v>
      </c>
      <c r="AN1447" t="s">
        <v>102</v>
      </c>
      <c r="AO1447" t="s">
        <v>96</v>
      </c>
      <c r="AP1447" t="s">
        <v>104</v>
      </c>
      <c r="AQ1447" t="s">
        <v>105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97</v>
      </c>
      <c r="BC1447">
        <v>6</v>
      </c>
      <c r="BD1447" t="s">
        <v>106</v>
      </c>
      <c r="BE1447">
        <v>0</v>
      </c>
      <c r="BG1447" t="s">
        <v>126</v>
      </c>
      <c r="BH1447">
        <v>1990</v>
      </c>
      <c r="BI1447" t="s">
        <v>101</v>
      </c>
      <c r="BJ1447">
        <v>1</v>
      </c>
      <c r="BK1447">
        <v>240</v>
      </c>
      <c r="BL1447" t="s">
        <v>97</v>
      </c>
      <c r="BM1447" t="s">
        <v>97</v>
      </c>
      <c r="BN1447" t="s">
        <v>104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X1447">
        <v>0</v>
      </c>
      <c r="BY1447">
        <v>5</v>
      </c>
      <c r="BZ1447">
        <v>2007</v>
      </c>
      <c r="CA1447" t="s">
        <v>109</v>
      </c>
      <c r="CB1447" t="s">
        <v>110</v>
      </c>
      <c r="CC1447">
        <v>129000</v>
      </c>
    </row>
    <row r="1448" spans="1:81" x14ac:dyDescent="0.3">
      <c r="A1448">
        <v>1447</v>
      </c>
      <c r="B1448">
        <v>20</v>
      </c>
      <c r="C1448" t="s">
        <v>81</v>
      </c>
      <c r="E1448">
        <v>26142</v>
      </c>
      <c r="F1448" t="s">
        <v>82</v>
      </c>
      <c r="H1448" t="s">
        <v>119</v>
      </c>
      <c r="I1448" t="s">
        <v>84</v>
      </c>
      <c r="J1448" t="s">
        <v>85</v>
      </c>
      <c r="K1448" t="s">
        <v>165</v>
      </c>
      <c r="L1448" t="s">
        <v>87</v>
      </c>
      <c r="M1448" t="s">
        <v>130</v>
      </c>
      <c r="N1448" t="s">
        <v>89</v>
      </c>
      <c r="O1448" t="s">
        <v>89</v>
      </c>
      <c r="P1448" t="s">
        <v>90</v>
      </c>
      <c r="Q1448" t="s">
        <v>114</v>
      </c>
      <c r="R1448">
        <v>5</v>
      </c>
      <c r="S1448">
        <v>7</v>
      </c>
      <c r="T1448">
        <v>1962</v>
      </c>
      <c r="U1448">
        <v>1962</v>
      </c>
      <c r="V1448" t="s">
        <v>92</v>
      </c>
      <c r="W1448" t="s">
        <v>93</v>
      </c>
      <c r="X1448" t="s">
        <v>139</v>
      </c>
      <c r="Y1448" t="s">
        <v>139</v>
      </c>
      <c r="Z1448" t="s">
        <v>95</v>
      </c>
      <c r="AA1448">
        <v>189</v>
      </c>
      <c r="AB1448" t="s">
        <v>97</v>
      </c>
      <c r="AC1448" t="s">
        <v>97</v>
      </c>
      <c r="AD1448" t="s">
        <v>117</v>
      </c>
      <c r="AE1448" t="s">
        <v>97</v>
      </c>
      <c r="AF1448" t="s">
        <v>97</v>
      </c>
      <c r="AG1448" t="s">
        <v>99</v>
      </c>
      <c r="AH1448" t="s">
        <v>152</v>
      </c>
      <c r="AI1448">
        <v>593</v>
      </c>
      <c r="AJ1448" t="s">
        <v>101</v>
      </c>
      <c r="AK1448">
        <v>0</v>
      </c>
      <c r="AL1448">
        <v>595</v>
      </c>
      <c r="AM1448">
        <v>1188</v>
      </c>
      <c r="AN1448" t="s">
        <v>102</v>
      </c>
      <c r="AO1448" t="s">
        <v>97</v>
      </c>
      <c r="AP1448" t="s">
        <v>104</v>
      </c>
      <c r="AQ1448" t="s">
        <v>105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97</v>
      </c>
      <c r="BC1448">
        <v>6</v>
      </c>
      <c r="BD1448" t="s">
        <v>106</v>
      </c>
      <c r="BE1448">
        <v>0</v>
      </c>
      <c r="BG1448" t="s">
        <v>107</v>
      </c>
      <c r="BH1448">
        <v>1962</v>
      </c>
      <c r="BI1448" t="s">
        <v>101</v>
      </c>
      <c r="BJ1448">
        <v>1</v>
      </c>
      <c r="BK1448">
        <v>312</v>
      </c>
      <c r="BL1448" t="s">
        <v>97</v>
      </c>
      <c r="BM1448" t="s">
        <v>97</v>
      </c>
      <c r="BN1448" t="s">
        <v>189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X1448">
        <v>0</v>
      </c>
      <c r="BY1448">
        <v>4</v>
      </c>
      <c r="BZ1448">
        <v>2010</v>
      </c>
      <c r="CA1448" t="s">
        <v>109</v>
      </c>
      <c r="CB1448" t="s">
        <v>110</v>
      </c>
      <c r="CC1448">
        <v>157900</v>
      </c>
    </row>
    <row r="1449" spans="1:81" x14ac:dyDescent="0.3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H1449" t="s">
        <v>83</v>
      </c>
      <c r="I1449" t="s">
        <v>84</v>
      </c>
      <c r="J1449" t="s">
        <v>85</v>
      </c>
      <c r="K1449" t="s">
        <v>86</v>
      </c>
      <c r="L1449" t="s">
        <v>87</v>
      </c>
      <c r="M1449" t="s">
        <v>88</v>
      </c>
      <c r="N1449" t="s">
        <v>89</v>
      </c>
      <c r="O1449" t="s">
        <v>89</v>
      </c>
      <c r="P1449" t="s">
        <v>90</v>
      </c>
      <c r="Q1449" t="s">
        <v>91</v>
      </c>
      <c r="R1449">
        <v>8</v>
      </c>
      <c r="S1449">
        <v>5</v>
      </c>
      <c r="T1449">
        <v>1995</v>
      </c>
      <c r="U1449">
        <v>1996</v>
      </c>
      <c r="V1449" t="s">
        <v>92</v>
      </c>
      <c r="W1449" t="s">
        <v>93</v>
      </c>
      <c r="X1449" t="s">
        <v>94</v>
      </c>
      <c r="Y1449" t="s">
        <v>94</v>
      </c>
      <c r="Z1449" t="s">
        <v>95</v>
      </c>
      <c r="AA1449">
        <v>438</v>
      </c>
      <c r="AB1449" t="s">
        <v>96</v>
      </c>
      <c r="AC1449" t="s">
        <v>97</v>
      </c>
      <c r="AD1449" t="s">
        <v>98</v>
      </c>
      <c r="AE1449" t="s">
        <v>96</v>
      </c>
      <c r="AF1449" t="s">
        <v>97</v>
      </c>
      <c r="AG1449" t="s">
        <v>99</v>
      </c>
      <c r="AH1449" t="s">
        <v>100</v>
      </c>
      <c r="AI1449">
        <v>1079</v>
      </c>
      <c r="AJ1449" t="s">
        <v>101</v>
      </c>
      <c r="AK1449">
        <v>0</v>
      </c>
      <c r="AL1449">
        <v>141</v>
      </c>
      <c r="AM1449">
        <v>1220</v>
      </c>
      <c r="AN1449" t="s">
        <v>102</v>
      </c>
      <c r="AO1449" t="s">
        <v>103</v>
      </c>
      <c r="AP1449" t="s">
        <v>104</v>
      </c>
      <c r="AQ1449" t="s">
        <v>105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96</v>
      </c>
      <c r="BC1449">
        <v>8</v>
      </c>
      <c r="BD1449" t="s">
        <v>106</v>
      </c>
      <c r="BE1449">
        <v>1</v>
      </c>
      <c r="BF1449" t="s">
        <v>97</v>
      </c>
      <c r="BG1449" t="s">
        <v>107</v>
      </c>
      <c r="BH1449">
        <v>1995</v>
      </c>
      <c r="BI1449" t="s">
        <v>108</v>
      </c>
      <c r="BJ1449">
        <v>2</v>
      </c>
      <c r="BK1449">
        <v>556</v>
      </c>
      <c r="BL1449" t="s">
        <v>97</v>
      </c>
      <c r="BM1449" t="s">
        <v>97</v>
      </c>
      <c r="BN1449" t="s">
        <v>104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X1449">
        <v>0</v>
      </c>
      <c r="BY1449">
        <v>12</v>
      </c>
      <c r="BZ1449">
        <v>2007</v>
      </c>
      <c r="CA1449" t="s">
        <v>109</v>
      </c>
      <c r="CB1449" t="s">
        <v>110</v>
      </c>
      <c r="CC1449">
        <v>240000</v>
      </c>
    </row>
    <row r="1450" spans="1:81" x14ac:dyDescent="0.3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H1450" t="s">
        <v>83</v>
      </c>
      <c r="I1450" t="s">
        <v>84</v>
      </c>
      <c r="J1450" t="s">
        <v>85</v>
      </c>
      <c r="K1450" t="s">
        <v>86</v>
      </c>
      <c r="L1450" t="s">
        <v>87</v>
      </c>
      <c r="M1450" t="s">
        <v>184</v>
      </c>
      <c r="N1450" t="s">
        <v>89</v>
      </c>
      <c r="O1450" t="s">
        <v>89</v>
      </c>
      <c r="P1450" t="s">
        <v>90</v>
      </c>
      <c r="Q1450" t="s">
        <v>91</v>
      </c>
      <c r="R1450">
        <v>4</v>
      </c>
      <c r="S1450">
        <v>7</v>
      </c>
      <c r="T1450">
        <v>1910</v>
      </c>
      <c r="U1450">
        <v>2000</v>
      </c>
      <c r="V1450" t="s">
        <v>92</v>
      </c>
      <c r="W1450" t="s">
        <v>93</v>
      </c>
      <c r="X1450" t="s">
        <v>115</v>
      </c>
      <c r="Y1450" t="s">
        <v>139</v>
      </c>
      <c r="Z1450" t="s">
        <v>116</v>
      </c>
      <c r="AA1450">
        <v>0</v>
      </c>
      <c r="AB1450" t="s">
        <v>97</v>
      </c>
      <c r="AC1450" t="s">
        <v>97</v>
      </c>
      <c r="AD1450" t="s">
        <v>117</v>
      </c>
      <c r="AE1450" t="s">
        <v>146</v>
      </c>
      <c r="AF1450" t="s">
        <v>97</v>
      </c>
      <c r="AG1450" t="s">
        <v>99</v>
      </c>
      <c r="AH1450" t="s">
        <v>101</v>
      </c>
      <c r="AI1450">
        <v>0</v>
      </c>
      <c r="AJ1450" t="s">
        <v>101</v>
      </c>
      <c r="AK1450">
        <v>0</v>
      </c>
      <c r="AL1450">
        <v>560</v>
      </c>
      <c r="AM1450">
        <v>560</v>
      </c>
      <c r="AN1450" t="s">
        <v>102</v>
      </c>
      <c r="AO1450" t="s">
        <v>96</v>
      </c>
      <c r="AP1450" t="s">
        <v>176</v>
      </c>
      <c r="AQ1450" t="s">
        <v>105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97</v>
      </c>
      <c r="BC1450">
        <v>6</v>
      </c>
      <c r="BD1450" t="s">
        <v>223</v>
      </c>
      <c r="BE1450">
        <v>0</v>
      </c>
      <c r="BG1450" t="s">
        <v>126</v>
      </c>
      <c r="BH1450">
        <v>1950</v>
      </c>
      <c r="BI1450" t="s">
        <v>101</v>
      </c>
      <c r="BJ1450">
        <v>1</v>
      </c>
      <c r="BK1450">
        <v>384</v>
      </c>
      <c r="BL1450" t="s">
        <v>146</v>
      </c>
      <c r="BM1450" t="s">
        <v>97</v>
      </c>
      <c r="BN1450" t="s">
        <v>104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V1450" t="s">
        <v>162</v>
      </c>
      <c r="BX1450">
        <v>0</v>
      </c>
      <c r="BY1450">
        <v>5</v>
      </c>
      <c r="BZ1450">
        <v>2007</v>
      </c>
      <c r="CA1450" t="s">
        <v>109</v>
      </c>
      <c r="CB1450" t="s">
        <v>110</v>
      </c>
      <c r="CC1450">
        <v>112000</v>
      </c>
    </row>
    <row r="1451" spans="1:81" x14ac:dyDescent="0.3">
      <c r="A1451">
        <v>1450</v>
      </c>
      <c r="B1451">
        <v>180</v>
      </c>
      <c r="C1451" t="s">
        <v>141</v>
      </c>
      <c r="D1451">
        <v>21</v>
      </c>
      <c r="E1451">
        <v>1533</v>
      </c>
      <c r="F1451" t="s">
        <v>82</v>
      </c>
      <c r="H1451" t="s">
        <v>83</v>
      </c>
      <c r="I1451" t="s">
        <v>84</v>
      </c>
      <c r="J1451" t="s">
        <v>85</v>
      </c>
      <c r="K1451" t="s">
        <v>86</v>
      </c>
      <c r="L1451" t="s">
        <v>87</v>
      </c>
      <c r="M1451" t="s">
        <v>177</v>
      </c>
      <c r="N1451" t="s">
        <v>89</v>
      </c>
      <c r="O1451" t="s">
        <v>89</v>
      </c>
      <c r="P1451" t="s">
        <v>197</v>
      </c>
      <c r="Q1451" t="s">
        <v>190</v>
      </c>
      <c r="R1451">
        <v>5</v>
      </c>
      <c r="S1451">
        <v>7</v>
      </c>
      <c r="T1451">
        <v>1970</v>
      </c>
      <c r="U1451">
        <v>1970</v>
      </c>
      <c r="V1451" t="s">
        <v>92</v>
      </c>
      <c r="W1451" t="s">
        <v>93</v>
      </c>
      <c r="X1451" t="s">
        <v>179</v>
      </c>
      <c r="Y1451" t="s">
        <v>180</v>
      </c>
      <c r="Z1451" t="s">
        <v>116</v>
      </c>
      <c r="AA1451">
        <v>0</v>
      </c>
      <c r="AB1451" t="s">
        <v>97</v>
      </c>
      <c r="AC1451" t="s">
        <v>97</v>
      </c>
      <c r="AD1451" t="s">
        <v>117</v>
      </c>
      <c r="AE1451" t="s">
        <v>96</v>
      </c>
      <c r="AF1451" t="s">
        <v>97</v>
      </c>
      <c r="AG1451" t="s">
        <v>129</v>
      </c>
      <c r="AH1451" t="s">
        <v>100</v>
      </c>
      <c r="AI1451">
        <v>553</v>
      </c>
      <c r="AJ1451" t="s">
        <v>101</v>
      </c>
      <c r="AK1451">
        <v>0</v>
      </c>
      <c r="AL1451">
        <v>77</v>
      </c>
      <c r="AM1451">
        <v>630</v>
      </c>
      <c r="AN1451" t="s">
        <v>102</v>
      </c>
      <c r="AO1451" t="s">
        <v>103</v>
      </c>
      <c r="AP1451" t="s">
        <v>104</v>
      </c>
      <c r="AQ1451" t="s">
        <v>105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103</v>
      </c>
      <c r="BC1451">
        <v>3</v>
      </c>
      <c r="BD1451" t="s">
        <v>106</v>
      </c>
      <c r="BE1451">
        <v>0</v>
      </c>
      <c r="BJ1451">
        <v>0</v>
      </c>
      <c r="BK1451">
        <v>0</v>
      </c>
      <c r="BN1451" t="s">
        <v>104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X1451">
        <v>0</v>
      </c>
      <c r="BY1451">
        <v>8</v>
      </c>
      <c r="BZ1451">
        <v>2006</v>
      </c>
      <c r="CA1451" t="s">
        <v>109</v>
      </c>
      <c r="CB1451" t="s">
        <v>127</v>
      </c>
      <c r="CC1451">
        <v>92000</v>
      </c>
    </row>
    <row r="1452" spans="1:81" x14ac:dyDescent="0.3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H1452" t="s">
        <v>83</v>
      </c>
      <c r="I1452" t="s">
        <v>84</v>
      </c>
      <c r="J1452" t="s">
        <v>85</v>
      </c>
      <c r="K1452" t="s">
        <v>111</v>
      </c>
      <c r="L1452" t="s">
        <v>87</v>
      </c>
      <c r="M1452" t="s">
        <v>270</v>
      </c>
      <c r="N1452" t="s">
        <v>89</v>
      </c>
      <c r="O1452" t="s">
        <v>89</v>
      </c>
      <c r="P1452" t="s">
        <v>166</v>
      </c>
      <c r="Q1452" t="s">
        <v>91</v>
      </c>
      <c r="R1452">
        <v>5</v>
      </c>
      <c r="S1452">
        <v>5</v>
      </c>
      <c r="T1452">
        <v>1974</v>
      </c>
      <c r="U1452">
        <v>1974</v>
      </c>
      <c r="V1452" t="s">
        <v>92</v>
      </c>
      <c r="W1452" t="s">
        <v>93</v>
      </c>
      <c r="X1452" t="s">
        <v>94</v>
      </c>
      <c r="Y1452" t="s">
        <v>94</v>
      </c>
      <c r="Z1452" t="s">
        <v>116</v>
      </c>
      <c r="AA1452">
        <v>0</v>
      </c>
      <c r="AB1452" t="s">
        <v>97</v>
      </c>
      <c r="AC1452" t="s">
        <v>97</v>
      </c>
      <c r="AD1452" t="s">
        <v>117</v>
      </c>
      <c r="AE1452" t="s">
        <v>96</v>
      </c>
      <c r="AF1452" t="s">
        <v>97</v>
      </c>
      <c r="AG1452" t="s">
        <v>99</v>
      </c>
      <c r="AH1452" t="s">
        <v>101</v>
      </c>
      <c r="AI1452">
        <v>0</v>
      </c>
      <c r="AJ1452" t="s">
        <v>101</v>
      </c>
      <c r="AK1452">
        <v>0</v>
      </c>
      <c r="AL1452">
        <v>896</v>
      </c>
      <c r="AM1452">
        <v>896</v>
      </c>
      <c r="AN1452" t="s">
        <v>102</v>
      </c>
      <c r="AO1452" t="s">
        <v>97</v>
      </c>
      <c r="AP1452" t="s">
        <v>104</v>
      </c>
      <c r="AQ1452" t="s">
        <v>105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97</v>
      </c>
      <c r="BC1452">
        <v>8</v>
      </c>
      <c r="BD1452" t="s">
        <v>106</v>
      </c>
      <c r="BE1452">
        <v>0</v>
      </c>
      <c r="BJ1452">
        <v>0</v>
      </c>
      <c r="BK1452">
        <v>0</v>
      </c>
      <c r="BN1452" t="s">
        <v>104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X1452">
        <v>0</v>
      </c>
      <c r="BY1452">
        <v>9</v>
      </c>
      <c r="BZ1452">
        <v>2009</v>
      </c>
      <c r="CA1452" t="s">
        <v>109</v>
      </c>
      <c r="CB1452" t="s">
        <v>110</v>
      </c>
      <c r="CC1452">
        <v>136000</v>
      </c>
    </row>
    <row r="1453" spans="1:81" x14ac:dyDescent="0.3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H1453" t="s">
        <v>83</v>
      </c>
      <c r="I1453" t="s">
        <v>84</v>
      </c>
      <c r="J1453" t="s">
        <v>85</v>
      </c>
      <c r="K1453" t="s">
        <v>86</v>
      </c>
      <c r="L1453" t="s">
        <v>87</v>
      </c>
      <c r="M1453" t="s">
        <v>135</v>
      </c>
      <c r="N1453" t="s">
        <v>89</v>
      </c>
      <c r="O1453" t="s">
        <v>89</v>
      </c>
      <c r="P1453" t="s">
        <v>90</v>
      </c>
      <c r="Q1453" t="s">
        <v>114</v>
      </c>
      <c r="R1453">
        <v>8</v>
      </c>
      <c r="S1453">
        <v>5</v>
      </c>
      <c r="T1453">
        <v>2008</v>
      </c>
      <c r="U1453">
        <v>2009</v>
      </c>
      <c r="V1453" t="s">
        <v>92</v>
      </c>
      <c r="W1453" t="s">
        <v>93</v>
      </c>
      <c r="X1453" t="s">
        <v>179</v>
      </c>
      <c r="Y1453" t="s">
        <v>180</v>
      </c>
      <c r="Z1453" t="s">
        <v>136</v>
      </c>
      <c r="AA1453">
        <v>194</v>
      </c>
      <c r="AB1453" t="s">
        <v>96</v>
      </c>
      <c r="AC1453" t="s">
        <v>97</v>
      </c>
      <c r="AD1453" t="s">
        <v>98</v>
      </c>
      <c r="AE1453" t="s">
        <v>96</v>
      </c>
      <c r="AF1453" t="s">
        <v>97</v>
      </c>
      <c r="AG1453" t="s">
        <v>99</v>
      </c>
      <c r="AH1453" t="s">
        <v>101</v>
      </c>
      <c r="AI1453">
        <v>0</v>
      </c>
      <c r="AJ1453" t="s">
        <v>101</v>
      </c>
      <c r="AK1453">
        <v>0</v>
      </c>
      <c r="AL1453">
        <v>1573</v>
      </c>
      <c r="AM1453">
        <v>1573</v>
      </c>
      <c r="AN1453" t="s">
        <v>102</v>
      </c>
      <c r="AO1453" t="s">
        <v>103</v>
      </c>
      <c r="AP1453" t="s">
        <v>104</v>
      </c>
      <c r="AQ1453" t="s">
        <v>105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103</v>
      </c>
      <c r="BC1453">
        <v>7</v>
      </c>
      <c r="BD1453" t="s">
        <v>106</v>
      </c>
      <c r="BE1453">
        <v>1</v>
      </c>
      <c r="BF1453" t="s">
        <v>96</v>
      </c>
      <c r="BG1453" t="s">
        <v>107</v>
      </c>
      <c r="BH1453">
        <v>2008</v>
      </c>
      <c r="BI1453" t="s">
        <v>156</v>
      </c>
      <c r="BJ1453">
        <v>3</v>
      </c>
      <c r="BK1453">
        <v>840</v>
      </c>
      <c r="BL1453" t="s">
        <v>97</v>
      </c>
      <c r="BM1453" t="s">
        <v>97</v>
      </c>
      <c r="BN1453" t="s">
        <v>104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X1453">
        <v>0</v>
      </c>
      <c r="BY1453">
        <v>5</v>
      </c>
      <c r="BZ1453">
        <v>2009</v>
      </c>
      <c r="CA1453" t="s">
        <v>157</v>
      </c>
      <c r="CB1453" t="s">
        <v>158</v>
      </c>
      <c r="CC1453">
        <v>287090</v>
      </c>
    </row>
    <row r="1454" spans="1:81" x14ac:dyDescent="0.3">
      <c r="A1454">
        <v>1453</v>
      </c>
      <c r="B1454">
        <v>180</v>
      </c>
      <c r="C1454" t="s">
        <v>141</v>
      </c>
      <c r="D1454">
        <v>35</v>
      </c>
      <c r="E1454">
        <v>3675</v>
      </c>
      <c r="F1454" t="s">
        <v>82</v>
      </c>
      <c r="H1454" t="s">
        <v>83</v>
      </c>
      <c r="I1454" t="s">
        <v>84</v>
      </c>
      <c r="J1454" t="s">
        <v>85</v>
      </c>
      <c r="K1454" t="s">
        <v>86</v>
      </c>
      <c r="L1454" t="s">
        <v>87</v>
      </c>
      <c r="M1454" t="s">
        <v>184</v>
      </c>
      <c r="N1454" t="s">
        <v>89</v>
      </c>
      <c r="O1454" t="s">
        <v>89</v>
      </c>
      <c r="P1454" t="s">
        <v>178</v>
      </c>
      <c r="Q1454" t="s">
        <v>196</v>
      </c>
      <c r="R1454">
        <v>5</v>
      </c>
      <c r="S1454">
        <v>5</v>
      </c>
      <c r="T1454">
        <v>2005</v>
      </c>
      <c r="U1454">
        <v>2005</v>
      </c>
      <c r="V1454" t="s">
        <v>92</v>
      </c>
      <c r="W1454" t="s">
        <v>93</v>
      </c>
      <c r="X1454" t="s">
        <v>94</v>
      </c>
      <c r="Y1454" t="s">
        <v>94</v>
      </c>
      <c r="Z1454" t="s">
        <v>95</v>
      </c>
      <c r="AA1454">
        <v>80</v>
      </c>
      <c r="AB1454" t="s">
        <v>97</v>
      </c>
      <c r="AC1454" t="s">
        <v>97</v>
      </c>
      <c r="AD1454" t="s">
        <v>98</v>
      </c>
      <c r="AE1454" t="s">
        <v>96</v>
      </c>
      <c r="AF1454" t="s">
        <v>97</v>
      </c>
      <c r="AG1454" t="s">
        <v>96</v>
      </c>
      <c r="AH1454" t="s">
        <v>100</v>
      </c>
      <c r="AI1454">
        <v>547</v>
      </c>
      <c r="AJ1454" t="s">
        <v>101</v>
      </c>
      <c r="AK1454">
        <v>0</v>
      </c>
      <c r="AL1454">
        <v>0</v>
      </c>
      <c r="AM1454">
        <v>547</v>
      </c>
      <c r="AN1454" t="s">
        <v>102</v>
      </c>
      <c r="AO1454" t="s">
        <v>96</v>
      </c>
      <c r="AP1454" t="s">
        <v>104</v>
      </c>
      <c r="AQ1454" t="s">
        <v>105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97</v>
      </c>
      <c r="BC1454">
        <v>5</v>
      </c>
      <c r="BD1454" t="s">
        <v>106</v>
      </c>
      <c r="BE1454">
        <v>0</v>
      </c>
      <c r="BG1454" t="s">
        <v>208</v>
      </c>
      <c r="BH1454">
        <v>2005</v>
      </c>
      <c r="BI1454" t="s">
        <v>156</v>
      </c>
      <c r="BJ1454">
        <v>2</v>
      </c>
      <c r="BK1454">
        <v>525</v>
      </c>
      <c r="BL1454" t="s">
        <v>97</v>
      </c>
      <c r="BM1454" t="s">
        <v>97</v>
      </c>
      <c r="BN1454" t="s">
        <v>104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X1454">
        <v>0</v>
      </c>
      <c r="BY1454">
        <v>5</v>
      </c>
      <c r="BZ1454">
        <v>2006</v>
      </c>
      <c r="CA1454" t="s">
        <v>109</v>
      </c>
      <c r="CB1454" t="s">
        <v>110</v>
      </c>
      <c r="CC1454">
        <v>145000</v>
      </c>
    </row>
    <row r="1455" spans="1:81" x14ac:dyDescent="0.3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H1455" t="s">
        <v>83</v>
      </c>
      <c r="I1455" t="s">
        <v>84</v>
      </c>
      <c r="J1455" t="s">
        <v>85</v>
      </c>
      <c r="K1455" t="s">
        <v>86</v>
      </c>
      <c r="L1455" t="s">
        <v>87</v>
      </c>
      <c r="M1455" t="s">
        <v>130</v>
      </c>
      <c r="N1455" t="s">
        <v>89</v>
      </c>
      <c r="O1455" t="s">
        <v>89</v>
      </c>
      <c r="P1455" t="s">
        <v>90</v>
      </c>
      <c r="Q1455" t="s">
        <v>114</v>
      </c>
      <c r="R1455">
        <v>5</v>
      </c>
      <c r="S1455">
        <v>5</v>
      </c>
      <c r="T1455">
        <v>2006</v>
      </c>
      <c r="U1455">
        <v>2006</v>
      </c>
      <c r="V1455" t="s">
        <v>92</v>
      </c>
      <c r="W1455" t="s">
        <v>93</v>
      </c>
      <c r="X1455" t="s">
        <v>94</v>
      </c>
      <c r="Y1455" t="s">
        <v>94</v>
      </c>
      <c r="Z1455" t="s">
        <v>116</v>
      </c>
      <c r="AA1455">
        <v>0</v>
      </c>
      <c r="AB1455" t="s">
        <v>97</v>
      </c>
      <c r="AC1455" t="s">
        <v>97</v>
      </c>
      <c r="AD1455" t="s">
        <v>98</v>
      </c>
      <c r="AE1455" t="s">
        <v>96</v>
      </c>
      <c r="AF1455" t="s">
        <v>97</v>
      </c>
      <c r="AG1455" t="s">
        <v>99</v>
      </c>
      <c r="AH1455" t="s">
        <v>101</v>
      </c>
      <c r="AI1455">
        <v>0</v>
      </c>
      <c r="AJ1455" t="s">
        <v>101</v>
      </c>
      <c r="AK1455">
        <v>0</v>
      </c>
      <c r="AL1455">
        <v>1140</v>
      </c>
      <c r="AM1455">
        <v>1140</v>
      </c>
      <c r="AN1455" t="s">
        <v>102</v>
      </c>
      <c r="AO1455" t="s">
        <v>103</v>
      </c>
      <c r="AP1455" t="s">
        <v>104</v>
      </c>
      <c r="AQ1455" t="s">
        <v>105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97</v>
      </c>
      <c r="BC1455">
        <v>6</v>
      </c>
      <c r="BD1455" t="s">
        <v>106</v>
      </c>
      <c r="BE1455">
        <v>0</v>
      </c>
      <c r="BJ1455">
        <v>0</v>
      </c>
      <c r="BK1455">
        <v>0</v>
      </c>
      <c r="BN1455" t="s">
        <v>104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X1455">
        <v>0</v>
      </c>
      <c r="BY1455">
        <v>7</v>
      </c>
      <c r="BZ1455">
        <v>2006</v>
      </c>
      <c r="CA1455" t="s">
        <v>109</v>
      </c>
      <c r="CB1455" t="s">
        <v>127</v>
      </c>
      <c r="CC1455">
        <v>84500</v>
      </c>
    </row>
    <row r="1456" spans="1:81" x14ac:dyDescent="0.3">
      <c r="A1456">
        <v>1455</v>
      </c>
      <c r="B1456">
        <v>20</v>
      </c>
      <c r="C1456" t="s">
        <v>191</v>
      </c>
      <c r="D1456">
        <v>62</v>
      </c>
      <c r="E1456">
        <v>7500</v>
      </c>
      <c r="F1456" t="s">
        <v>82</v>
      </c>
      <c r="G1456" t="s">
        <v>82</v>
      </c>
      <c r="H1456" t="s">
        <v>83</v>
      </c>
      <c r="I1456" t="s">
        <v>84</v>
      </c>
      <c r="J1456" t="s">
        <v>85</v>
      </c>
      <c r="K1456" t="s">
        <v>86</v>
      </c>
      <c r="L1456" t="s">
        <v>87</v>
      </c>
      <c r="M1456" t="s">
        <v>135</v>
      </c>
      <c r="N1456" t="s">
        <v>89</v>
      </c>
      <c r="O1456" t="s">
        <v>89</v>
      </c>
      <c r="P1456" t="s">
        <v>90</v>
      </c>
      <c r="Q1456" t="s">
        <v>114</v>
      </c>
      <c r="R1456">
        <v>7</v>
      </c>
      <c r="S1456">
        <v>5</v>
      </c>
      <c r="T1456">
        <v>2004</v>
      </c>
      <c r="U1456">
        <v>2005</v>
      </c>
      <c r="V1456" t="s">
        <v>92</v>
      </c>
      <c r="W1456" t="s">
        <v>93</v>
      </c>
      <c r="X1456" t="s">
        <v>94</v>
      </c>
      <c r="Y1456" t="s">
        <v>94</v>
      </c>
      <c r="Z1456" t="s">
        <v>116</v>
      </c>
      <c r="AA1456">
        <v>0</v>
      </c>
      <c r="AB1456" t="s">
        <v>96</v>
      </c>
      <c r="AC1456" t="s">
        <v>97</v>
      </c>
      <c r="AD1456" t="s">
        <v>98</v>
      </c>
      <c r="AE1456" t="s">
        <v>96</v>
      </c>
      <c r="AF1456" t="s">
        <v>97</v>
      </c>
      <c r="AG1456" t="s">
        <v>99</v>
      </c>
      <c r="AH1456" t="s">
        <v>100</v>
      </c>
      <c r="AI1456">
        <v>410</v>
      </c>
      <c r="AJ1456" t="s">
        <v>101</v>
      </c>
      <c r="AK1456">
        <v>0</v>
      </c>
      <c r="AL1456">
        <v>811</v>
      </c>
      <c r="AM1456">
        <v>1221</v>
      </c>
      <c r="AN1456" t="s">
        <v>102</v>
      </c>
      <c r="AO1456" t="s">
        <v>103</v>
      </c>
      <c r="AP1456" t="s">
        <v>104</v>
      </c>
      <c r="AQ1456" t="s">
        <v>105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96</v>
      </c>
      <c r="BC1456">
        <v>6</v>
      </c>
      <c r="BD1456" t="s">
        <v>106</v>
      </c>
      <c r="BE1456">
        <v>0</v>
      </c>
      <c r="BG1456" t="s">
        <v>107</v>
      </c>
      <c r="BH1456">
        <v>2004</v>
      </c>
      <c r="BI1456" t="s">
        <v>108</v>
      </c>
      <c r="BJ1456">
        <v>2</v>
      </c>
      <c r="BK1456">
        <v>400</v>
      </c>
      <c r="BL1456" t="s">
        <v>97</v>
      </c>
      <c r="BM1456" t="s">
        <v>97</v>
      </c>
      <c r="BN1456" t="s">
        <v>104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X1456">
        <v>0</v>
      </c>
      <c r="BY1456">
        <v>10</v>
      </c>
      <c r="BZ1456">
        <v>2009</v>
      </c>
      <c r="CA1456" t="s">
        <v>109</v>
      </c>
      <c r="CB1456" t="s">
        <v>110</v>
      </c>
      <c r="CC1456">
        <v>185000</v>
      </c>
    </row>
    <row r="1457" spans="1:81" x14ac:dyDescent="0.3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H1457" t="s">
        <v>83</v>
      </c>
      <c r="I1457" t="s">
        <v>84</v>
      </c>
      <c r="J1457" t="s">
        <v>85</v>
      </c>
      <c r="K1457" t="s">
        <v>86</v>
      </c>
      <c r="L1457" t="s">
        <v>87</v>
      </c>
      <c r="M1457" t="s">
        <v>192</v>
      </c>
      <c r="N1457" t="s">
        <v>89</v>
      </c>
      <c r="O1457" t="s">
        <v>89</v>
      </c>
      <c r="P1457" t="s">
        <v>90</v>
      </c>
      <c r="Q1457" t="s">
        <v>91</v>
      </c>
      <c r="R1457">
        <v>6</v>
      </c>
      <c r="S1457">
        <v>5</v>
      </c>
      <c r="T1457">
        <v>1999</v>
      </c>
      <c r="U1457">
        <v>2000</v>
      </c>
      <c r="V1457" t="s">
        <v>92</v>
      </c>
      <c r="W1457" t="s">
        <v>93</v>
      </c>
      <c r="X1457" t="s">
        <v>94</v>
      </c>
      <c r="Y1457" t="s">
        <v>94</v>
      </c>
      <c r="Z1457" t="s">
        <v>116</v>
      </c>
      <c r="AA1457">
        <v>0</v>
      </c>
      <c r="AB1457" t="s">
        <v>97</v>
      </c>
      <c r="AC1457" t="s">
        <v>97</v>
      </c>
      <c r="AD1457" t="s">
        <v>98</v>
      </c>
      <c r="AE1457" t="s">
        <v>96</v>
      </c>
      <c r="AF1457" t="s">
        <v>97</v>
      </c>
      <c r="AG1457" t="s">
        <v>99</v>
      </c>
      <c r="AH1457" t="s">
        <v>101</v>
      </c>
      <c r="AI1457">
        <v>0</v>
      </c>
      <c r="AJ1457" t="s">
        <v>101</v>
      </c>
      <c r="AK1457">
        <v>0</v>
      </c>
      <c r="AL1457">
        <v>953</v>
      </c>
      <c r="AM1457">
        <v>953</v>
      </c>
      <c r="AN1457" t="s">
        <v>102</v>
      </c>
      <c r="AO1457" t="s">
        <v>103</v>
      </c>
      <c r="AP1457" t="s">
        <v>104</v>
      </c>
      <c r="AQ1457" t="s">
        <v>105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97</v>
      </c>
      <c r="BC1457">
        <v>7</v>
      </c>
      <c r="BD1457" t="s">
        <v>106</v>
      </c>
      <c r="BE1457">
        <v>1</v>
      </c>
      <c r="BF1457" t="s">
        <v>97</v>
      </c>
      <c r="BG1457" t="s">
        <v>107</v>
      </c>
      <c r="BH1457">
        <v>1999</v>
      </c>
      <c r="BI1457" t="s">
        <v>108</v>
      </c>
      <c r="BJ1457">
        <v>2</v>
      </c>
      <c r="BK1457">
        <v>460</v>
      </c>
      <c r="BL1457" t="s">
        <v>97</v>
      </c>
      <c r="BM1457" t="s">
        <v>97</v>
      </c>
      <c r="BN1457" t="s">
        <v>104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X1457">
        <v>0</v>
      </c>
      <c r="BY1457">
        <v>8</v>
      </c>
      <c r="BZ1457">
        <v>2007</v>
      </c>
      <c r="CA1457" t="s">
        <v>109</v>
      </c>
      <c r="CB1457" t="s">
        <v>110</v>
      </c>
      <c r="CC1457">
        <v>175000</v>
      </c>
    </row>
    <row r="1458" spans="1:81" x14ac:dyDescent="0.3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H1458" t="s">
        <v>83</v>
      </c>
      <c r="I1458" t="s">
        <v>84</v>
      </c>
      <c r="J1458" t="s">
        <v>85</v>
      </c>
      <c r="K1458" t="s">
        <v>86</v>
      </c>
      <c r="L1458" t="s">
        <v>87</v>
      </c>
      <c r="M1458" t="s">
        <v>137</v>
      </c>
      <c r="N1458" t="s">
        <v>89</v>
      </c>
      <c r="O1458" t="s">
        <v>89</v>
      </c>
      <c r="P1458" t="s">
        <v>90</v>
      </c>
      <c r="Q1458" t="s">
        <v>114</v>
      </c>
      <c r="R1458">
        <v>6</v>
      </c>
      <c r="S1458">
        <v>6</v>
      </c>
      <c r="T1458">
        <v>1978</v>
      </c>
      <c r="U1458">
        <v>1988</v>
      </c>
      <c r="V1458" t="s">
        <v>92</v>
      </c>
      <c r="W1458" t="s">
        <v>93</v>
      </c>
      <c r="X1458" t="s">
        <v>160</v>
      </c>
      <c r="Y1458" t="s">
        <v>160</v>
      </c>
      <c r="Z1458" t="s">
        <v>136</v>
      </c>
      <c r="AA1458">
        <v>119</v>
      </c>
      <c r="AB1458" t="s">
        <v>97</v>
      </c>
      <c r="AC1458" t="s">
        <v>97</v>
      </c>
      <c r="AD1458" t="s">
        <v>117</v>
      </c>
      <c r="AE1458" t="s">
        <v>96</v>
      </c>
      <c r="AF1458" t="s">
        <v>97</v>
      </c>
      <c r="AG1458" t="s">
        <v>99</v>
      </c>
      <c r="AH1458" t="s">
        <v>118</v>
      </c>
      <c r="AI1458">
        <v>790</v>
      </c>
      <c r="AJ1458" t="s">
        <v>152</v>
      </c>
      <c r="AK1458">
        <v>163</v>
      </c>
      <c r="AL1458">
        <v>589</v>
      </c>
      <c r="AM1458">
        <v>1542</v>
      </c>
      <c r="AN1458" t="s">
        <v>102</v>
      </c>
      <c r="AO1458" t="s">
        <v>97</v>
      </c>
      <c r="AP1458" t="s">
        <v>104</v>
      </c>
      <c r="AQ1458" t="s">
        <v>105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97</v>
      </c>
      <c r="BC1458">
        <v>7</v>
      </c>
      <c r="BD1458" t="s">
        <v>145</v>
      </c>
      <c r="BE1458">
        <v>2</v>
      </c>
      <c r="BF1458" t="s">
        <v>97</v>
      </c>
      <c r="BG1458" t="s">
        <v>107</v>
      </c>
      <c r="BH1458">
        <v>1978</v>
      </c>
      <c r="BI1458" t="s">
        <v>101</v>
      </c>
      <c r="BJ1458">
        <v>2</v>
      </c>
      <c r="BK1458">
        <v>500</v>
      </c>
      <c r="BL1458" t="s">
        <v>97</v>
      </c>
      <c r="BM1458" t="s">
        <v>97</v>
      </c>
      <c r="BN1458" t="s">
        <v>104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V1458" t="s">
        <v>133</v>
      </c>
      <c r="BX1458">
        <v>0</v>
      </c>
      <c r="BY1458">
        <v>2</v>
      </c>
      <c r="BZ1458">
        <v>2010</v>
      </c>
      <c r="CA1458" t="s">
        <v>109</v>
      </c>
      <c r="CB1458" t="s">
        <v>110</v>
      </c>
      <c r="CC1458">
        <v>210000</v>
      </c>
    </row>
    <row r="1459" spans="1:81" x14ac:dyDescent="0.3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H1459" t="s">
        <v>83</v>
      </c>
      <c r="I1459" t="s">
        <v>84</v>
      </c>
      <c r="J1459" t="s">
        <v>85</v>
      </c>
      <c r="K1459" t="s">
        <v>86</v>
      </c>
      <c r="L1459" t="s">
        <v>87</v>
      </c>
      <c r="M1459" t="s">
        <v>122</v>
      </c>
      <c r="N1459" t="s">
        <v>89</v>
      </c>
      <c r="O1459" t="s">
        <v>89</v>
      </c>
      <c r="P1459" t="s">
        <v>90</v>
      </c>
      <c r="Q1459" t="s">
        <v>91</v>
      </c>
      <c r="R1459">
        <v>7</v>
      </c>
      <c r="S1459">
        <v>9</v>
      </c>
      <c r="T1459">
        <v>1941</v>
      </c>
      <c r="U1459">
        <v>2006</v>
      </c>
      <c r="V1459" t="s">
        <v>92</v>
      </c>
      <c r="W1459" t="s">
        <v>93</v>
      </c>
      <c r="X1459" t="s">
        <v>179</v>
      </c>
      <c r="Y1459" t="s">
        <v>180</v>
      </c>
      <c r="Z1459" t="s">
        <v>116</v>
      </c>
      <c r="AA1459">
        <v>0</v>
      </c>
      <c r="AB1459" t="s">
        <v>103</v>
      </c>
      <c r="AC1459" t="s">
        <v>96</v>
      </c>
      <c r="AD1459" t="s">
        <v>136</v>
      </c>
      <c r="AE1459" t="s">
        <v>97</v>
      </c>
      <c r="AF1459" t="s">
        <v>96</v>
      </c>
      <c r="AG1459" t="s">
        <v>99</v>
      </c>
      <c r="AH1459" t="s">
        <v>100</v>
      </c>
      <c r="AI1459">
        <v>275</v>
      </c>
      <c r="AJ1459" t="s">
        <v>101</v>
      </c>
      <c r="AK1459">
        <v>0</v>
      </c>
      <c r="AL1459">
        <v>877</v>
      </c>
      <c r="AM1459">
        <v>1152</v>
      </c>
      <c r="AN1459" t="s">
        <v>102</v>
      </c>
      <c r="AO1459" t="s">
        <v>103</v>
      </c>
      <c r="AP1459" t="s">
        <v>104</v>
      </c>
      <c r="AQ1459" t="s">
        <v>105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96</v>
      </c>
      <c r="BC1459">
        <v>9</v>
      </c>
      <c r="BD1459" t="s">
        <v>106</v>
      </c>
      <c r="BE1459">
        <v>2</v>
      </c>
      <c r="BF1459" t="s">
        <v>96</v>
      </c>
      <c r="BG1459" t="s">
        <v>107</v>
      </c>
      <c r="BH1459">
        <v>1941</v>
      </c>
      <c r="BI1459" t="s">
        <v>108</v>
      </c>
      <c r="BJ1459">
        <v>1</v>
      </c>
      <c r="BK1459">
        <v>252</v>
      </c>
      <c r="BL1459" t="s">
        <v>97</v>
      </c>
      <c r="BM1459" t="s">
        <v>97</v>
      </c>
      <c r="BN1459" t="s">
        <v>104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V1459" t="s">
        <v>164</v>
      </c>
      <c r="BW1459" t="s">
        <v>134</v>
      </c>
      <c r="BX1459">
        <v>2500</v>
      </c>
      <c r="BY1459">
        <v>5</v>
      </c>
      <c r="BZ1459">
        <v>2010</v>
      </c>
      <c r="CA1459" t="s">
        <v>109</v>
      </c>
      <c r="CB1459" t="s">
        <v>110</v>
      </c>
      <c r="CC1459">
        <v>266500</v>
      </c>
    </row>
    <row r="1460" spans="1:81" x14ac:dyDescent="0.3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H1460" t="s">
        <v>83</v>
      </c>
      <c r="I1460" t="s">
        <v>84</v>
      </c>
      <c r="J1460" t="s">
        <v>85</v>
      </c>
      <c r="K1460" t="s">
        <v>86</v>
      </c>
      <c r="L1460" t="s">
        <v>87</v>
      </c>
      <c r="M1460" t="s">
        <v>270</v>
      </c>
      <c r="N1460" t="s">
        <v>89</v>
      </c>
      <c r="O1460" t="s">
        <v>89</v>
      </c>
      <c r="P1460" t="s">
        <v>90</v>
      </c>
      <c r="Q1460" t="s">
        <v>114</v>
      </c>
      <c r="R1460">
        <v>5</v>
      </c>
      <c r="S1460">
        <v>6</v>
      </c>
      <c r="T1460">
        <v>1950</v>
      </c>
      <c r="U1460">
        <v>1996</v>
      </c>
      <c r="V1460" t="s">
        <v>151</v>
      </c>
      <c r="W1460" t="s">
        <v>93</v>
      </c>
      <c r="X1460" t="s">
        <v>115</v>
      </c>
      <c r="Y1460" t="s">
        <v>115</v>
      </c>
      <c r="Z1460" t="s">
        <v>116</v>
      </c>
      <c r="AA1460">
        <v>0</v>
      </c>
      <c r="AB1460" t="s">
        <v>97</v>
      </c>
      <c r="AC1460" t="s">
        <v>97</v>
      </c>
      <c r="AD1460" t="s">
        <v>117</v>
      </c>
      <c r="AE1460" t="s">
        <v>97</v>
      </c>
      <c r="AF1460" t="s">
        <v>97</v>
      </c>
      <c r="AG1460" t="s">
        <v>120</v>
      </c>
      <c r="AH1460" t="s">
        <v>100</v>
      </c>
      <c r="AI1460">
        <v>49</v>
      </c>
      <c r="AJ1460" t="s">
        <v>152</v>
      </c>
      <c r="AK1460">
        <v>1029</v>
      </c>
      <c r="AL1460">
        <v>0</v>
      </c>
      <c r="AM1460">
        <v>1078</v>
      </c>
      <c r="AN1460" t="s">
        <v>102</v>
      </c>
      <c r="AO1460" t="s">
        <v>96</v>
      </c>
      <c r="AP1460" t="s">
        <v>104</v>
      </c>
      <c r="AQ1460" t="s">
        <v>163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96</v>
      </c>
      <c r="BC1460">
        <v>5</v>
      </c>
      <c r="BD1460" t="s">
        <v>106</v>
      </c>
      <c r="BE1460">
        <v>0</v>
      </c>
      <c r="BG1460" t="s">
        <v>107</v>
      </c>
      <c r="BH1460">
        <v>1950</v>
      </c>
      <c r="BI1460" t="s">
        <v>101</v>
      </c>
      <c r="BJ1460">
        <v>1</v>
      </c>
      <c r="BK1460">
        <v>240</v>
      </c>
      <c r="BL1460" t="s">
        <v>97</v>
      </c>
      <c r="BM1460" t="s">
        <v>97</v>
      </c>
      <c r="BN1460" t="s">
        <v>104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X1460">
        <v>0</v>
      </c>
      <c r="BY1460">
        <v>4</v>
      </c>
      <c r="BZ1460">
        <v>2010</v>
      </c>
      <c r="CA1460" t="s">
        <v>109</v>
      </c>
      <c r="CB1460" t="s">
        <v>110</v>
      </c>
      <c r="CC1460">
        <v>142125</v>
      </c>
    </row>
    <row r="1461" spans="1:81" x14ac:dyDescent="0.3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H1461" t="s">
        <v>83</v>
      </c>
      <c r="I1461" t="s">
        <v>84</v>
      </c>
      <c r="J1461" t="s">
        <v>85</v>
      </c>
      <c r="K1461" t="s">
        <v>86</v>
      </c>
      <c r="L1461" t="s">
        <v>87</v>
      </c>
      <c r="M1461" t="s">
        <v>184</v>
      </c>
      <c r="N1461" t="s">
        <v>89</v>
      </c>
      <c r="O1461" t="s">
        <v>89</v>
      </c>
      <c r="P1461" t="s">
        <v>90</v>
      </c>
      <c r="Q1461" t="s">
        <v>114</v>
      </c>
      <c r="R1461">
        <v>5</v>
      </c>
      <c r="S1461">
        <v>6</v>
      </c>
      <c r="T1461">
        <v>1965</v>
      </c>
      <c r="U1461">
        <v>1965</v>
      </c>
      <c r="V1461" t="s">
        <v>92</v>
      </c>
      <c r="W1461" t="s">
        <v>93</v>
      </c>
      <c r="X1461" t="s">
        <v>139</v>
      </c>
      <c r="Y1461" t="s">
        <v>139</v>
      </c>
      <c r="Z1461" t="s">
        <v>116</v>
      </c>
      <c r="AA1461">
        <v>0</v>
      </c>
      <c r="AB1461" t="s">
        <v>96</v>
      </c>
      <c r="AC1461" t="s">
        <v>97</v>
      </c>
      <c r="AD1461" t="s">
        <v>117</v>
      </c>
      <c r="AE1461" t="s">
        <v>97</v>
      </c>
      <c r="AF1461" t="s">
        <v>97</v>
      </c>
      <c r="AG1461" t="s">
        <v>99</v>
      </c>
      <c r="AH1461" t="s">
        <v>140</v>
      </c>
      <c r="AI1461">
        <v>830</v>
      </c>
      <c r="AJ1461" t="s">
        <v>171</v>
      </c>
      <c r="AK1461">
        <v>290</v>
      </c>
      <c r="AL1461">
        <v>136</v>
      </c>
      <c r="AM1461">
        <v>1256</v>
      </c>
      <c r="AN1461" t="s">
        <v>102</v>
      </c>
      <c r="AO1461" t="s">
        <v>96</v>
      </c>
      <c r="AP1461" t="s">
        <v>104</v>
      </c>
      <c r="AQ1461" t="s">
        <v>105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97</v>
      </c>
      <c r="BC1461">
        <v>6</v>
      </c>
      <c r="BD1461" t="s">
        <v>106</v>
      </c>
      <c r="BE1461">
        <v>0</v>
      </c>
      <c r="BG1461" t="s">
        <v>107</v>
      </c>
      <c r="BH1461">
        <v>1965</v>
      </c>
      <c r="BI1461" t="s">
        <v>156</v>
      </c>
      <c r="BJ1461">
        <v>1</v>
      </c>
      <c r="BK1461">
        <v>276</v>
      </c>
      <c r="BL1461" t="s">
        <v>97</v>
      </c>
      <c r="BM1461" t="s">
        <v>97</v>
      </c>
      <c r="BN1461" t="s">
        <v>104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X1461">
        <v>0</v>
      </c>
      <c r="BY1461">
        <v>6</v>
      </c>
      <c r="BZ1461">
        <v>2008</v>
      </c>
      <c r="CA1461" t="s">
        <v>109</v>
      </c>
      <c r="CB1461" t="s">
        <v>110</v>
      </c>
      <c r="CC1461">
        <v>147500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FB9C-C34F-43B1-A09F-36544698B3CD}">
  <dimension ref="A1:B7"/>
  <sheetViews>
    <sheetView workbookViewId="0">
      <selection activeCell="A2" sqref="A2:B3"/>
    </sheetView>
  </sheetViews>
  <sheetFormatPr defaultRowHeight="14.4" x14ac:dyDescent="0.3"/>
  <cols>
    <col min="1" max="2" width="16.44140625" customWidth="1"/>
  </cols>
  <sheetData>
    <row r="1" spans="1:2" x14ac:dyDescent="0.3">
      <c r="A1" t="s">
        <v>271</v>
      </c>
      <c r="B1" t="s">
        <v>272</v>
      </c>
    </row>
    <row r="2" spans="1:2" x14ac:dyDescent="0.3">
      <c r="A2" t="s">
        <v>17</v>
      </c>
      <c r="B2">
        <f>CORREL(Data!R2:R1461, Data!CC2:CC1461)</f>
        <v>0.79098160058380473</v>
      </c>
    </row>
    <row r="3" spans="1:2" x14ac:dyDescent="0.3">
      <c r="A3" t="s">
        <v>46</v>
      </c>
      <c r="B3">
        <f>CORREL(Data!AU2:AU1461, Data!CC2:CC1461)</f>
        <v>0.70862447761265124</v>
      </c>
    </row>
    <row r="4" spans="1:2" x14ac:dyDescent="0.3">
      <c r="A4" t="s">
        <v>38</v>
      </c>
      <c r="B4">
        <f>CORREL(Data!AM2:AM1461, Data!CC2:CC1461)</f>
        <v>0.61358055155919444</v>
      </c>
    </row>
    <row r="5" spans="1:2" x14ac:dyDescent="0.3">
      <c r="A5" t="s">
        <v>61</v>
      </c>
      <c r="B5">
        <f>CORREL(Data!BJ2:BJ1461, Data!CC2:CC1461)</f>
        <v>0.64040919725834911</v>
      </c>
    </row>
    <row r="6" spans="1:2" x14ac:dyDescent="0.3">
      <c r="A6" t="s">
        <v>62</v>
      </c>
      <c r="B6">
        <f>CORREL(Data!BK2:BK1461, Data!CC2:CC1461)</f>
        <v>0.62343143891835995</v>
      </c>
    </row>
    <row r="7" spans="1:2" x14ac:dyDescent="0.3">
      <c r="A7" t="s">
        <v>19</v>
      </c>
      <c r="B7">
        <f>CORREL(Data!T2:T1461, Data!CC2:CC1461)</f>
        <v>0.5228973328794968</v>
      </c>
    </row>
  </sheetData>
  <conditionalFormatting sqref="B2:B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6389-FDFC-46E2-8F51-F926C2392FF0}">
  <dimension ref="A1:C11"/>
  <sheetViews>
    <sheetView workbookViewId="0">
      <selection activeCell="B18" sqref="B18"/>
    </sheetView>
  </sheetViews>
  <sheetFormatPr defaultRowHeight="14.4" x14ac:dyDescent="0.3"/>
  <sheetData>
    <row r="1" spans="1:3" x14ac:dyDescent="0.3">
      <c r="B1" t="s">
        <v>255</v>
      </c>
      <c r="C1" t="s">
        <v>256</v>
      </c>
    </row>
    <row r="2" spans="1:3" x14ac:dyDescent="0.3">
      <c r="A2">
        <v>1</v>
      </c>
      <c r="B2">
        <f>COUNTIF(Data!$R$2:$R$1461, A2)</f>
        <v>2</v>
      </c>
      <c r="C2">
        <f>AVERAGEIF(Data!$R$2:$R$1461, A2, Data!$CC$2:$CC$1461)</f>
        <v>50150</v>
      </c>
    </row>
    <row r="3" spans="1:3" x14ac:dyDescent="0.3">
      <c r="A3">
        <v>2</v>
      </c>
      <c r="B3">
        <f>COUNTIF(Data!$R$2:$R$1461, A3)</f>
        <v>3</v>
      </c>
      <c r="C3">
        <f>AVERAGEIF(Data!$R$2:$R$1461, A3, Data!$CC$2:$CC$1461)</f>
        <v>51770.333333333336</v>
      </c>
    </row>
    <row r="4" spans="1:3" x14ac:dyDescent="0.3">
      <c r="A4">
        <v>3</v>
      </c>
      <c r="B4">
        <f>COUNTIF(Data!$R$2:$R$1461, A4)</f>
        <v>20</v>
      </c>
      <c r="C4">
        <f>AVERAGEIF(Data!$R$2:$R$1461, A4, Data!$CC$2:$CC$1461)</f>
        <v>87473.75</v>
      </c>
    </row>
    <row r="5" spans="1:3" x14ac:dyDescent="0.3">
      <c r="A5">
        <v>4</v>
      </c>
      <c r="B5">
        <f>COUNTIF(Data!$R$2:$R$1461, A5)</f>
        <v>116</v>
      </c>
      <c r="C5">
        <f>AVERAGEIF(Data!$R$2:$R$1461, A5, Data!$CC$2:$CC$1461)</f>
        <v>108420.6551724138</v>
      </c>
    </row>
    <row r="6" spans="1:3" x14ac:dyDescent="0.3">
      <c r="A6">
        <v>5</v>
      </c>
      <c r="B6">
        <f>COUNTIF(Data!$R$2:$R$1461, A6)</f>
        <v>397</v>
      </c>
      <c r="C6">
        <f>AVERAGEIF(Data!$R$2:$R$1461, A6, Data!$CC$2:$CC$1461)</f>
        <v>133523.34760705288</v>
      </c>
    </row>
    <row r="7" spans="1:3" x14ac:dyDescent="0.3">
      <c r="A7">
        <v>6</v>
      </c>
      <c r="B7">
        <f>COUNTIF(Data!$R$2:$R$1461, A7)</f>
        <v>374</v>
      </c>
      <c r="C7">
        <f>AVERAGEIF(Data!$R$2:$R$1461, A7, Data!$CC$2:$CC$1461)</f>
        <v>161603.0347593583</v>
      </c>
    </row>
    <row r="8" spans="1:3" x14ac:dyDescent="0.3">
      <c r="A8">
        <v>7</v>
      </c>
      <c r="B8">
        <f>COUNTIF(Data!$R$2:$R$1461, A8)</f>
        <v>319</v>
      </c>
      <c r="C8">
        <f>AVERAGEIF(Data!$R$2:$R$1461, A8, Data!$CC$2:$CC$1461)</f>
        <v>207716.42319749217</v>
      </c>
    </row>
    <row r="9" spans="1:3" x14ac:dyDescent="0.3">
      <c r="A9">
        <v>8</v>
      </c>
      <c r="B9">
        <f>COUNTIF(Data!$R$2:$R$1461, A9)</f>
        <v>168</v>
      </c>
      <c r="C9">
        <f>AVERAGEIF(Data!$R$2:$R$1461, A9, Data!$CC$2:$CC$1461)</f>
        <v>274735.53571428574</v>
      </c>
    </row>
    <row r="10" spans="1:3" x14ac:dyDescent="0.3">
      <c r="A10">
        <v>9</v>
      </c>
      <c r="B10">
        <f>COUNTIF(Data!$R$2:$R$1461, A10)</f>
        <v>43</v>
      </c>
      <c r="C10">
        <f>AVERAGEIF(Data!$R$2:$R$1461, A10, Data!$CC$2:$CC$1461)</f>
        <v>367513.02325581393</v>
      </c>
    </row>
    <row r="11" spans="1:3" x14ac:dyDescent="0.3">
      <c r="A11">
        <v>10</v>
      </c>
      <c r="B11">
        <f>COUNTIF(Data!$R$2:$R$1461, A11)</f>
        <v>18</v>
      </c>
      <c r="C11">
        <f>AVERAGEIF(Data!$R$2:$R$1461, A11, Data!$CC$2:$CC$1461)</f>
        <v>438588.38888888888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1165-F524-4BD0-A959-F6CE220B755D}">
  <dimension ref="A1:C26"/>
  <sheetViews>
    <sheetView workbookViewId="0">
      <selection activeCell="F22" sqref="F22"/>
    </sheetView>
  </sheetViews>
  <sheetFormatPr defaultRowHeight="14.4" x14ac:dyDescent="0.3"/>
  <cols>
    <col min="1" max="1" width="14.5546875" customWidth="1"/>
    <col min="2" max="2" width="9.44140625" customWidth="1"/>
  </cols>
  <sheetData>
    <row r="1" spans="1:3" x14ac:dyDescent="0.3">
      <c r="A1" t="s">
        <v>12</v>
      </c>
      <c r="B1" t="s">
        <v>256</v>
      </c>
      <c r="C1" t="s">
        <v>255</v>
      </c>
    </row>
    <row r="2" spans="1:3" x14ac:dyDescent="0.3">
      <c r="A2" t="s">
        <v>128</v>
      </c>
      <c r="B2">
        <f>AVERAGEIF(Data!$M$2:$M$1461, A2, Data!$CC$2:$CC$1461)</f>
        <v>335295.31707317074</v>
      </c>
      <c r="C2">
        <f>COUNTIF(Data!$M$2:$M$1461, A2)</f>
        <v>41</v>
      </c>
    </row>
    <row r="3" spans="1:3" x14ac:dyDescent="0.3">
      <c r="A3" t="s">
        <v>153</v>
      </c>
      <c r="B3">
        <f>AVERAGEIF(Data!$M$2:$M$1461, A3, Data!$CC$2:$CC$1461)</f>
        <v>316270.62337662338</v>
      </c>
      <c r="C3">
        <f>COUNTIF(Data!$M$2:$M$1461, A3)</f>
        <v>77</v>
      </c>
    </row>
    <row r="4" spans="1:3" x14ac:dyDescent="0.3">
      <c r="A4" t="s">
        <v>199</v>
      </c>
      <c r="B4">
        <f>AVERAGEIF(Data!$M$2:$M$1461, A4, Data!$CC$2:$CC$1461)</f>
        <v>310499</v>
      </c>
      <c r="C4">
        <f>COUNTIF(Data!$M$2:$M$1461, A4)</f>
        <v>25</v>
      </c>
    </row>
    <row r="5" spans="1:3" x14ac:dyDescent="0.3">
      <c r="A5" t="s">
        <v>188</v>
      </c>
      <c r="B5">
        <f>AVERAGEIF(Data!$M$2:$M$1461, A5, Data!$CC$2:$CC$1461)</f>
        <v>242247.44736842104</v>
      </c>
      <c r="C5">
        <f>COUNTIF(Data!$M$2:$M$1461, A5)</f>
        <v>38</v>
      </c>
    </row>
    <row r="6" spans="1:3" x14ac:dyDescent="0.3">
      <c r="A6" t="s">
        <v>112</v>
      </c>
      <c r="B6">
        <f>AVERAGEIF(Data!$M$2:$M$1461, A6, Data!$CC$2:$CC$1461)</f>
        <v>238772.72727272726</v>
      </c>
      <c r="C6">
        <f>COUNTIF(Data!$M$2:$M$1461, A6)</f>
        <v>11</v>
      </c>
    </row>
    <row r="7" spans="1:3" x14ac:dyDescent="0.3">
      <c r="A7" t="s">
        <v>135</v>
      </c>
      <c r="B7">
        <f>AVERAGEIF(Data!$M$2:$M$1461, A7, Data!$CC$2:$CC$1461)</f>
        <v>225379.83720930232</v>
      </c>
      <c r="C7">
        <f>COUNTIF(Data!$M$2:$M$1461, A7)</f>
        <v>86</v>
      </c>
    </row>
    <row r="8" spans="1:3" x14ac:dyDescent="0.3">
      <c r="A8" t="s">
        <v>204</v>
      </c>
      <c r="B8">
        <f>AVERAGEIF(Data!$M$2:$M$1461, A8, Data!$CC$2:$CC$1461)</f>
        <v>212565.42857142858</v>
      </c>
      <c r="C8">
        <f>COUNTIF(Data!$M$2:$M$1461, A8)</f>
        <v>28</v>
      </c>
    </row>
    <row r="9" spans="1:3" x14ac:dyDescent="0.3">
      <c r="A9" t="s">
        <v>122</v>
      </c>
      <c r="B9">
        <f>AVERAGEIF(Data!$M$2:$M$1461, A9, Data!$CC$2:$CC$1461)</f>
        <v>210624.72549019608</v>
      </c>
      <c r="C9">
        <f>COUNTIF(Data!$M$2:$M$1461, A9)</f>
        <v>51</v>
      </c>
    </row>
    <row r="10" spans="1:3" x14ac:dyDescent="0.3">
      <c r="A10" t="s">
        <v>88</v>
      </c>
      <c r="B10">
        <f>AVERAGEIF(Data!$M$2:$M$1461, A10, Data!$CC$2:$CC$1461)</f>
        <v>197965.77333333335</v>
      </c>
      <c r="C10">
        <f>COUNTIF(Data!$M$2:$M$1461, A10)</f>
        <v>150</v>
      </c>
    </row>
    <row r="11" spans="1:3" x14ac:dyDescent="0.3">
      <c r="A11" t="s">
        <v>226</v>
      </c>
      <c r="B11">
        <f>AVERAGEIF(Data!$M$2:$M$1461, A11, Data!$CC$2:$CC$1461)</f>
        <v>194870.88235294117</v>
      </c>
      <c r="C11">
        <f>COUNTIF(Data!$M$2:$M$1461, A11)</f>
        <v>17</v>
      </c>
    </row>
    <row r="12" spans="1:3" x14ac:dyDescent="0.3">
      <c r="A12" t="s">
        <v>192</v>
      </c>
      <c r="B12">
        <f>AVERAGEIF(Data!$M$2:$M$1461, A12, Data!$CC$2:$CC$1461)</f>
        <v>192854.50632911394</v>
      </c>
      <c r="C12">
        <f>COUNTIF(Data!$M$2:$M$1461, A12)</f>
        <v>79</v>
      </c>
    </row>
    <row r="13" spans="1:3" x14ac:dyDescent="0.3">
      <c r="A13" t="s">
        <v>137</v>
      </c>
      <c r="B13">
        <f>AVERAGEIF(Data!$M$2:$M$1461, A13, Data!$CC$2:$CC$1461)</f>
        <v>189050.0684931507</v>
      </c>
      <c r="C13">
        <f>COUNTIF(Data!$M$2:$M$1461, A13)</f>
        <v>73</v>
      </c>
    </row>
    <row r="14" spans="1:3" x14ac:dyDescent="0.3">
      <c r="A14" t="s">
        <v>169</v>
      </c>
      <c r="B14">
        <f>AVERAGEIF(Data!$M$2:$M$1461, A14, Data!$CC$2:$CC$1461)</f>
        <v>186555.79661016949</v>
      </c>
      <c r="C14">
        <f>COUNTIF(Data!$M$2:$M$1461, A14)</f>
        <v>59</v>
      </c>
    </row>
    <row r="15" spans="1:3" x14ac:dyDescent="0.3">
      <c r="A15" t="s">
        <v>130</v>
      </c>
      <c r="B15">
        <f>AVERAGEIF(Data!$M$2:$M$1461, A15, Data!$CC$2:$CC$1461)</f>
        <v>156270.12244897959</v>
      </c>
      <c r="C15">
        <f>COUNTIF(Data!$M$2:$M$1461, A15)</f>
        <v>49</v>
      </c>
    </row>
    <row r="16" spans="1:3" x14ac:dyDescent="0.3">
      <c r="A16" t="s">
        <v>161</v>
      </c>
      <c r="B16" t="e">
        <f>AVERAGEIF(Data!$M$2:$M$1461, A16, Data!$CC$2:$CC$1461)</f>
        <v>#DIV/0!</v>
      </c>
      <c r="C16">
        <f>COUNTIF(Data!$M$2:$M$1461, A16)</f>
        <v>0</v>
      </c>
    </row>
    <row r="17" spans="1:3" x14ac:dyDescent="0.3">
      <c r="A17" t="s">
        <v>215</v>
      </c>
      <c r="B17">
        <f>AVERAGEIF(Data!$M$2:$M$1461, A17, Data!$CC$2:$CC$1461)</f>
        <v>142694.44444444444</v>
      </c>
      <c r="C17">
        <f>COUNTIF(Data!$M$2:$M$1461, A17)</f>
        <v>9</v>
      </c>
    </row>
    <row r="18" spans="1:3" x14ac:dyDescent="0.3">
      <c r="A18" t="s">
        <v>231</v>
      </c>
      <c r="B18">
        <f>AVERAGEIF(Data!$M$2:$M$1461, A18, Data!$CC$2:$CC$1461)</f>
        <v>142591.35999999999</v>
      </c>
      <c r="C18">
        <f>COUNTIF(Data!$M$2:$M$1461, A18)</f>
        <v>25</v>
      </c>
    </row>
    <row r="19" spans="1:3" x14ac:dyDescent="0.3">
      <c r="A19" t="s">
        <v>246</v>
      </c>
      <c r="B19">
        <f>AVERAGEIF(Data!$M$2:$M$1461, A19, Data!$CC$2:$CC$1461)</f>
        <v>137500</v>
      </c>
      <c r="C19">
        <f>COUNTIF(Data!$M$2:$M$1461, A19)</f>
        <v>2</v>
      </c>
    </row>
    <row r="20" spans="1:3" x14ac:dyDescent="0.3">
      <c r="A20" t="s">
        <v>150</v>
      </c>
      <c r="B20">
        <f>AVERAGEIF(Data!$M$2:$M$1461, A20, Data!$CC$2:$CC$1461)</f>
        <v>136793.13513513515</v>
      </c>
      <c r="C20">
        <f>COUNTIF(Data!$M$2:$M$1461, A20)</f>
        <v>74</v>
      </c>
    </row>
    <row r="21" spans="1:3" x14ac:dyDescent="0.3">
      <c r="A21" t="s">
        <v>142</v>
      </c>
      <c r="B21">
        <f>AVERAGEIF(Data!$M$2:$M$1461, A21, Data!$CC$2:$CC$1461)</f>
        <v>128225.30088495575</v>
      </c>
      <c r="C21">
        <f>COUNTIF(Data!$M$2:$M$1461, A21)</f>
        <v>113</v>
      </c>
    </row>
    <row r="22" spans="1:3" x14ac:dyDescent="0.3">
      <c r="A22" t="s">
        <v>184</v>
      </c>
      <c r="B22">
        <f>AVERAGEIF(Data!$M$2:$M$1461, A22, Data!$CC$2:$CC$1461)</f>
        <v>128219.7</v>
      </c>
      <c r="C22">
        <f>COUNTIF(Data!$M$2:$M$1461, A22)</f>
        <v>100</v>
      </c>
    </row>
    <row r="23" spans="1:3" x14ac:dyDescent="0.3">
      <c r="A23" t="s">
        <v>147</v>
      </c>
      <c r="B23">
        <f>AVERAGEIF(Data!$M$2:$M$1461, A23, Data!$CC$2:$CC$1461)</f>
        <v>124834.05172413793</v>
      </c>
      <c r="C23">
        <f>COUNTIF(Data!$M$2:$M$1461, A23)</f>
        <v>58</v>
      </c>
    </row>
    <row r="24" spans="1:3" x14ac:dyDescent="0.3">
      <c r="A24" t="s">
        <v>227</v>
      </c>
      <c r="B24">
        <f>AVERAGEIF(Data!$M$2:$M$1461, A24, Data!$CC$2:$CC$1461)</f>
        <v>104493.75</v>
      </c>
      <c r="C24">
        <f>COUNTIF(Data!$M$2:$M$1461, A24)</f>
        <v>16</v>
      </c>
    </row>
    <row r="25" spans="1:3" x14ac:dyDescent="0.3">
      <c r="A25" t="s">
        <v>175</v>
      </c>
      <c r="B25">
        <f>AVERAGEIF(Data!$M$2:$M$1461, A25, Data!$CC$2:$CC$1461)</f>
        <v>100123.78378378379</v>
      </c>
      <c r="C25">
        <f>COUNTIF(Data!$M$2:$M$1461, A25)</f>
        <v>37</v>
      </c>
    </row>
    <row r="26" spans="1:3" x14ac:dyDescent="0.3">
      <c r="A26" t="s">
        <v>177</v>
      </c>
      <c r="B26">
        <f>AVERAGEIF(Data!$M$2:$M$1461, A26, Data!$CC$2:$CC$1461)</f>
        <v>98576.470588235301</v>
      </c>
      <c r="C26">
        <f>COUNTIF(Data!$M$2:$M$1461, A26)</f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E164-789C-41EF-9F82-2ADDC2F06B48}">
  <dimension ref="A1:C1461"/>
  <sheetViews>
    <sheetView workbookViewId="0">
      <selection activeCell="A12" sqref="A12"/>
    </sheetView>
  </sheetViews>
  <sheetFormatPr defaultRowHeight="14.4" x14ac:dyDescent="0.3"/>
  <sheetData>
    <row r="1" spans="1:3" x14ac:dyDescent="0.3">
      <c r="A1">
        <f>CORREL(Data!AU2:AU1461, Data!CC2:CC1461)</f>
        <v>0.70862447761265124</v>
      </c>
      <c r="B1" t="s">
        <v>46</v>
      </c>
      <c r="C1" t="s">
        <v>80</v>
      </c>
    </row>
    <row r="2" spans="1:3" x14ac:dyDescent="0.3">
      <c r="A2">
        <f>CORREL(Data!AR2:AR1461, Data!CC2:CC1461)</f>
        <v>0.60585218469191671</v>
      </c>
      <c r="B2">
        <v>1710</v>
      </c>
      <c r="C2">
        <v>208500</v>
      </c>
    </row>
    <row r="3" spans="1:3" x14ac:dyDescent="0.3">
      <c r="A3">
        <f>CORREL(Data!AS2:AS1461, Data!CC2:CC1461)</f>
        <v>0.31933380283206619</v>
      </c>
      <c r="B3">
        <v>1262</v>
      </c>
      <c r="C3">
        <v>181500</v>
      </c>
    </row>
    <row r="4" spans="1:3" x14ac:dyDescent="0.3">
      <c r="A4">
        <f>CORREL(Data!AM2:AM1461, Data!CC2:CC1461)</f>
        <v>0.61358055155919444</v>
      </c>
      <c r="B4">
        <v>1786</v>
      </c>
      <c r="C4">
        <v>223500</v>
      </c>
    </row>
    <row r="5" spans="1:3" x14ac:dyDescent="0.3">
      <c r="B5">
        <v>1717</v>
      </c>
      <c r="C5">
        <v>140000</v>
      </c>
    </row>
    <row r="6" spans="1:3" x14ac:dyDescent="0.3">
      <c r="B6">
        <v>2198</v>
      </c>
      <c r="C6">
        <v>250000</v>
      </c>
    </row>
    <row r="7" spans="1:3" x14ac:dyDescent="0.3">
      <c r="B7">
        <v>1362</v>
      </c>
      <c r="C7">
        <v>143000</v>
      </c>
    </row>
    <row r="8" spans="1:3" x14ac:dyDescent="0.3">
      <c r="B8">
        <v>1694</v>
      </c>
      <c r="C8">
        <v>307000</v>
      </c>
    </row>
    <row r="9" spans="1:3" x14ac:dyDescent="0.3">
      <c r="B9">
        <v>2090</v>
      </c>
      <c r="C9">
        <v>200000</v>
      </c>
    </row>
    <row r="10" spans="1:3" x14ac:dyDescent="0.3">
      <c r="B10">
        <v>1774</v>
      </c>
      <c r="C10">
        <v>129900</v>
      </c>
    </row>
    <row r="11" spans="1:3" x14ac:dyDescent="0.3">
      <c r="B11">
        <v>1077</v>
      </c>
      <c r="C11">
        <v>118000</v>
      </c>
    </row>
    <row r="12" spans="1:3" x14ac:dyDescent="0.3">
      <c r="B12">
        <v>1040</v>
      </c>
      <c r="C12">
        <v>129500</v>
      </c>
    </row>
    <row r="13" spans="1:3" x14ac:dyDescent="0.3">
      <c r="B13">
        <v>2324</v>
      </c>
      <c r="C13">
        <v>345000</v>
      </c>
    </row>
    <row r="14" spans="1:3" x14ac:dyDescent="0.3">
      <c r="B14">
        <v>912</v>
      </c>
      <c r="C14">
        <v>144000</v>
      </c>
    </row>
    <row r="15" spans="1:3" x14ac:dyDescent="0.3">
      <c r="B15">
        <v>1494</v>
      </c>
      <c r="C15">
        <v>279500</v>
      </c>
    </row>
    <row r="16" spans="1:3" x14ac:dyDescent="0.3">
      <c r="B16">
        <v>1253</v>
      </c>
      <c r="C16">
        <v>157000</v>
      </c>
    </row>
    <row r="17" spans="2:3" x14ac:dyDescent="0.3">
      <c r="B17">
        <v>854</v>
      </c>
      <c r="C17">
        <v>132000</v>
      </c>
    </row>
    <row r="18" spans="2:3" x14ac:dyDescent="0.3">
      <c r="B18">
        <v>1004</v>
      </c>
      <c r="C18">
        <v>149000</v>
      </c>
    </row>
    <row r="19" spans="2:3" x14ac:dyDescent="0.3">
      <c r="B19">
        <v>1296</v>
      </c>
      <c r="C19">
        <v>90000</v>
      </c>
    </row>
    <row r="20" spans="2:3" x14ac:dyDescent="0.3">
      <c r="B20">
        <v>1114</v>
      </c>
      <c r="C20">
        <v>159000</v>
      </c>
    </row>
    <row r="21" spans="2:3" x14ac:dyDescent="0.3">
      <c r="B21">
        <v>1339</v>
      </c>
      <c r="C21">
        <v>139000</v>
      </c>
    </row>
    <row r="22" spans="2:3" x14ac:dyDescent="0.3">
      <c r="B22">
        <v>2376</v>
      </c>
      <c r="C22">
        <v>325300</v>
      </c>
    </row>
    <row r="23" spans="2:3" x14ac:dyDescent="0.3">
      <c r="B23">
        <v>1108</v>
      </c>
      <c r="C23">
        <v>139400</v>
      </c>
    </row>
    <row r="24" spans="2:3" x14ac:dyDescent="0.3">
      <c r="B24">
        <v>1795</v>
      </c>
      <c r="C24">
        <v>230000</v>
      </c>
    </row>
    <row r="25" spans="2:3" x14ac:dyDescent="0.3">
      <c r="B25">
        <v>1060</v>
      </c>
      <c r="C25">
        <v>129900</v>
      </c>
    </row>
    <row r="26" spans="2:3" x14ac:dyDescent="0.3">
      <c r="B26">
        <v>1060</v>
      </c>
      <c r="C26">
        <v>154000</v>
      </c>
    </row>
    <row r="27" spans="2:3" x14ac:dyDescent="0.3">
      <c r="B27">
        <v>1600</v>
      </c>
      <c r="C27">
        <v>256300</v>
      </c>
    </row>
    <row r="28" spans="2:3" x14ac:dyDescent="0.3">
      <c r="B28">
        <v>900</v>
      </c>
      <c r="C28">
        <v>134800</v>
      </c>
    </row>
    <row r="29" spans="2:3" x14ac:dyDescent="0.3">
      <c r="B29">
        <v>1704</v>
      </c>
      <c r="C29">
        <v>306000</v>
      </c>
    </row>
    <row r="30" spans="2:3" x14ac:dyDescent="0.3">
      <c r="B30">
        <v>1600</v>
      </c>
      <c r="C30">
        <v>207500</v>
      </c>
    </row>
    <row r="31" spans="2:3" x14ac:dyDescent="0.3">
      <c r="B31">
        <v>520</v>
      </c>
      <c r="C31">
        <v>68500</v>
      </c>
    </row>
    <row r="32" spans="2:3" x14ac:dyDescent="0.3">
      <c r="B32">
        <v>1317</v>
      </c>
      <c r="C32">
        <v>40000</v>
      </c>
    </row>
    <row r="33" spans="2:3" x14ac:dyDescent="0.3">
      <c r="B33">
        <v>1228</v>
      </c>
      <c r="C33">
        <v>149350</v>
      </c>
    </row>
    <row r="34" spans="2:3" x14ac:dyDescent="0.3">
      <c r="B34">
        <v>1234</v>
      </c>
      <c r="C34">
        <v>179900</v>
      </c>
    </row>
    <row r="35" spans="2:3" x14ac:dyDescent="0.3">
      <c r="B35">
        <v>1700</v>
      </c>
      <c r="C35">
        <v>165500</v>
      </c>
    </row>
    <row r="36" spans="2:3" x14ac:dyDescent="0.3">
      <c r="B36">
        <v>1561</v>
      </c>
      <c r="C36">
        <v>277500</v>
      </c>
    </row>
    <row r="37" spans="2:3" x14ac:dyDescent="0.3">
      <c r="B37">
        <v>2452</v>
      </c>
      <c r="C37">
        <v>309000</v>
      </c>
    </row>
    <row r="38" spans="2:3" x14ac:dyDescent="0.3">
      <c r="B38">
        <v>1097</v>
      </c>
      <c r="C38">
        <v>145000</v>
      </c>
    </row>
    <row r="39" spans="2:3" x14ac:dyDescent="0.3">
      <c r="B39">
        <v>1297</v>
      </c>
      <c r="C39">
        <v>153000</v>
      </c>
    </row>
    <row r="40" spans="2:3" x14ac:dyDescent="0.3">
      <c r="B40">
        <v>1057</v>
      </c>
      <c r="C40">
        <v>109000</v>
      </c>
    </row>
    <row r="41" spans="2:3" x14ac:dyDescent="0.3">
      <c r="B41">
        <v>1152</v>
      </c>
      <c r="C41">
        <v>82000</v>
      </c>
    </row>
    <row r="42" spans="2:3" x14ac:dyDescent="0.3">
      <c r="B42">
        <v>1324</v>
      </c>
      <c r="C42">
        <v>160000</v>
      </c>
    </row>
    <row r="43" spans="2:3" x14ac:dyDescent="0.3">
      <c r="B43">
        <v>1328</v>
      </c>
      <c r="C43">
        <v>170000</v>
      </c>
    </row>
    <row r="44" spans="2:3" x14ac:dyDescent="0.3">
      <c r="B44">
        <v>884</v>
      </c>
      <c r="C44">
        <v>144000</v>
      </c>
    </row>
    <row r="45" spans="2:3" x14ac:dyDescent="0.3">
      <c r="B45">
        <v>938</v>
      </c>
      <c r="C45">
        <v>130250</v>
      </c>
    </row>
    <row r="46" spans="2:3" x14ac:dyDescent="0.3">
      <c r="B46">
        <v>1150</v>
      </c>
      <c r="C46">
        <v>141000</v>
      </c>
    </row>
    <row r="47" spans="2:3" x14ac:dyDescent="0.3">
      <c r="B47">
        <v>1752</v>
      </c>
      <c r="C47">
        <v>319900</v>
      </c>
    </row>
    <row r="48" spans="2:3" x14ac:dyDescent="0.3">
      <c r="B48">
        <v>2149</v>
      </c>
      <c r="C48">
        <v>239686</v>
      </c>
    </row>
    <row r="49" spans="2:3" x14ac:dyDescent="0.3">
      <c r="B49">
        <v>1656</v>
      </c>
      <c r="C49">
        <v>249700</v>
      </c>
    </row>
    <row r="50" spans="2:3" x14ac:dyDescent="0.3">
      <c r="B50">
        <v>1452</v>
      </c>
      <c r="C50">
        <v>113000</v>
      </c>
    </row>
    <row r="51" spans="2:3" x14ac:dyDescent="0.3">
      <c r="B51">
        <v>955</v>
      </c>
      <c r="C51">
        <v>127000</v>
      </c>
    </row>
    <row r="52" spans="2:3" x14ac:dyDescent="0.3">
      <c r="B52">
        <v>1470</v>
      </c>
      <c r="C52">
        <v>177000</v>
      </c>
    </row>
    <row r="53" spans="2:3" x14ac:dyDescent="0.3">
      <c r="B53">
        <v>1176</v>
      </c>
      <c r="C53">
        <v>114500</v>
      </c>
    </row>
    <row r="54" spans="2:3" x14ac:dyDescent="0.3">
      <c r="B54">
        <v>816</v>
      </c>
      <c r="C54">
        <v>110000</v>
      </c>
    </row>
    <row r="55" spans="2:3" x14ac:dyDescent="0.3">
      <c r="B55">
        <v>1842</v>
      </c>
      <c r="C55">
        <v>385000</v>
      </c>
    </row>
    <row r="56" spans="2:3" x14ac:dyDescent="0.3">
      <c r="B56">
        <v>1360</v>
      </c>
      <c r="C56">
        <v>130000</v>
      </c>
    </row>
    <row r="57" spans="2:3" x14ac:dyDescent="0.3">
      <c r="B57">
        <v>1425</v>
      </c>
      <c r="C57">
        <v>180500</v>
      </c>
    </row>
    <row r="58" spans="2:3" x14ac:dyDescent="0.3">
      <c r="B58">
        <v>1739</v>
      </c>
      <c r="C58">
        <v>172500</v>
      </c>
    </row>
    <row r="59" spans="2:3" x14ac:dyDescent="0.3">
      <c r="B59">
        <v>1720</v>
      </c>
      <c r="C59">
        <v>196500</v>
      </c>
    </row>
    <row r="60" spans="2:3" x14ac:dyDescent="0.3">
      <c r="B60">
        <v>2945</v>
      </c>
      <c r="C60">
        <v>438780</v>
      </c>
    </row>
    <row r="61" spans="2:3" x14ac:dyDescent="0.3">
      <c r="B61">
        <v>780</v>
      </c>
      <c r="C61">
        <v>124900</v>
      </c>
    </row>
    <row r="62" spans="2:3" x14ac:dyDescent="0.3">
      <c r="B62">
        <v>1158</v>
      </c>
      <c r="C62">
        <v>158000</v>
      </c>
    </row>
    <row r="63" spans="2:3" x14ac:dyDescent="0.3">
      <c r="B63">
        <v>1111</v>
      </c>
      <c r="C63">
        <v>101000</v>
      </c>
    </row>
    <row r="64" spans="2:3" x14ac:dyDescent="0.3">
      <c r="B64">
        <v>1370</v>
      </c>
      <c r="C64">
        <v>202500</v>
      </c>
    </row>
    <row r="65" spans="2:3" x14ac:dyDescent="0.3">
      <c r="B65">
        <v>1710</v>
      </c>
      <c r="C65">
        <v>140000</v>
      </c>
    </row>
    <row r="66" spans="2:3" x14ac:dyDescent="0.3">
      <c r="B66">
        <v>2034</v>
      </c>
      <c r="C66">
        <v>219500</v>
      </c>
    </row>
    <row r="67" spans="2:3" x14ac:dyDescent="0.3">
      <c r="B67">
        <v>2473</v>
      </c>
      <c r="C67">
        <v>317000</v>
      </c>
    </row>
    <row r="68" spans="2:3" x14ac:dyDescent="0.3">
      <c r="B68">
        <v>2207</v>
      </c>
      <c r="C68">
        <v>180000</v>
      </c>
    </row>
    <row r="69" spans="2:3" x14ac:dyDescent="0.3">
      <c r="B69">
        <v>1479</v>
      </c>
      <c r="C69">
        <v>226000</v>
      </c>
    </row>
    <row r="70" spans="2:3" x14ac:dyDescent="0.3">
      <c r="B70">
        <v>747</v>
      </c>
      <c r="C70">
        <v>80000</v>
      </c>
    </row>
    <row r="71" spans="2:3" x14ac:dyDescent="0.3">
      <c r="B71">
        <v>2287</v>
      </c>
      <c r="C71">
        <v>225000</v>
      </c>
    </row>
    <row r="72" spans="2:3" x14ac:dyDescent="0.3">
      <c r="B72">
        <v>2223</v>
      </c>
      <c r="C72">
        <v>244000</v>
      </c>
    </row>
    <row r="73" spans="2:3" x14ac:dyDescent="0.3">
      <c r="B73">
        <v>845</v>
      </c>
      <c r="C73">
        <v>129500</v>
      </c>
    </row>
    <row r="74" spans="2:3" x14ac:dyDescent="0.3">
      <c r="B74">
        <v>1718</v>
      </c>
      <c r="C74">
        <v>185000</v>
      </c>
    </row>
    <row r="75" spans="2:3" x14ac:dyDescent="0.3">
      <c r="B75">
        <v>1086</v>
      </c>
      <c r="C75">
        <v>144900</v>
      </c>
    </row>
    <row r="76" spans="2:3" x14ac:dyDescent="0.3">
      <c r="B76">
        <v>1605</v>
      </c>
      <c r="C76">
        <v>107400</v>
      </c>
    </row>
    <row r="77" spans="2:3" x14ac:dyDescent="0.3">
      <c r="B77">
        <v>988</v>
      </c>
      <c r="C77">
        <v>91000</v>
      </c>
    </row>
    <row r="78" spans="2:3" x14ac:dyDescent="0.3">
      <c r="B78">
        <v>952</v>
      </c>
      <c r="C78">
        <v>135750</v>
      </c>
    </row>
    <row r="79" spans="2:3" x14ac:dyDescent="0.3">
      <c r="B79">
        <v>1285</v>
      </c>
      <c r="C79">
        <v>127000</v>
      </c>
    </row>
    <row r="80" spans="2:3" x14ac:dyDescent="0.3">
      <c r="B80">
        <v>1768</v>
      </c>
      <c r="C80">
        <v>136500</v>
      </c>
    </row>
    <row r="81" spans="2:3" x14ac:dyDescent="0.3">
      <c r="B81">
        <v>1230</v>
      </c>
      <c r="C81">
        <v>110000</v>
      </c>
    </row>
    <row r="82" spans="2:3" x14ac:dyDescent="0.3">
      <c r="B82">
        <v>2142</v>
      </c>
      <c r="C82">
        <v>193500</v>
      </c>
    </row>
    <row r="83" spans="2:3" x14ac:dyDescent="0.3">
      <c r="B83">
        <v>1337</v>
      </c>
      <c r="C83">
        <v>153500</v>
      </c>
    </row>
    <row r="84" spans="2:3" x14ac:dyDescent="0.3">
      <c r="B84">
        <v>1563</v>
      </c>
      <c r="C84">
        <v>245000</v>
      </c>
    </row>
    <row r="85" spans="2:3" x14ac:dyDescent="0.3">
      <c r="B85">
        <v>1065</v>
      </c>
      <c r="C85">
        <v>126500</v>
      </c>
    </row>
    <row r="86" spans="2:3" x14ac:dyDescent="0.3">
      <c r="B86">
        <v>1474</v>
      </c>
      <c r="C86">
        <v>168500</v>
      </c>
    </row>
    <row r="87" spans="2:3" x14ac:dyDescent="0.3">
      <c r="B87">
        <v>2417</v>
      </c>
      <c r="C87">
        <v>260000</v>
      </c>
    </row>
    <row r="88" spans="2:3" x14ac:dyDescent="0.3">
      <c r="B88">
        <v>1560</v>
      </c>
      <c r="C88">
        <v>174000</v>
      </c>
    </row>
    <row r="89" spans="2:3" x14ac:dyDescent="0.3">
      <c r="B89">
        <v>1224</v>
      </c>
      <c r="C89">
        <v>164500</v>
      </c>
    </row>
    <row r="90" spans="2:3" x14ac:dyDescent="0.3">
      <c r="B90">
        <v>1526</v>
      </c>
      <c r="C90">
        <v>85000</v>
      </c>
    </row>
    <row r="91" spans="2:3" x14ac:dyDescent="0.3">
      <c r="B91">
        <v>990</v>
      </c>
      <c r="C91">
        <v>123600</v>
      </c>
    </row>
    <row r="92" spans="2:3" x14ac:dyDescent="0.3">
      <c r="B92">
        <v>1040</v>
      </c>
      <c r="C92">
        <v>109900</v>
      </c>
    </row>
    <row r="93" spans="2:3" x14ac:dyDescent="0.3">
      <c r="B93">
        <v>1235</v>
      </c>
      <c r="C93">
        <v>98600</v>
      </c>
    </row>
    <row r="94" spans="2:3" x14ac:dyDescent="0.3">
      <c r="B94">
        <v>964</v>
      </c>
      <c r="C94">
        <v>163500</v>
      </c>
    </row>
    <row r="95" spans="2:3" x14ac:dyDescent="0.3">
      <c r="B95">
        <v>2291</v>
      </c>
      <c r="C95">
        <v>133900</v>
      </c>
    </row>
    <row r="96" spans="2:3" x14ac:dyDescent="0.3">
      <c r="B96">
        <v>1786</v>
      </c>
      <c r="C96">
        <v>204750</v>
      </c>
    </row>
    <row r="97" spans="2:3" x14ac:dyDescent="0.3">
      <c r="B97">
        <v>1470</v>
      </c>
      <c r="C97">
        <v>185000</v>
      </c>
    </row>
    <row r="98" spans="2:3" x14ac:dyDescent="0.3">
      <c r="B98">
        <v>1588</v>
      </c>
      <c r="C98">
        <v>214000</v>
      </c>
    </row>
    <row r="99" spans="2:3" x14ac:dyDescent="0.3">
      <c r="B99">
        <v>960</v>
      </c>
      <c r="C99">
        <v>94750</v>
      </c>
    </row>
    <row r="100" spans="2:3" x14ac:dyDescent="0.3">
      <c r="B100">
        <v>835</v>
      </c>
      <c r="C100">
        <v>83000</v>
      </c>
    </row>
    <row r="101" spans="2:3" x14ac:dyDescent="0.3">
      <c r="B101">
        <v>1225</v>
      </c>
      <c r="C101">
        <v>128950</v>
      </c>
    </row>
    <row r="102" spans="2:3" x14ac:dyDescent="0.3">
      <c r="B102">
        <v>1610</v>
      </c>
      <c r="C102">
        <v>205000</v>
      </c>
    </row>
    <row r="103" spans="2:3" x14ac:dyDescent="0.3">
      <c r="B103">
        <v>1732</v>
      </c>
      <c r="C103">
        <v>178000</v>
      </c>
    </row>
    <row r="104" spans="2:3" x14ac:dyDescent="0.3">
      <c r="B104">
        <v>1535</v>
      </c>
      <c r="C104">
        <v>118964</v>
      </c>
    </row>
    <row r="105" spans="2:3" x14ac:dyDescent="0.3">
      <c r="B105">
        <v>1226</v>
      </c>
      <c r="C105">
        <v>198900</v>
      </c>
    </row>
    <row r="106" spans="2:3" x14ac:dyDescent="0.3">
      <c r="B106">
        <v>1818</v>
      </c>
      <c r="C106">
        <v>169500</v>
      </c>
    </row>
    <row r="107" spans="2:3" x14ac:dyDescent="0.3">
      <c r="B107">
        <v>1992</v>
      </c>
      <c r="C107">
        <v>250000</v>
      </c>
    </row>
    <row r="108" spans="2:3" x14ac:dyDescent="0.3">
      <c r="B108">
        <v>1047</v>
      </c>
      <c r="C108">
        <v>100000</v>
      </c>
    </row>
    <row r="109" spans="2:3" x14ac:dyDescent="0.3">
      <c r="B109">
        <v>789</v>
      </c>
      <c r="C109">
        <v>115000</v>
      </c>
    </row>
    <row r="110" spans="2:3" x14ac:dyDescent="0.3">
      <c r="B110">
        <v>1517</v>
      </c>
      <c r="C110">
        <v>115000</v>
      </c>
    </row>
    <row r="111" spans="2:3" x14ac:dyDescent="0.3">
      <c r="B111">
        <v>1844</v>
      </c>
      <c r="C111">
        <v>190000</v>
      </c>
    </row>
    <row r="112" spans="2:3" x14ac:dyDescent="0.3">
      <c r="B112">
        <v>1855</v>
      </c>
      <c r="C112">
        <v>136900</v>
      </c>
    </row>
    <row r="113" spans="2:3" x14ac:dyDescent="0.3">
      <c r="B113">
        <v>1430</v>
      </c>
      <c r="C113">
        <v>180000</v>
      </c>
    </row>
    <row r="114" spans="2:3" x14ac:dyDescent="0.3">
      <c r="B114">
        <v>2696</v>
      </c>
      <c r="C114">
        <v>383970</v>
      </c>
    </row>
    <row r="115" spans="2:3" x14ac:dyDescent="0.3">
      <c r="B115">
        <v>2259</v>
      </c>
      <c r="C115">
        <v>217000</v>
      </c>
    </row>
    <row r="116" spans="2:3" x14ac:dyDescent="0.3">
      <c r="B116">
        <v>2320</v>
      </c>
      <c r="C116">
        <v>259500</v>
      </c>
    </row>
    <row r="117" spans="2:3" x14ac:dyDescent="0.3">
      <c r="B117">
        <v>1458</v>
      </c>
      <c r="C117">
        <v>176000</v>
      </c>
    </row>
    <row r="118" spans="2:3" x14ac:dyDescent="0.3">
      <c r="B118">
        <v>1092</v>
      </c>
      <c r="C118">
        <v>139000</v>
      </c>
    </row>
    <row r="119" spans="2:3" x14ac:dyDescent="0.3">
      <c r="B119">
        <v>1125</v>
      </c>
      <c r="C119">
        <v>155000</v>
      </c>
    </row>
    <row r="120" spans="2:3" x14ac:dyDescent="0.3">
      <c r="B120">
        <v>3222</v>
      </c>
      <c r="C120">
        <v>320000</v>
      </c>
    </row>
    <row r="121" spans="2:3" x14ac:dyDescent="0.3">
      <c r="B121">
        <v>1456</v>
      </c>
      <c r="C121">
        <v>163990</v>
      </c>
    </row>
    <row r="122" spans="2:3" x14ac:dyDescent="0.3">
      <c r="B122">
        <v>988</v>
      </c>
      <c r="C122">
        <v>180000</v>
      </c>
    </row>
    <row r="123" spans="2:3" x14ac:dyDescent="0.3">
      <c r="B123">
        <v>1123</v>
      </c>
      <c r="C123">
        <v>100000</v>
      </c>
    </row>
    <row r="124" spans="2:3" x14ac:dyDescent="0.3">
      <c r="B124">
        <v>1080</v>
      </c>
      <c r="C124">
        <v>136000</v>
      </c>
    </row>
    <row r="125" spans="2:3" x14ac:dyDescent="0.3">
      <c r="B125">
        <v>1199</v>
      </c>
      <c r="C125">
        <v>153900</v>
      </c>
    </row>
    <row r="126" spans="2:3" x14ac:dyDescent="0.3">
      <c r="B126">
        <v>1586</v>
      </c>
      <c r="C126">
        <v>181000</v>
      </c>
    </row>
    <row r="127" spans="2:3" x14ac:dyDescent="0.3">
      <c r="B127">
        <v>754</v>
      </c>
      <c r="C127">
        <v>84500</v>
      </c>
    </row>
    <row r="128" spans="2:3" x14ac:dyDescent="0.3">
      <c r="B128">
        <v>958</v>
      </c>
      <c r="C128">
        <v>128000</v>
      </c>
    </row>
    <row r="129" spans="2:3" x14ac:dyDescent="0.3">
      <c r="B129">
        <v>840</v>
      </c>
      <c r="C129">
        <v>87000</v>
      </c>
    </row>
    <row r="130" spans="2:3" x14ac:dyDescent="0.3">
      <c r="B130">
        <v>1348</v>
      </c>
      <c r="C130">
        <v>155000</v>
      </c>
    </row>
    <row r="131" spans="2:3" x14ac:dyDescent="0.3">
      <c r="B131">
        <v>1053</v>
      </c>
      <c r="C131">
        <v>150000</v>
      </c>
    </row>
    <row r="132" spans="2:3" x14ac:dyDescent="0.3">
      <c r="B132">
        <v>2157</v>
      </c>
      <c r="C132">
        <v>226000</v>
      </c>
    </row>
    <row r="133" spans="2:3" x14ac:dyDescent="0.3">
      <c r="B133">
        <v>2054</v>
      </c>
      <c r="C133">
        <v>244000</v>
      </c>
    </row>
    <row r="134" spans="2:3" x14ac:dyDescent="0.3">
      <c r="B134">
        <v>1327</v>
      </c>
      <c r="C134">
        <v>150750</v>
      </c>
    </row>
    <row r="135" spans="2:3" x14ac:dyDescent="0.3">
      <c r="B135">
        <v>1296</v>
      </c>
      <c r="C135">
        <v>220000</v>
      </c>
    </row>
    <row r="136" spans="2:3" x14ac:dyDescent="0.3">
      <c r="B136">
        <v>1721</v>
      </c>
      <c r="C136">
        <v>180000</v>
      </c>
    </row>
    <row r="137" spans="2:3" x14ac:dyDescent="0.3">
      <c r="B137">
        <v>1682</v>
      </c>
      <c r="C137">
        <v>174000</v>
      </c>
    </row>
    <row r="138" spans="2:3" x14ac:dyDescent="0.3">
      <c r="B138">
        <v>1214</v>
      </c>
      <c r="C138">
        <v>143000</v>
      </c>
    </row>
    <row r="139" spans="2:3" x14ac:dyDescent="0.3">
      <c r="B139">
        <v>1959</v>
      </c>
      <c r="C139">
        <v>171000</v>
      </c>
    </row>
    <row r="140" spans="2:3" x14ac:dyDescent="0.3">
      <c r="B140">
        <v>1852</v>
      </c>
      <c r="C140">
        <v>230000</v>
      </c>
    </row>
    <row r="141" spans="2:3" x14ac:dyDescent="0.3">
      <c r="B141">
        <v>1764</v>
      </c>
      <c r="C141">
        <v>231500</v>
      </c>
    </row>
    <row r="142" spans="2:3" x14ac:dyDescent="0.3">
      <c r="B142">
        <v>864</v>
      </c>
      <c r="C142">
        <v>115000</v>
      </c>
    </row>
    <row r="143" spans="2:3" x14ac:dyDescent="0.3">
      <c r="B143">
        <v>1734</v>
      </c>
      <c r="C143">
        <v>260000</v>
      </c>
    </row>
    <row r="144" spans="2:3" x14ac:dyDescent="0.3">
      <c r="B144">
        <v>1385</v>
      </c>
      <c r="C144">
        <v>166000</v>
      </c>
    </row>
    <row r="145" spans="2:3" x14ac:dyDescent="0.3">
      <c r="B145">
        <v>1501</v>
      </c>
      <c r="C145">
        <v>204000</v>
      </c>
    </row>
    <row r="146" spans="2:3" x14ac:dyDescent="0.3">
      <c r="B146">
        <v>1728</v>
      </c>
      <c r="C146">
        <v>125000</v>
      </c>
    </row>
    <row r="147" spans="2:3" x14ac:dyDescent="0.3">
      <c r="B147">
        <v>1709</v>
      </c>
      <c r="C147">
        <v>130000</v>
      </c>
    </row>
    <row r="148" spans="2:3" x14ac:dyDescent="0.3">
      <c r="B148">
        <v>875</v>
      </c>
      <c r="C148">
        <v>105000</v>
      </c>
    </row>
    <row r="149" spans="2:3" x14ac:dyDescent="0.3">
      <c r="B149">
        <v>2035</v>
      </c>
      <c r="C149">
        <v>222500</v>
      </c>
    </row>
    <row r="150" spans="2:3" x14ac:dyDescent="0.3">
      <c r="B150">
        <v>1080</v>
      </c>
      <c r="C150">
        <v>141000</v>
      </c>
    </row>
    <row r="151" spans="2:3" x14ac:dyDescent="0.3">
      <c r="B151">
        <v>1344</v>
      </c>
      <c r="C151">
        <v>115000</v>
      </c>
    </row>
    <row r="152" spans="2:3" x14ac:dyDescent="0.3">
      <c r="B152">
        <v>969</v>
      </c>
      <c r="C152">
        <v>122000</v>
      </c>
    </row>
    <row r="153" spans="2:3" x14ac:dyDescent="0.3">
      <c r="B153">
        <v>1710</v>
      </c>
      <c r="C153">
        <v>372402</v>
      </c>
    </row>
    <row r="154" spans="2:3" x14ac:dyDescent="0.3">
      <c r="B154">
        <v>1993</v>
      </c>
      <c r="C154">
        <v>190000</v>
      </c>
    </row>
    <row r="155" spans="2:3" x14ac:dyDescent="0.3">
      <c r="B155">
        <v>1252</v>
      </c>
      <c r="C155">
        <v>235000</v>
      </c>
    </row>
    <row r="156" spans="2:3" x14ac:dyDescent="0.3">
      <c r="B156">
        <v>1200</v>
      </c>
      <c r="C156">
        <v>125000</v>
      </c>
    </row>
    <row r="157" spans="2:3" x14ac:dyDescent="0.3">
      <c r="B157">
        <v>1096</v>
      </c>
      <c r="C157">
        <v>79000</v>
      </c>
    </row>
    <row r="158" spans="2:3" x14ac:dyDescent="0.3">
      <c r="B158">
        <v>1040</v>
      </c>
      <c r="C158">
        <v>109500</v>
      </c>
    </row>
    <row r="159" spans="2:3" x14ac:dyDescent="0.3">
      <c r="B159">
        <v>1968</v>
      </c>
      <c r="C159">
        <v>269500</v>
      </c>
    </row>
    <row r="160" spans="2:3" x14ac:dyDescent="0.3">
      <c r="B160">
        <v>1947</v>
      </c>
      <c r="C160">
        <v>254900</v>
      </c>
    </row>
    <row r="161" spans="2:3" x14ac:dyDescent="0.3">
      <c r="B161">
        <v>2462</v>
      </c>
      <c r="C161">
        <v>320000</v>
      </c>
    </row>
    <row r="162" spans="2:3" x14ac:dyDescent="0.3">
      <c r="B162">
        <v>1232</v>
      </c>
      <c r="C162">
        <v>162500</v>
      </c>
    </row>
    <row r="163" spans="2:3" x14ac:dyDescent="0.3">
      <c r="B163">
        <v>2668</v>
      </c>
      <c r="C163">
        <v>412500</v>
      </c>
    </row>
    <row r="164" spans="2:3" x14ac:dyDescent="0.3">
      <c r="B164">
        <v>1541</v>
      </c>
      <c r="C164">
        <v>220000</v>
      </c>
    </row>
    <row r="165" spans="2:3" x14ac:dyDescent="0.3">
      <c r="B165">
        <v>882</v>
      </c>
      <c r="C165">
        <v>103200</v>
      </c>
    </row>
    <row r="166" spans="2:3" x14ac:dyDescent="0.3">
      <c r="B166">
        <v>1616</v>
      </c>
      <c r="C166">
        <v>152000</v>
      </c>
    </row>
    <row r="167" spans="2:3" x14ac:dyDescent="0.3">
      <c r="B167">
        <v>1355</v>
      </c>
      <c r="C167">
        <v>127500</v>
      </c>
    </row>
    <row r="168" spans="2:3" x14ac:dyDescent="0.3">
      <c r="B168">
        <v>1867</v>
      </c>
      <c r="C168">
        <v>190000</v>
      </c>
    </row>
    <row r="169" spans="2:3" x14ac:dyDescent="0.3">
      <c r="B169">
        <v>2161</v>
      </c>
      <c r="C169">
        <v>325624</v>
      </c>
    </row>
    <row r="170" spans="2:3" x14ac:dyDescent="0.3">
      <c r="B170">
        <v>1720</v>
      </c>
      <c r="C170">
        <v>183500</v>
      </c>
    </row>
    <row r="171" spans="2:3" x14ac:dyDescent="0.3">
      <c r="B171">
        <v>1707</v>
      </c>
      <c r="C171">
        <v>228000</v>
      </c>
    </row>
    <row r="172" spans="2:3" x14ac:dyDescent="0.3">
      <c r="B172">
        <v>1382</v>
      </c>
      <c r="C172">
        <v>128500</v>
      </c>
    </row>
    <row r="173" spans="2:3" x14ac:dyDescent="0.3">
      <c r="B173">
        <v>1656</v>
      </c>
      <c r="C173">
        <v>215000</v>
      </c>
    </row>
    <row r="174" spans="2:3" x14ac:dyDescent="0.3">
      <c r="B174">
        <v>1767</v>
      </c>
      <c r="C174">
        <v>239000</v>
      </c>
    </row>
    <row r="175" spans="2:3" x14ac:dyDescent="0.3">
      <c r="B175">
        <v>1362</v>
      </c>
      <c r="C175">
        <v>163000</v>
      </c>
    </row>
    <row r="176" spans="2:3" x14ac:dyDescent="0.3">
      <c r="B176">
        <v>1651</v>
      </c>
      <c r="C176">
        <v>184000</v>
      </c>
    </row>
    <row r="177" spans="2:3" x14ac:dyDescent="0.3">
      <c r="B177">
        <v>2158</v>
      </c>
      <c r="C177">
        <v>243000</v>
      </c>
    </row>
    <row r="178" spans="2:3" x14ac:dyDescent="0.3">
      <c r="B178">
        <v>2060</v>
      </c>
      <c r="C178">
        <v>211000</v>
      </c>
    </row>
    <row r="179" spans="2:3" x14ac:dyDescent="0.3">
      <c r="B179">
        <v>1920</v>
      </c>
      <c r="C179">
        <v>172500</v>
      </c>
    </row>
    <row r="180" spans="2:3" x14ac:dyDescent="0.3">
      <c r="B180">
        <v>2234</v>
      </c>
      <c r="C180">
        <v>501837</v>
      </c>
    </row>
    <row r="181" spans="2:3" x14ac:dyDescent="0.3">
      <c r="B181">
        <v>968</v>
      </c>
      <c r="C181">
        <v>100000</v>
      </c>
    </row>
    <row r="182" spans="2:3" x14ac:dyDescent="0.3">
      <c r="B182">
        <v>1525</v>
      </c>
      <c r="C182">
        <v>177000</v>
      </c>
    </row>
    <row r="183" spans="2:3" x14ac:dyDescent="0.3">
      <c r="B183">
        <v>1802</v>
      </c>
      <c r="C183">
        <v>200100</v>
      </c>
    </row>
    <row r="184" spans="2:3" x14ac:dyDescent="0.3">
      <c r="B184">
        <v>1340</v>
      </c>
      <c r="C184">
        <v>120000</v>
      </c>
    </row>
    <row r="185" spans="2:3" x14ac:dyDescent="0.3">
      <c r="B185">
        <v>2082</v>
      </c>
      <c r="C185">
        <v>200000</v>
      </c>
    </row>
    <row r="186" spans="2:3" x14ac:dyDescent="0.3">
      <c r="B186">
        <v>1252</v>
      </c>
      <c r="C186">
        <v>127000</v>
      </c>
    </row>
    <row r="187" spans="2:3" x14ac:dyDescent="0.3">
      <c r="B187">
        <v>3608</v>
      </c>
      <c r="C187">
        <v>475000</v>
      </c>
    </row>
    <row r="188" spans="2:3" x14ac:dyDescent="0.3">
      <c r="B188">
        <v>1217</v>
      </c>
      <c r="C188">
        <v>173000</v>
      </c>
    </row>
    <row r="189" spans="2:3" x14ac:dyDescent="0.3">
      <c r="B189">
        <v>1656</v>
      </c>
      <c r="C189">
        <v>135000</v>
      </c>
    </row>
    <row r="190" spans="2:3" x14ac:dyDescent="0.3">
      <c r="B190">
        <v>1224</v>
      </c>
      <c r="C190">
        <v>153337</v>
      </c>
    </row>
    <row r="191" spans="2:3" x14ac:dyDescent="0.3">
      <c r="B191">
        <v>1593</v>
      </c>
      <c r="C191">
        <v>286000</v>
      </c>
    </row>
    <row r="192" spans="2:3" x14ac:dyDescent="0.3">
      <c r="B192">
        <v>2727</v>
      </c>
      <c r="C192">
        <v>315000</v>
      </c>
    </row>
    <row r="193" spans="2:3" x14ac:dyDescent="0.3">
      <c r="B193">
        <v>1479</v>
      </c>
      <c r="C193">
        <v>184000</v>
      </c>
    </row>
    <row r="194" spans="2:3" x14ac:dyDescent="0.3">
      <c r="B194">
        <v>1431</v>
      </c>
      <c r="C194">
        <v>192000</v>
      </c>
    </row>
    <row r="195" spans="2:3" x14ac:dyDescent="0.3">
      <c r="B195">
        <v>1709</v>
      </c>
      <c r="C195">
        <v>130000</v>
      </c>
    </row>
    <row r="196" spans="2:3" x14ac:dyDescent="0.3">
      <c r="B196">
        <v>864</v>
      </c>
      <c r="C196">
        <v>127000</v>
      </c>
    </row>
    <row r="197" spans="2:3" x14ac:dyDescent="0.3">
      <c r="B197">
        <v>1456</v>
      </c>
      <c r="C197">
        <v>148500</v>
      </c>
    </row>
    <row r="198" spans="2:3" x14ac:dyDescent="0.3">
      <c r="B198">
        <v>1726</v>
      </c>
      <c r="C198">
        <v>311872</v>
      </c>
    </row>
    <row r="199" spans="2:3" x14ac:dyDescent="0.3">
      <c r="B199">
        <v>3112</v>
      </c>
      <c r="C199">
        <v>235000</v>
      </c>
    </row>
    <row r="200" spans="2:3" x14ac:dyDescent="0.3">
      <c r="B200">
        <v>2229</v>
      </c>
      <c r="C200">
        <v>104000</v>
      </c>
    </row>
    <row r="201" spans="2:3" x14ac:dyDescent="0.3">
      <c r="B201">
        <v>1713</v>
      </c>
      <c r="C201">
        <v>274900</v>
      </c>
    </row>
    <row r="202" spans="2:3" x14ac:dyDescent="0.3">
      <c r="B202">
        <v>1121</v>
      </c>
      <c r="C202">
        <v>140000</v>
      </c>
    </row>
    <row r="203" spans="2:3" x14ac:dyDescent="0.3">
      <c r="B203">
        <v>1279</v>
      </c>
      <c r="C203">
        <v>171500</v>
      </c>
    </row>
    <row r="204" spans="2:3" x14ac:dyDescent="0.3">
      <c r="B204">
        <v>1310</v>
      </c>
      <c r="C204">
        <v>112000</v>
      </c>
    </row>
    <row r="205" spans="2:3" x14ac:dyDescent="0.3">
      <c r="B205">
        <v>848</v>
      </c>
      <c r="C205">
        <v>149000</v>
      </c>
    </row>
    <row r="206" spans="2:3" x14ac:dyDescent="0.3">
      <c r="B206">
        <v>1284</v>
      </c>
      <c r="C206">
        <v>110000</v>
      </c>
    </row>
    <row r="207" spans="2:3" x14ac:dyDescent="0.3">
      <c r="B207">
        <v>1442</v>
      </c>
      <c r="C207">
        <v>180500</v>
      </c>
    </row>
    <row r="208" spans="2:3" x14ac:dyDescent="0.3">
      <c r="B208">
        <v>1696</v>
      </c>
      <c r="C208">
        <v>143900</v>
      </c>
    </row>
    <row r="209" spans="2:3" x14ac:dyDescent="0.3">
      <c r="B209">
        <v>1100</v>
      </c>
      <c r="C209">
        <v>141000</v>
      </c>
    </row>
    <row r="210" spans="2:3" x14ac:dyDescent="0.3">
      <c r="B210">
        <v>2062</v>
      </c>
      <c r="C210">
        <v>277000</v>
      </c>
    </row>
    <row r="211" spans="2:3" x14ac:dyDescent="0.3">
      <c r="B211">
        <v>1092</v>
      </c>
      <c r="C211">
        <v>145000</v>
      </c>
    </row>
    <row r="212" spans="2:3" x14ac:dyDescent="0.3">
      <c r="B212">
        <v>864</v>
      </c>
      <c r="C212">
        <v>98000</v>
      </c>
    </row>
    <row r="213" spans="2:3" x14ac:dyDescent="0.3">
      <c r="B213">
        <v>1212</v>
      </c>
      <c r="C213">
        <v>186000</v>
      </c>
    </row>
    <row r="214" spans="2:3" x14ac:dyDescent="0.3">
      <c r="B214">
        <v>1852</v>
      </c>
      <c r="C214">
        <v>252678</v>
      </c>
    </row>
    <row r="215" spans="2:3" x14ac:dyDescent="0.3">
      <c r="B215">
        <v>990</v>
      </c>
      <c r="C215">
        <v>156000</v>
      </c>
    </row>
    <row r="216" spans="2:3" x14ac:dyDescent="0.3">
      <c r="B216">
        <v>1392</v>
      </c>
      <c r="C216">
        <v>161750</v>
      </c>
    </row>
    <row r="217" spans="2:3" x14ac:dyDescent="0.3">
      <c r="B217">
        <v>1236</v>
      </c>
      <c r="C217">
        <v>134450</v>
      </c>
    </row>
    <row r="218" spans="2:3" x14ac:dyDescent="0.3">
      <c r="B218">
        <v>1436</v>
      </c>
      <c r="C218">
        <v>210000</v>
      </c>
    </row>
    <row r="219" spans="2:3" x14ac:dyDescent="0.3">
      <c r="B219">
        <v>1328</v>
      </c>
      <c r="C219">
        <v>107000</v>
      </c>
    </row>
    <row r="220" spans="2:3" x14ac:dyDescent="0.3">
      <c r="B220">
        <v>1954</v>
      </c>
      <c r="C220">
        <v>311500</v>
      </c>
    </row>
    <row r="221" spans="2:3" x14ac:dyDescent="0.3">
      <c r="B221">
        <v>1248</v>
      </c>
      <c r="C221">
        <v>167240</v>
      </c>
    </row>
    <row r="222" spans="2:3" x14ac:dyDescent="0.3">
      <c r="B222">
        <v>1498</v>
      </c>
      <c r="C222">
        <v>204900</v>
      </c>
    </row>
    <row r="223" spans="2:3" x14ac:dyDescent="0.3">
      <c r="B223">
        <v>2267</v>
      </c>
      <c r="C223">
        <v>200000</v>
      </c>
    </row>
    <row r="224" spans="2:3" x14ac:dyDescent="0.3">
      <c r="B224">
        <v>1552</v>
      </c>
      <c r="C224">
        <v>179900</v>
      </c>
    </row>
    <row r="225" spans="2:3" x14ac:dyDescent="0.3">
      <c r="B225">
        <v>864</v>
      </c>
      <c r="C225">
        <v>97000</v>
      </c>
    </row>
    <row r="226" spans="2:3" x14ac:dyDescent="0.3">
      <c r="B226">
        <v>2392</v>
      </c>
      <c r="C226">
        <v>386250</v>
      </c>
    </row>
    <row r="227" spans="2:3" x14ac:dyDescent="0.3">
      <c r="B227">
        <v>1302</v>
      </c>
      <c r="C227">
        <v>112000</v>
      </c>
    </row>
    <row r="228" spans="2:3" x14ac:dyDescent="0.3">
      <c r="B228">
        <v>2520</v>
      </c>
      <c r="C228">
        <v>290000</v>
      </c>
    </row>
    <row r="229" spans="2:3" x14ac:dyDescent="0.3">
      <c r="B229">
        <v>987</v>
      </c>
      <c r="C229">
        <v>106000</v>
      </c>
    </row>
    <row r="230" spans="2:3" x14ac:dyDescent="0.3">
      <c r="B230">
        <v>912</v>
      </c>
      <c r="C230">
        <v>125000</v>
      </c>
    </row>
    <row r="231" spans="2:3" x14ac:dyDescent="0.3">
      <c r="B231">
        <v>1555</v>
      </c>
      <c r="C231">
        <v>192500</v>
      </c>
    </row>
    <row r="232" spans="2:3" x14ac:dyDescent="0.3">
      <c r="B232">
        <v>1194</v>
      </c>
      <c r="C232">
        <v>148000</v>
      </c>
    </row>
    <row r="233" spans="2:3" x14ac:dyDescent="0.3">
      <c r="B233">
        <v>2794</v>
      </c>
      <c r="C233">
        <v>403000</v>
      </c>
    </row>
    <row r="234" spans="2:3" x14ac:dyDescent="0.3">
      <c r="B234">
        <v>987</v>
      </c>
      <c r="C234">
        <v>94500</v>
      </c>
    </row>
    <row r="235" spans="2:3" x14ac:dyDescent="0.3">
      <c r="B235">
        <v>894</v>
      </c>
      <c r="C235">
        <v>128200</v>
      </c>
    </row>
    <row r="236" spans="2:3" x14ac:dyDescent="0.3">
      <c r="B236">
        <v>1960</v>
      </c>
      <c r="C236">
        <v>216500</v>
      </c>
    </row>
    <row r="237" spans="2:3" x14ac:dyDescent="0.3">
      <c r="B237">
        <v>987</v>
      </c>
      <c r="C237">
        <v>89500</v>
      </c>
    </row>
    <row r="238" spans="2:3" x14ac:dyDescent="0.3">
      <c r="B238">
        <v>1414</v>
      </c>
      <c r="C238">
        <v>185500</v>
      </c>
    </row>
    <row r="239" spans="2:3" x14ac:dyDescent="0.3">
      <c r="B239">
        <v>1744</v>
      </c>
      <c r="C239">
        <v>194500</v>
      </c>
    </row>
    <row r="240" spans="2:3" x14ac:dyDescent="0.3">
      <c r="B240">
        <v>1694</v>
      </c>
      <c r="C240">
        <v>318000</v>
      </c>
    </row>
    <row r="241" spans="2:3" x14ac:dyDescent="0.3">
      <c r="B241">
        <v>1487</v>
      </c>
      <c r="C241">
        <v>113000</v>
      </c>
    </row>
    <row r="242" spans="2:3" x14ac:dyDescent="0.3">
      <c r="B242">
        <v>1566</v>
      </c>
      <c r="C242">
        <v>262500</v>
      </c>
    </row>
    <row r="243" spans="2:3" x14ac:dyDescent="0.3">
      <c r="B243">
        <v>866</v>
      </c>
      <c r="C243">
        <v>110500</v>
      </c>
    </row>
    <row r="244" spans="2:3" x14ac:dyDescent="0.3">
      <c r="B244">
        <v>1440</v>
      </c>
      <c r="C244">
        <v>79000</v>
      </c>
    </row>
    <row r="245" spans="2:3" x14ac:dyDescent="0.3">
      <c r="B245">
        <v>1217</v>
      </c>
      <c r="C245">
        <v>120000</v>
      </c>
    </row>
    <row r="246" spans="2:3" x14ac:dyDescent="0.3">
      <c r="B246">
        <v>2110</v>
      </c>
      <c r="C246">
        <v>205000</v>
      </c>
    </row>
    <row r="247" spans="2:3" x14ac:dyDescent="0.3">
      <c r="B247">
        <v>1872</v>
      </c>
      <c r="C247">
        <v>241500</v>
      </c>
    </row>
    <row r="248" spans="2:3" x14ac:dyDescent="0.3">
      <c r="B248">
        <v>1928</v>
      </c>
      <c r="C248">
        <v>137000</v>
      </c>
    </row>
    <row r="249" spans="2:3" x14ac:dyDescent="0.3">
      <c r="B249">
        <v>1375</v>
      </c>
      <c r="C249">
        <v>140000</v>
      </c>
    </row>
    <row r="250" spans="2:3" x14ac:dyDescent="0.3">
      <c r="B250">
        <v>1668</v>
      </c>
      <c r="C250">
        <v>180000</v>
      </c>
    </row>
    <row r="251" spans="2:3" x14ac:dyDescent="0.3">
      <c r="B251">
        <v>2144</v>
      </c>
      <c r="C251">
        <v>277000</v>
      </c>
    </row>
    <row r="252" spans="2:3" x14ac:dyDescent="0.3">
      <c r="B252">
        <v>1306</v>
      </c>
      <c r="C252">
        <v>76500</v>
      </c>
    </row>
    <row r="253" spans="2:3" x14ac:dyDescent="0.3">
      <c r="B253">
        <v>1625</v>
      </c>
      <c r="C253">
        <v>235000</v>
      </c>
    </row>
    <row r="254" spans="2:3" x14ac:dyDescent="0.3">
      <c r="B254">
        <v>1640</v>
      </c>
      <c r="C254">
        <v>173000</v>
      </c>
    </row>
    <row r="255" spans="2:3" x14ac:dyDescent="0.3">
      <c r="B255">
        <v>1302</v>
      </c>
      <c r="C255">
        <v>158000</v>
      </c>
    </row>
    <row r="256" spans="2:3" x14ac:dyDescent="0.3">
      <c r="B256">
        <v>1314</v>
      </c>
      <c r="C256">
        <v>145000</v>
      </c>
    </row>
    <row r="257" spans="2:3" x14ac:dyDescent="0.3">
      <c r="B257">
        <v>2291</v>
      </c>
      <c r="C257">
        <v>230000</v>
      </c>
    </row>
    <row r="258" spans="2:3" x14ac:dyDescent="0.3">
      <c r="B258">
        <v>1728</v>
      </c>
      <c r="C258">
        <v>207500</v>
      </c>
    </row>
    <row r="259" spans="2:3" x14ac:dyDescent="0.3">
      <c r="B259">
        <v>1604</v>
      </c>
      <c r="C259">
        <v>220000</v>
      </c>
    </row>
    <row r="260" spans="2:3" x14ac:dyDescent="0.3">
      <c r="B260">
        <v>1792</v>
      </c>
      <c r="C260">
        <v>231500</v>
      </c>
    </row>
    <row r="261" spans="2:3" x14ac:dyDescent="0.3">
      <c r="B261">
        <v>882</v>
      </c>
      <c r="C261">
        <v>97000</v>
      </c>
    </row>
    <row r="262" spans="2:3" x14ac:dyDescent="0.3">
      <c r="B262">
        <v>1382</v>
      </c>
      <c r="C262">
        <v>176000</v>
      </c>
    </row>
    <row r="263" spans="2:3" x14ac:dyDescent="0.3">
      <c r="B263">
        <v>2574</v>
      </c>
      <c r="C263">
        <v>276000</v>
      </c>
    </row>
    <row r="264" spans="2:3" x14ac:dyDescent="0.3">
      <c r="B264">
        <v>1212</v>
      </c>
      <c r="C264">
        <v>151000</v>
      </c>
    </row>
    <row r="265" spans="2:3" x14ac:dyDescent="0.3">
      <c r="B265">
        <v>1316</v>
      </c>
      <c r="C265">
        <v>130000</v>
      </c>
    </row>
    <row r="266" spans="2:3" x14ac:dyDescent="0.3">
      <c r="B266">
        <v>764</v>
      </c>
      <c r="C266">
        <v>73000</v>
      </c>
    </row>
    <row r="267" spans="2:3" x14ac:dyDescent="0.3">
      <c r="B267">
        <v>1422</v>
      </c>
      <c r="C267">
        <v>175500</v>
      </c>
    </row>
    <row r="268" spans="2:3" x14ac:dyDescent="0.3">
      <c r="B268">
        <v>1511</v>
      </c>
      <c r="C268">
        <v>185000</v>
      </c>
    </row>
    <row r="269" spans="2:3" x14ac:dyDescent="0.3">
      <c r="B269">
        <v>2192</v>
      </c>
      <c r="C269">
        <v>179500</v>
      </c>
    </row>
    <row r="270" spans="2:3" x14ac:dyDescent="0.3">
      <c r="B270">
        <v>778</v>
      </c>
      <c r="C270">
        <v>120500</v>
      </c>
    </row>
    <row r="271" spans="2:3" x14ac:dyDescent="0.3">
      <c r="B271">
        <v>1113</v>
      </c>
      <c r="C271">
        <v>148000</v>
      </c>
    </row>
    <row r="272" spans="2:3" x14ac:dyDescent="0.3">
      <c r="B272">
        <v>1939</v>
      </c>
      <c r="C272">
        <v>266000</v>
      </c>
    </row>
    <row r="273" spans="2:3" x14ac:dyDescent="0.3">
      <c r="B273">
        <v>1363</v>
      </c>
      <c r="C273">
        <v>241500</v>
      </c>
    </row>
    <row r="274" spans="2:3" x14ac:dyDescent="0.3">
      <c r="B274">
        <v>2270</v>
      </c>
      <c r="C274">
        <v>290000</v>
      </c>
    </row>
    <row r="275" spans="2:3" x14ac:dyDescent="0.3">
      <c r="B275">
        <v>1632</v>
      </c>
      <c r="C275">
        <v>139000</v>
      </c>
    </row>
    <row r="276" spans="2:3" x14ac:dyDescent="0.3">
      <c r="B276">
        <v>816</v>
      </c>
      <c r="C276">
        <v>124500</v>
      </c>
    </row>
    <row r="277" spans="2:3" x14ac:dyDescent="0.3">
      <c r="B277">
        <v>1548</v>
      </c>
      <c r="C277">
        <v>205000</v>
      </c>
    </row>
    <row r="278" spans="2:3" x14ac:dyDescent="0.3">
      <c r="B278">
        <v>1560</v>
      </c>
      <c r="C278">
        <v>201000</v>
      </c>
    </row>
    <row r="279" spans="2:3" x14ac:dyDescent="0.3">
      <c r="B279">
        <v>864</v>
      </c>
      <c r="C279">
        <v>141000</v>
      </c>
    </row>
    <row r="280" spans="2:3" x14ac:dyDescent="0.3">
      <c r="B280">
        <v>2121</v>
      </c>
      <c r="C280">
        <v>415298</v>
      </c>
    </row>
    <row r="281" spans="2:3" x14ac:dyDescent="0.3">
      <c r="B281">
        <v>2022</v>
      </c>
      <c r="C281">
        <v>192000</v>
      </c>
    </row>
    <row r="282" spans="2:3" x14ac:dyDescent="0.3">
      <c r="B282">
        <v>1982</v>
      </c>
      <c r="C282">
        <v>228500</v>
      </c>
    </row>
    <row r="283" spans="2:3" x14ac:dyDescent="0.3">
      <c r="B283">
        <v>1262</v>
      </c>
      <c r="C283">
        <v>185000</v>
      </c>
    </row>
    <row r="284" spans="2:3" x14ac:dyDescent="0.3">
      <c r="B284">
        <v>1314</v>
      </c>
      <c r="C284">
        <v>207500</v>
      </c>
    </row>
    <row r="285" spans="2:3" x14ac:dyDescent="0.3">
      <c r="B285">
        <v>1468</v>
      </c>
      <c r="C285">
        <v>244600</v>
      </c>
    </row>
    <row r="286" spans="2:3" x14ac:dyDescent="0.3">
      <c r="B286">
        <v>1575</v>
      </c>
      <c r="C286">
        <v>179200</v>
      </c>
    </row>
    <row r="287" spans="2:3" x14ac:dyDescent="0.3">
      <c r="B287">
        <v>1250</v>
      </c>
      <c r="C287">
        <v>164700</v>
      </c>
    </row>
    <row r="288" spans="2:3" x14ac:dyDescent="0.3">
      <c r="B288">
        <v>1734</v>
      </c>
      <c r="C288">
        <v>159000</v>
      </c>
    </row>
    <row r="289" spans="2:3" x14ac:dyDescent="0.3">
      <c r="B289">
        <v>858</v>
      </c>
      <c r="C289">
        <v>88000</v>
      </c>
    </row>
    <row r="290" spans="2:3" x14ac:dyDescent="0.3">
      <c r="B290">
        <v>900</v>
      </c>
      <c r="C290">
        <v>122000</v>
      </c>
    </row>
    <row r="291" spans="2:3" x14ac:dyDescent="0.3">
      <c r="B291">
        <v>1396</v>
      </c>
      <c r="C291">
        <v>153575</v>
      </c>
    </row>
    <row r="292" spans="2:3" x14ac:dyDescent="0.3">
      <c r="B292">
        <v>1919</v>
      </c>
      <c r="C292">
        <v>233230</v>
      </c>
    </row>
    <row r="293" spans="2:3" x14ac:dyDescent="0.3">
      <c r="B293">
        <v>1716</v>
      </c>
      <c r="C293">
        <v>135900</v>
      </c>
    </row>
    <row r="294" spans="2:3" x14ac:dyDescent="0.3">
      <c r="B294">
        <v>1716</v>
      </c>
      <c r="C294">
        <v>131000</v>
      </c>
    </row>
    <row r="295" spans="2:3" x14ac:dyDescent="0.3">
      <c r="B295">
        <v>2263</v>
      </c>
      <c r="C295">
        <v>235000</v>
      </c>
    </row>
    <row r="296" spans="2:3" x14ac:dyDescent="0.3">
      <c r="B296">
        <v>1644</v>
      </c>
      <c r="C296">
        <v>167000</v>
      </c>
    </row>
    <row r="297" spans="2:3" x14ac:dyDescent="0.3">
      <c r="B297">
        <v>1003</v>
      </c>
      <c r="C297">
        <v>142500</v>
      </c>
    </row>
    <row r="298" spans="2:3" x14ac:dyDescent="0.3">
      <c r="B298">
        <v>1558</v>
      </c>
      <c r="C298">
        <v>152000</v>
      </c>
    </row>
    <row r="299" spans="2:3" x14ac:dyDescent="0.3">
      <c r="B299">
        <v>1950</v>
      </c>
      <c r="C299">
        <v>239000</v>
      </c>
    </row>
    <row r="300" spans="2:3" x14ac:dyDescent="0.3">
      <c r="B300">
        <v>1743</v>
      </c>
      <c r="C300">
        <v>175000</v>
      </c>
    </row>
    <row r="301" spans="2:3" x14ac:dyDescent="0.3">
      <c r="B301">
        <v>1152</v>
      </c>
      <c r="C301">
        <v>158500</v>
      </c>
    </row>
    <row r="302" spans="2:3" x14ac:dyDescent="0.3">
      <c r="B302">
        <v>1336</v>
      </c>
      <c r="C302">
        <v>157000</v>
      </c>
    </row>
    <row r="303" spans="2:3" x14ac:dyDescent="0.3">
      <c r="B303">
        <v>2452</v>
      </c>
      <c r="C303">
        <v>267000</v>
      </c>
    </row>
    <row r="304" spans="2:3" x14ac:dyDescent="0.3">
      <c r="B304">
        <v>1541</v>
      </c>
      <c r="C304">
        <v>205000</v>
      </c>
    </row>
    <row r="305" spans="2:3" x14ac:dyDescent="0.3">
      <c r="B305">
        <v>894</v>
      </c>
      <c r="C305">
        <v>149900</v>
      </c>
    </row>
    <row r="306" spans="2:3" x14ac:dyDescent="0.3">
      <c r="B306">
        <v>3493</v>
      </c>
      <c r="C306">
        <v>295000</v>
      </c>
    </row>
    <row r="307" spans="2:3" x14ac:dyDescent="0.3">
      <c r="B307">
        <v>2000</v>
      </c>
      <c r="C307">
        <v>305900</v>
      </c>
    </row>
    <row r="308" spans="2:3" x14ac:dyDescent="0.3">
      <c r="B308">
        <v>2243</v>
      </c>
      <c r="C308">
        <v>225000</v>
      </c>
    </row>
    <row r="309" spans="2:3" x14ac:dyDescent="0.3">
      <c r="B309">
        <v>1406</v>
      </c>
      <c r="C309">
        <v>89500</v>
      </c>
    </row>
    <row r="310" spans="2:3" x14ac:dyDescent="0.3">
      <c r="B310">
        <v>861</v>
      </c>
      <c r="C310">
        <v>82500</v>
      </c>
    </row>
    <row r="311" spans="2:3" x14ac:dyDescent="0.3">
      <c r="B311">
        <v>1944</v>
      </c>
      <c r="C311">
        <v>360000</v>
      </c>
    </row>
    <row r="312" spans="2:3" x14ac:dyDescent="0.3">
      <c r="B312">
        <v>1501</v>
      </c>
      <c r="C312">
        <v>165600</v>
      </c>
    </row>
    <row r="313" spans="2:3" x14ac:dyDescent="0.3">
      <c r="B313">
        <v>972</v>
      </c>
      <c r="C313">
        <v>132000</v>
      </c>
    </row>
    <row r="314" spans="2:3" x14ac:dyDescent="0.3">
      <c r="B314">
        <v>1118</v>
      </c>
      <c r="C314">
        <v>119900</v>
      </c>
    </row>
    <row r="315" spans="2:3" x14ac:dyDescent="0.3">
      <c r="B315">
        <v>2036</v>
      </c>
      <c r="C315">
        <v>375000</v>
      </c>
    </row>
    <row r="316" spans="2:3" x14ac:dyDescent="0.3">
      <c r="B316">
        <v>1641</v>
      </c>
      <c r="C316">
        <v>178000</v>
      </c>
    </row>
    <row r="317" spans="2:3" x14ac:dyDescent="0.3">
      <c r="B317">
        <v>1432</v>
      </c>
      <c r="C317">
        <v>188500</v>
      </c>
    </row>
    <row r="318" spans="2:3" x14ac:dyDescent="0.3">
      <c r="B318">
        <v>2353</v>
      </c>
      <c r="C318">
        <v>260000</v>
      </c>
    </row>
    <row r="319" spans="2:3" x14ac:dyDescent="0.3">
      <c r="B319">
        <v>1959</v>
      </c>
      <c r="C319">
        <v>270000</v>
      </c>
    </row>
    <row r="320" spans="2:3" x14ac:dyDescent="0.3">
      <c r="B320">
        <v>2646</v>
      </c>
      <c r="C320">
        <v>260000</v>
      </c>
    </row>
    <row r="321" spans="2:3" x14ac:dyDescent="0.3">
      <c r="B321">
        <v>1472</v>
      </c>
      <c r="C321">
        <v>187500</v>
      </c>
    </row>
    <row r="322" spans="2:3" x14ac:dyDescent="0.3">
      <c r="B322">
        <v>2596</v>
      </c>
      <c r="C322">
        <v>342643</v>
      </c>
    </row>
    <row r="323" spans="2:3" x14ac:dyDescent="0.3">
      <c r="B323">
        <v>2468</v>
      </c>
      <c r="C323">
        <v>354000</v>
      </c>
    </row>
    <row r="324" spans="2:3" x14ac:dyDescent="0.3">
      <c r="B324">
        <v>2730</v>
      </c>
      <c r="C324">
        <v>301000</v>
      </c>
    </row>
    <row r="325" spans="2:3" x14ac:dyDescent="0.3">
      <c r="B325">
        <v>1163</v>
      </c>
      <c r="C325">
        <v>126175</v>
      </c>
    </row>
    <row r="326" spans="2:3" x14ac:dyDescent="0.3">
      <c r="B326">
        <v>2978</v>
      </c>
      <c r="C326">
        <v>242000</v>
      </c>
    </row>
    <row r="327" spans="2:3" x14ac:dyDescent="0.3">
      <c r="B327">
        <v>803</v>
      </c>
      <c r="C327">
        <v>87000</v>
      </c>
    </row>
    <row r="328" spans="2:3" x14ac:dyDescent="0.3">
      <c r="B328">
        <v>1719</v>
      </c>
      <c r="C328">
        <v>324000</v>
      </c>
    </row>
    <row r="329" spans="2:3" x14ac:dyDescent="0.3">
      <c r="B329">
        <v>1383</v>
      </c>
      <c r="C329">
        <v>145250</v>
      </c>
    </row>
    <row r="330" spans="2:3" x14ac:dyDescent="0.3">
      <c r="B330">
        <v>2134</v>
      </c>
      <c r="C330">
        <v>214500</v>
      </c>
    </row>
    <row r="331" spans="2:3" x14ac:dyDescent="0.3">
      <c r="B331">
        <v>1192</v>
      </c>
      <c r="C331">
        <v>78000</v>
      </c>
    </row>
    <row r="332" spans="2:3" x14ac:dyDescent="0.3">
      <c r="B332">
        <v>1728</v>
      </c>
      <c r="C332">
        <v>119000</v>
      </c>
    </row>
    <row r="333" spans="2:3" x14ac:dyDescent="0.3">
      <c r="B333">
        <v>1056</v>
      </c>
      <c r="C333">
        <v>139000</v>
      </c>
    </row>
    <row r="334" spans="2:3" x14ac:dyDescent="0.3">
      <c r="B334">
        <v>1629</v>
      </c>
      <c r="C334">
        <v>284000</v>
      </c>
    </row>
    <row r="335" spans="2:3" x14ac:dyDescent="0.3">
      <c r="B335">
        <v>1358</v>
      </c>
      <c r="C335">
        <v>207000</v>
      </c>
    </row>
    <row r="336" spans="2:3" x14ac:dyDescent="0.3">
      <c r="B336">
        <v>1638</v>
      </c>
      <c r="C336">
        <v>192000</v>
      </c>
    </row>
    <row r="337" spans="2:3" x14ac:dyDescent="0.3">
      <c r="B337">
        <v>1786</v>
      </c>
      <c r="C337">
        <v>228950</v>
      </c>
    </row>
    <row r="338" spans="2:3" x14ac:dyDescent="0.3">
      <c r="B338">
        <v>1922</v>
      </c>
      <c r="C338">
        <v>377426</v>
      </c>
    </row>
    <row r="339" spans="2:3" x14ac:dyDescent="0.3">
      <c r="B339">
        <v>1536</v>
      </c>
      <c r="C339">
        <v>214000</v>
      </c>
    </row>
    <row r="340" spans="2:3" x14ac:dyDescent="0.3">
      <c r="B340">
        <v>1621</v>
      </c>
      <c r="C340">
        <v>202500</v>
      </c>
    </row>
    <row r="341" spans="2:3" x14ac:dyDescent="0.3">
      <c r="B341">
        <v>1215</v>
      </c>
      <c r="C341">
        <v>155000</v>
      </c>
    </row>
    <row r="342" spans="2:3" x14ac:dyDescent="0.3">
      <c r="B342">
        <v>1908</v>
      </c>
      <c r="C342">
        <v>202900</v>
      </c>
    </row>
    <row r="343" spans="2:3" x14ac:dyDescent="0.3">
      <c r="B343">
        <v>841</v>
      </c>
      <c r="C343">
        <v>82000</v>
      </c>
    </row>
    <row r="344" spans="2:3" x14ac:dyDescent="0.3">
      <c r="B344">
        <v>1040</v>
      </c>
      <c r="C344">
        <v>87500</v>
      </c>
    </row>
    <row r="345" spans="2:3" x14ac:dyDescent="0.3">
      <c r="B345">
        <v>1684</v>
      </c>
      <c r="C345">
        <v>266000</v>
      </c>
    </row>
    <row r="346" spans="2:3" x14ac:dyDescent="0.3">
      <c r="B346">
        <v>1112</v>
      </c>
      <c r="C346">
        <v>85000</v>
      </c>
    </row>
    <row r="347" spans="2:3" x14ac:dyDescent="0.3">
      <c r="B347">
        <v>1577</v>
      </c>
      <c r="C347">
        <v>140200</v>
      </c>
    </row>
    <row r="348" spans="2:3" x14ac:dyDescent="0.3">
      <c r="B348">
        <v>958</v>
      </c>
      <c r="C348">
        <v>151500</v>
      </c>
    </row>
    <row r="349" spans="2:3" x14ac:dyDescent="0.3">
      <c r="B349">
        <v>1478</v>
      </c>
      <c r="C349">
        <v>157500</v>
      </c>
    </row>
    <row r="350" spans="2:3" x14ac:dyDescent="0.3">
      <c r="B350">
        <v>1626</v>
      </c>
      <c r="C350">
        <v>154000</v>
      </c>
    </row>
    <row r="351" spans="2:3" x14ac:dyDescent="0.3">
      <c r="B351">
        <v>2728</v>
      </c>
      <c r="C351">
        <v>437154</v>
      </c>
    </row>
    <row r="352" spans="2:3" x14ac:dyDescent="0.3">
      <c r="B352">
        <v>1869</v>
      </c>
      <c r="C352">
        <v>318061</v>
      </c>
    </row>
    <row r="353" spans="2:3" x14ac:dyDescent="0.3">
      <c r="B353">
        <v>1453</v>
      </c>
      <c r="C353">
        <v>190000</v>
      </c>
    </row>
    <row r="354" spans="2:3" x14ac:dyDescent="0.3">
      <c r="B354">
        <v>1111</v>
      </c>
      <c r="C354">
        <v>95000</v>
      </c>
    </row>
    <row r="355" spans="2:3" x14ac:dyDescent="0.3">
      <c r="B355">
        <v>720</v>
      </c>
      <c r="C355">
        <v>105900</v>
      </c>
    </row>
    <row r="356" spans="2:3" x14ac:dyDescent="0.3">
      <c r="B356">
        <v>1595</v>
      </c>
      <c r="C356">
        <v>140000</v>
      </c>
    </row>
    <row r="357" spans="2:3" x14ac:dyDescent="0.3">
      <c r="B357">
        <v>1200</v>
      </c>
      <c r="C357">
        <v>177500</v>
      </c>
    </row>
    <row r="358" spans="2:3" x14ac:dyDescent="0.3">
      <c r="B358">
        <v>1167</v>
      </c>
      <c r="C358">
        <v>173000</v>
      </c>
    </row>
    <row r="359" spans="2:3" x14ac:dyDescent="0.3">
      <c r="B359">
        <v>1142</v>
      </c>
      <c r="C359">
        <v>134000</v>
      </c>
    </row>
    <row r="360" spans="2:3" x14ac:dyDescent="0.3">
      <c r="B360">
        <v>1352</v>
      </c>
      <c r="C360">
        <v>130000</v>
      </c>
    </row>
    <row r="361" spans="2:3" x14ac:dyDescent="0.3">
      <c r="B361">
        <v>1924</v>
      </c>
      <c r="C361">
        <v>280000</v>
      </c>
    </row>
    <row r="362" spans="2:3" x14ac:dyDescent="0.3">
      <c r="B362">
        <v>912</v>
      </c>
      <c r="C362">
        <v>156000</v>
      </c>
    </row>
    <row r="363" spans="2:3" x14ac:dyDescent="0.3">
      <c r="B363">
        <v>1505</v>
      </c>
      <c r="C363">
        <v>145000</v>
      </c>
    </row>
    <row r="364" spans="2:3" x14ac:dyDescent="0.3">
      <c r="B364">
        <v>1922</v>
      </c>
      <c r="C364">
        <v>198500</v>
      </c>
    </row>
    <row r="365" spans="2:3" x14ac:dyDescent="0.3">
      <c r="B365">
        <v>987</v>
      </c>
      <c r="C365">
        <v>118000</v>
      </c>
    </row>
    <row r="366" spans="2:3" x14ac:dyDescent="0.3">
      <c r="B366">
        <v>1574</v>
      </c>
      <c r="C366">
        <v>190000</v>
      </c>
    </row>
    <row r="367" spans="2:3" x14ac:dyDescent="0.3">
      <c r="B367">
        <v>1344</v>
      </c>
      <c r="C367">
        <v>147000</v>
      </c>
    </row>
    <row r="368" spans="2:3" x14ac:dyDescent="0.3">
      <c r="B368">
        <v>1394</v>
      </c>
      <c r="C368">
        <v>159000</v>
      </c>
    </row>
    <row r="369" spans="2:3" x14ac:dyDescent="0.3">
      <c r="B369">
        <v>1431</v>
      </c>
      <c r="C369">
        <v>165000</v>
      </c>
    </row>
    <row r="370" spans="2:3" x14ac:dyDescent="0.3">
      <c r="B370">
        <v>1268</v>
      </c>
      <c r="C370">
        <v>132000</v>
      </c>
    </row>
    <row r="371" spans="2:3" x14ac:dyDescent="0.3">
      <c r="B371">
        <v>1287</v>
      </c>
      <c r="C371">
        <v>162000</v>
      </c>
    </row>
    <row r="372" spans="2:3" x14ac:dyDescent="0.3">
      <c r="B372">
        <v>1664</v>
      </c>
      <c r="C372">
        <v>172400</v>
      </c>
    </row>
    <row r="373" spans="2:3" x14ac:dyDescent="0.3">
      <c r="B373">
        <v>1588</v>
      </c>
      <c r="C373">
        <v>134432</v>
      </c>
    </row>
    <row r="374" spans="2:3" x14ac:dyDescent="0.3">
      <c r="B374">
        <v>752</v>
      </c>
      <c r="C374">
        <v>125000</v>
      </c>
    </row>
    <row r="375" spans="2:3" x14ac:dyDescent="0.3">
      <c r="B375">
        <v>1319</v>
      </c>
      <c r="C375">
        <v>123000</v>
      </c>
    </row>
    <row r="376" spans="2:3" x14ac:dyDescent="0.3">
      <c r="B376">
        <v>1928</v>
      </c>
      <c r="C376">
        <v>219500</v>
      </c>
    </row>
    <row r="377" spans="2:3" x14ac:dyDescent="0.3">
      <c r="B377">
        <v>904</v>
      </c>
      <c r="C377">
        <v>61000</v>
      </c>
    </row>
    <row r="378" spans="2:3" x14ac:dyDescent="0.3">
      <c r="B378">
        <v>914</v>
      </c>
      <c r="C378">
        <v>148000</v>
      </c>
    </row>
    <row r="379" spans="2:3" x14ac:dyDescent="0.3">
      <c r="B379">
        <v>2466</v>
      </c>
      <c r="C379">
        <v>340000</v>
      </c>
    </row>
    <row r="380" spans="2:3" x14ac:dyDescent="0.3">
      <c r="B380">
        <v>1856</v>
      </c>
      <c r="C380">
        <v>394432</v>
      </c>
    </row>
    <row r="381" spans="2:3" x14ac:dyDescent="0.3">
      <c r="B381">
        <v>1800</v>
      </c>
      <c r="C381">
        <v>179000</v>
      </c>
    </row>
    <row r="382" spans="2:3" x14ac:dyDescent="0.3">
      <c r="B382">
        <v>1691</v>
      </c>
      <c r="C382">
        <v>127000</v>
      </c>
    </row>
    <row r="383" spans="2:3" x14ac:dyDescent="0.3">
      <c r="B383">
        <v>1301</v>
      </c>
      <c r="C383">
        <v>187750</v>
      </c>
    </row>
    <row r="384" spans="2:3" x14ac:dyDescent="0.3">
      <c r="B384">
        <v>1797</v>
      </c>
      <c r="C384">
        <v>213500</v>
      </c>
    </row>
    <row r="385" spans="2:3" x14ac:dyDescent="0.3">
      <c r="B385">
        <v>784</v>
      </c>
      <c r="C385">
        <v>76000</v>
      </c>
    </row>
    <row r="386" spans="2:3" x14ac:dyDescent="0.3">
      <c r="B386">
        <v>1953</v>
      </c>
      <c r="C386">
        <v>240000</v>
      </c>
    </row>
    <row r="387" spans="2:3" x14ac:dyDescent="0.3">
      <c r="B387">
        <v>1269</v>
      </c>
      <c r="C387">
        <v>192000</v>
      </c>
    </row>
    <row r="388" spans="2:3" x14ac:dyDescent="0.3">
      <c r="B388">
        <v>1184</v>
      </c>
      <c r="C388">
        <v>81000</v>
      </c>
    </row>
    <row r="389" spans="2:3" x14ac:dyDescent="0.3">
      <c r="B389">
        <v>1125</v>
      </c>
      <c r="C389">
        <v>125000</v>
      </c>
    </row>
    <row r="390" spans="2:3" x14ac:dyDescent="0.3">
      <c r="B390">
        <v>1479</v>
      </c>
      <c r="C390">
        <v>191000</v>
      </c>
    </row>
    <row r="391" spans="2:3" x14ac:dyDescent="0.3">
      <c r="B391">
        <v>2332</v>
      </c>
      <c r="C391">
        <v>426000</v>
      </c>
    </row>
    <row r="392" spans="2:3" x14ac:dyDescent="0.3">
      <c r="B392">
        <v>1367</v>
      </c>
      <c r="C392">
        <v>119000</v>
      </c>
    </row>
    <row r="393" spans="2:3" x14ac:dyDescent="0.3">
      <c r="B393">
        <v>1961</v>
      </c>
      <c r="C393">
        <v>215000</v>
      </c>
    </row>
    <row r="394" spans="2:3" x14ac:dyDescent="0.3">
      <c r="B394">
        <v>882</v>
      </c>
      <c r="C394">
        <v>106500</v>
      </c>
    </row>
    <row r="395" spans="2:3" x14ac:dyDescent="0.3">
      <c r="B395">
        <v>788</v>
      </c>
      <c r="C395">
        <v>100000</v>
      </c>
    </row>
    <row r="396" spans="2:3" x14ac:dyDescent="0.3">
      <c r="B396">
        <v>1034</v>
      </c>
      <c r="C396">
        <v>109000</v>
      </c>
    </row>
    <row r="397" spans="2:3" x14ac:dyDescent="0.3">
      <c r="B397">
        <v>1144</v>
      </c>
      <c r="C397">
        <v>129000</v>
      </c>
    </row>
    <row r="398" spans="2:3" x14ac:dyDescent="0.3">
      <c r="B398">
        <v>894</v>
      </c>
      <c r="C398">
        <v>123000</v>
      </c>
    </row>
    <row r="399" spans="2:3" x14ac:dyDescent="0.3">
      <c r="B399">
        <v>1812</v>
      </c>
      <c r="C399">
        <v>169500</v>
      </c>
    </row>
    <row r="400" spans="2:3" x14ac:dyDescent="0.3">
      <c r="B400">
        <v>1077</v>
      </c>
      <c r="C400">
        <v>67000</v>
      </c>
    </row>
    <row r="401" spans="2:3" x14ac:dyDescent="0.3">
      <c r="B401">
        <v>1550</v>
      </c>
      <c r="C401">
        <v>241000</v>
      </c>
    </row>
    <row r="402" spans="2:3" x14ac:dyDescent="0.3">
      <c r="B402">
        <v>1288</v>
      </c>
      <c r="C402">
        <v>245500</v>
      </c>
    </row>
    <row r="403" spans="2:3" x14ac:dyDescent="0.3">
      <c r="B403">
        <v>1310</v>
      </c>
      <c r="C403">
        <v>164990</v>
      </c>
    </row>
    <row r="404" spans="2:3" x14ac:dyDescent="0.3">
      <c r="B404">
        <v>672</v>
      </c>
      <c r="C404">
        <v>108000</v>
      </c>
    </row>
    <row r="405" spans="2:3" x14ac:dyDescent="0.3">
      <c r="B405">
        <v>2263</v>
      </c>
      <c r="C405">
        <v>258000</v>
      </c>
    </row>
    <row r="406" spans="2:3" x14ac:dyDescent="0.3">
      <c r="B406">
        <v>1572</v>
      </c>
      <c r="C406">
        <v>168000</v>
      </c>
    </row>
    <row r="407" spans="2:3" x14ac:dyDescent="0.3">
      <c r="B407">
        <v>1620</v>
      </c>
      <c r="C407">
        <v>150000</v>
      </c>
    </row>
    <row r="408" spans="2:3" x14ac:dyDescent="0.3">
      <c r="B408">
        <v>1639</v>
      </c>
      <c r="C408">
        <v>115000</v>
      </c>
    </row>
    <row r="409" spans="2:3" x14ac:dyDescent="0.3">
      <c r="B409">
        <v>1680</v>
      </c>
      <c r="C409">
        <v>177000</v>
      </c>
    </row>
    <row r="410" spans="2:3" x14ac:dyDescent="0.3">
      <c r="B410">
        <v>2172</v>
      </c>
      <c r="C410">
        <v>280000</v>
      </c>
    </row>
    <row r="411" spans="2:3" x14ac:dyDescent="0.3">
      <c r="B411">
        <v>2078</v>
      </c>
      <c r="C411">
        <v>339750</v>
      </c>
    </row>
    <row r="412" spans="2:3" x14ac:dyDescent="0.3">
      <c r="B412">
        <v>1276</v>
      </c>
      <c r="C412">
        <v>60000</v>
      </c>
    </row>
    <row r="413" spans="2:3" x14ac:dyDescent="0.3">
      <c r="B413">
        <v>1056</v>
      </c>
      <c r="C413">
        <v>145000</v>
      </c>
    </row>
    <row r="414" spans="2:3" x14ac:dyDescent="0.3">
      <c r="B414">
        <v>1478</v>
      </c>
      <c r="C414">
        <v>222000</v>
      </c>
    </row>
    <row r="415" spans="2:3" x14ac:dyDescent="0.3">
      <c r="B415">
        <v>1028</v>
      </c>
      <c r="C415">
        <v>115000</v>
      </c>
    </row>
    <row r="416" spans="2:3" x14ac:dyDescent="0.3">
      <c r="B416">
        <v>2097</v>
      </c>
      <c r="C416">
        <v>228000</v>
      </c>
    </row>
    <row r="417" spans="2:3" x14ac:dyDescent="0.3">
      <c r="B417">
        <v>1340</v>
      </c>
      <c r="C417">
        <v>181134</v>
      </c>
    </row>
    <row r="418" spans="2:3" x14ac:dyDescent="0.3">
      <c r="B418">
        <v>1400</v>
      </c>
      <c r="C418">
        <v>149500</v>
      </c>
    </row>
    <row r="419" spans="2:3" x14ac:dyDescent="0.3">
      <c r="B419">
        <v>2624</v>
      </c>
      <c r="C419">
        <v>239000</v>
      </c>
    </row>
    <row r="420" spans="2:3" x14ac:dyDescent="0.3">
      <c r="B420">
        <v>1134</v>
      </c>
      <c r="C420">
        <v>126000</v>
      </c>
    </row>
    <row r="421" spans="2:3" x14ac:dyDescent="0.3">
      <c r="B421">
        <v>1056</v>
      </c>
      <c r="C421">
        <v>142000</v>
      </c>
    </row>
    <row r="422" spans="2:3" x14ac:dyDescent="0.3">
      <c r="B422">
        <v>1344</v>
      </c>
      <c r="C422">
        <v>206300</v>
      </c>
    </row>
    <row r="423" spans="2:3" x14ac:dyDescent="0.3">
      <c r="B423">
        <v>1602</v>
      </c>
      <c r="C423">
        <v>215000</v>
      </c>
    </row>
    <row r="424" spans="2:3" x14ac:dyDescent="0.3">
      <c r="B424">
        <v>988</v>
      </c>
      <c r="C424">
        <v>113000</v>
      </c>
    </row>
    <row r="425" spans="2:3" x14ac:dyDescent="0.3">
      <c r="B425">
        <v>2630</v>
      </c>
      <c r="C425">
        <v>315000</v>
      </c>
    </row>
    <row r="426" spans="2:3" x14ac:dyDescent="0.3">
      <c r="B426">
        <v>1196</v>
      </c>
      <c r="C426">
        <v>139000</v>
      </c>
    </row>
    <row r="427" spans="2:3" x14ac:dyDescent="0.3">
      <c r="B427">
        <v>1389</v>
      </c>
      <c r="C427">
        <v>135000</v>
      </c>
    </row>
    <row r="428" spans="2:3" x14ac:dyDescent="0.3">
      <c r="B428">
        <v>1644</v>
      </c>
      <c r="C428">
        <v>275000</v>
      </c>
    </row>
    <row r="429" spans="2:3" x14ac:dyDescent="0.3">
      <c r="B429">
        <v>907</v>
      </c>
      <c r="C429">
        <v>109008</v>
      </c>
    </row>
    <row r="430" spans="2:3" x14ac:dyDescent="0.3">
      <c r="B430">
        <v>1208</v>
      </c>
      <c r="C430">
        <v>195400</v>
      </c>
    </row>
    <row r="431" spans="2:3" x14ac:dyDescent="0.3">
      <c r="B431">
        <v>1412</v>
      </c>
      <c r="C431">
        <v>175000</v>
      </c>
    </row>
    <row r="432" spans="2:3" x14ac:dyDescent="0.3">
      <c r="B432">
        <v>987</v>
      </c>
      <c r="C432">
        <v>85400</v>
      </c>
    </row>
    <row r="433" spans="2:3" x14ac:dyDescent="0.3">
      <c r="B433">
        <v>1198</v>
      </c>
      <c r="C433">
        <v>79900</v>
      </c>
    </row>
    <row r="434" spans="2:3" x14ac:dyDescent="0.3">
      <c r="B434">
        <v>1365</v>
      </c>
      <c r="C434">
        <v>122500</v>
      </c>
    </row>
    <row r="435" spans="2:3" x14ac:dyDescent="0.3">
      <c r="B435">
        <v>1604</v>
      </c>
      <c r="C435">
        <v>181000</v>
      </c>
    </row>
    <row r="436" spans="2:3" x14ac:dyDescent="0.3">
      <c r="B436">
        <v>630</v>
      </c>
      <c r="C436">
        <v>81000</v>
      </c>
    </row>
    <row r="437" spans="2:3" x14ac:dyDescent="0.3">
      <c r="B437">
        <v>1661</v>
      </c>
      <c r="C437">
        <v>212000</v>
      </c>
    </row>
    <row r="438" spans="2:3" x14ac:dyDescent="0.3">
      <c r="B438">
        <v>1118</v>
      </c>
      <c r="C438">
        <v>116000</v>
      </c>
    </row>
    <row r="439" spans="2:3" x14ac:dyDescent="0.3">
      <c r="B439">
        <v>904</v>
      </c>
      <c r="C439">
        <v>119000</v>
      </c>
    </row>
    <row r="440" spans="2:3" x14ac:dyDescent="0.3">
      <c r="B440">
        <v>694</v>
      </c>
      <c r="C440">
        <v>90350</v>
      </c>
    </row>
    <row r="441" spans="2:3" x14ac:dyDescent="0.3">
      <c r="B441">
        <v>1196</v>
      </c>
      <c r="C441">
        <v>110000</v>
      </c>
    </row>
    <row r="442" spans="2:3" x14ac:dyDescent="0.3">
      <c r="B442">
        <v>2402</v>
      </c>
      <c r="C442">
        <v>555000</v>
      </c>
    </row>
    <row r="443" spans="2:3" x14ac:dyDescent="0.3">
      <c r="B443">
        <v>1440</v>
      </c>
      <c r="C443">
        <v>118000</v>
      </c>
    </row>
    <row r="444" spans="2:3" x14ac:dyDescent="0.3">
      <c r="B444">
        <v>1573</v>
      </c>
      <c r="C444">
        <v>162900</v>
      </c>
    </row>
    <row r="445" spans="2:3" x14ac:dyDescent="0.3">
      <c r="B445">
        <v>1258</v>
      </c>
      <c r="C445">
        <v>172500</v>
      </c>
    </row>
    <row r="446" spans="2:3" x14ac:dyDescent="0.3">
      <c r="B446">
        <v>1908</v>
      </c>
      <c r="C446">
        <v>210000</v>
      </c>
    </row>
    <row r="447" spans="2:3" x14ac:dyDescent="0.3">
      <c r="B447">
        <v>1689</v>
      </c>
      <c r="C447">
        <v>127500</v>
      </c>
    </row>
    <row r="448" spans="2:3" x14ac:dyDescent="0.3">
      <c r="B448">
        <v>1888</v>
      </c>
      <c r="C448">
        <v>190000</v>
      </c>
    </row>
    <row r="449" spans="2:3" x14ac:dyDescent="0.3">
      <c r="B449">
        <v>1886</v>
      </c>
      <c r="C449">
        <v>199900</v>
      </c>
    </row>
    <row r="450" spans="2:3" x14ac:dyDescent="0.3">
      <c r="B450">
        <v>1376</v>
      </c>
      <c r="C450">
        <v>119500</v>
      </c>
    </row>
    <row r="451" spans="2:3" x14ac:dyDescent="0.3">
      <c r="B451">
        <v>1183</v>
      </c>
      <c r="C451">
        <v>120000</v>
      </c>
    </row>
    <row r="452" spans="2:3" x14ac:dyDescent="0.3">
      <c r="B452">
        <v>813</v>
      </c>
      <c r="C452">
        <v>110000</v>
      </c>
    </row>
    <row r="453" spans="2:3" x14ac:dyDescent="0.3">
      <c r="B453">
        <v>1533</v>
      </c>
      <c r="C453">
        <v>280000</v>
      </c>
    </row>
    <row r="454" spans="2:3" x14ac:dyDescent="0.3">
      <c r="B454">
        <v>1756</v>
      </c>
      <c r="C454">
        <v>204000</v>
      </c>
    </row>
    <row r="455" spans="2:3" x14ac:dyDescent="0.3">
      <c r="B455">
        <v>1590</v>
      </c>
      <c r="C455">
        <v>210000</v>
      </c>
    </row>
    <row r="456" spans="2:3" x14ac:dyDescent="0.3">
      <c r="B456">
        <v>1728</v>
      </c>
      <c r="C456">
        <v>188000</v>
      </c>
    </row>
    <row r="457" spans="2:3" x14ac:dyDescent="0.3">
      <c r="B457">
        <v>1242</v>
      </c>
      <c r="C457">
        <v>175500</v>
      </c>
    </row>
    <row r="458" spans="2:3" x14ac:dyDescent="0.3">
      <c r="B458">
        <v>1344</v>
      </c>
      <c r="C458">
        <v>98000</v>
      </c>
    </row>
    <row r="459" spans="2:3" x14ac:dyDescent="0.3">
      <c r="B459">
        <v>1663</v>
      </c>
      <c r="C459">
        <v>256000</v>
      </c>
    </row>
    <row r="460" spans="2:3" x14ac:dyDescent="0.3">
      <c r="B460">
        <v>1666</v>
      </c>
      <c r="C460">
        <v>161000</v>
      </c>
    </row>
    <row r="461" spans="2:3" x14ac:dyDescent="0.3">
      <c r="B461">
        <v>1203</v>
      </c>
      <c r="C461">
        <v>110000</v>
      </c>
    </row>
    <row r="462" spans="2:3" x14ac:dyDescent="0.3">
      <c r="B462">
        <v>1935</v>
      </c>
      <c r="C462">
        <v>263435</v>
      </c>
    </row>
    <row r="463" spans="2:3" x14ac:dyDescent="0.3">
      <c r="B463">
        <v>1135</v>
      </c>
      <c r="C463">
        <v>155000</v>
      </c>
    </row>
    <row r="464" spans="2:3" x14ac:dyDescent="0.3">
      <c r="B464">
        <v>864</v>
      </c>
      <c r="C464">
        <v>62383</v>
      </c>
    </row>
    <row r="465" spans="2:3" x14ac:dyDescent="0.3">
      <c r="B465">
        <v>1660</v>
      </c>
      <c r="C465">
        <v>188700</v>
      </c>
    </row>
    <row r="466" spans="2:3" x14ac:dyDescent="0.3">
      <c r="B466">
        <v>1040</v>
      </c>
      <c r="C466">
        <v>124000</v>
      </c>
    </row>
    <row r="467" spans="2:3" x14ac:dyDescent="0.3">
      <c r="B467">
        <v>1414</v>
      </c>
      <c r="C467">
        <v>178740</v>
      </c>
    </row>
    <row r="468" spans="2:3" x14ac:dyDescent="0.3">
      <c r="B468">
        <v>1277</v>
      </c>
      <c r="C468">
        <v>167000</v>
      </c>
    </row>
    <row r="469" spans="2:3" x14ac:dyDescent="0.3">
      <c r="B469">
        <v>1644</v>
      </c>
      <c r="C469">
        <v>146500</v>
      </c>
    </row>
    <row r="470" spans="2:3" x14ac:dyDescent="0.3">
      <c r="B470">
        <v>1634</v>
      </c>
      <c r="C470">
        <v>250000</v>
      </c>
    </row>
    <row r="471" spans="2:3" x14ac:dyDescent="0.3">
      <c r="B471">
        <v>1710</v>
      </c>
      <c r="C471">
        <v>187000</v>
      </c>
    </row>
    <row r="472" spans="2:3" x14ac:dyDescent="0.3">
      <c r="B472">
        <v>1502</v>
      </c>
      <c r="C472">
        <v>212000</v>
      </c>
    </row>
    <row r="473" spans="2:3" x14ac:dyDescent="0.3">
      <c r="B473">
        <v>1969</v>
      </c>
      <c r="C473">
        <v>190000</v>
      </c>
    </row>
    <row r="474" spans="2:3" x14ac:dyDescent="0.3">
      <c r="B474">
        <v>1072</v>
      </c>
      <c r="C474">
        <v>148000</v>
      </c>
    </row>
    <row r="475" spans="2:3" x14ac:dyDescent="0.3">
      <c r="B475">
        <v>1976</v>
      </c>
      <c r="C475">
        <v>440000</v>
      </c>
    </row>
    <row r="476" spans="2:3" x14ac:dyDescent="0.3">
      <c r="B476">
        <v>1652</v>
      </c>
      <c r="C476">
        <v>251000</v>
      </c>
    </row>
    <row r="477" spans="2:3" x14ac:dyDescent="0.3">
      <c r="B477">
        <v>970</v>
      </c>
      <c r="C477">
        <v>132500</v>
      </c>
    </row>
    <row r="478" spans="2:3" x14ac:dyDescent="0.3">
      <c r="B478">
        <v>1493</v>
      </c>
      <c r="C478">
        <v>208900</v>
      </c>
    </row>
    <row r="479" spans="2:3" x14ac:dyDescent="0.3">
      <c r="B479">
        <v>2643</v>
      </c>
      <c r="C479">
        <v>380000</v>
      </c>
    </row>
    <row r="480" spans="2:3" x14ac:dyDescent="0.3">
      <c r="B480">
        <v>1718</v>
      </c>
      <c r="C480">
        <v>297000</v>
      </c>
    </row>
    <row r="481" spans="2:3" x14ac:dyDescent="0.3">
      <c r="B481">
        <v>1131</v>
      </c>
      <c r="C481">
        <v>89471</v>
      </c>
    </row>
    <row r="482" spans="2:3" x14ac:dyDescent="0.3">
      <c r="B482">
        <v>1850</v>
      </c>
      <c r="C482">
        <v>326000</v>
      </c>
    </row>
    <row r="483" spans="2:3" x14ac:dyDescent="0.3">
      <c r="B483">
        <v>1792</v>
      </c>
      <c r="C483">
        <v>374000</v>
      </c>
    </row>
    <row r="484" spans="2:3" x14ac:dyDescent="0.3">
      <c r="B484">
        <v>1826</v>
      </c>
      <c r="C484">
        <v>155000</v>
      </c>
    </row>
    <row r="485" spans="2:3" x14ac:dyDescent="0.3">
      <c r="B485">
        <v>1216</v>
      </c>
      <c r="C485">
        <v>164000</v>
      </c>
    </row>
    <row r="486" spans="2:3" x14ac:dyDescent="0.3">
      <c r="B486">
        <v>999</v>
      </c>
      <c r="C486">
        <v>132500</v>
      </c>
    </row>
    <row r="487" spans="2:3" x14ac:dyDescent="0.3">
      <c r="B487">
        <v>1113</v>
      </c>
      <c r="C487">
        <v>147000</v>
      </c>
    </row>
    <row r="488" spans="2:3" x14ac:dyDescent="0.3">
      <c r="B488">
        <v>1073</v>
      </c>
      <c r="C488">
        <v>156000</v>
      </c>
    </row>
    <row r="489" spans="2:3" x14ac:dyDescent="0.3">
      <c r="B489">
        <v>1484</v>
      </c>
      <c r="C489">
        <v>175000</v>
      </c>
    </row>
    <row r="490" spans="2:3" x14ac:dyDescent="0.3">
      <c r="B490">
        <v>2414</v>
      </c>
      <c r="C490">
        <v>160000</v>
      </c>
    </row>
    <row r="491" spans="2:3" x14ac:dyDescent="0.3">
      <c r="B491">
        <v>630</v>
      </c>
      <c r="C491">
        <v>86000</v>
      </c>
    </row>
    <row r="492" spans="2:3" x14ac:dyDescent="0.3">
      <c r="B492">
        <v>1304</v>
      </c>
      <c r="C492">
        <v>115000</v>
      </c>
    </row>
    <row r="493" spans="2:3" x14ac:dyDescent="0.3">
      <c r="B493">
        <v>1578</v>
      </c>
      <c r="C493">
        <v>133000</v>
      </c>
    </row>
    <row r="494" spans="2:3" x14ac:dyDescent="0.3">
      <c r="B494">
        <v>1456</v>
      </c>
      <c r="C494">
        <v>172785</v>
      </c>
    </row>
    <row r="495" spans="2:3" x14ac:dyDescent="0.3">
      <c r="B495">
        <v>1269</v>
      </c>
      <c r="C495">
        <v>155000</v>
      </c>
    </row>
    <row r="496" spans="2:3" x14ac:dyDescent="0.3">
      <c r="B496">
        <v>886</v>
      </c>
      <c r="C496">
        <v>91300</v>
      </c>
    </row>
    <row r="497" spans="2:3" x14ac:dyDescent="0.3">
      <c r="B497">
        <v>720</v>
      </c>
      <c r="C497">
        <v>34900</v>
      </c>
    </row>
    <row r="498" spans="2:3" x14ac:dyDescent="0.3">
      <c r="B498">
        <v>3228</v>
      </c>
      <c r="C498">
        <v>430000</v>
      </c>
    </row>
    <row r="499" spans="2:3" x14ac:dyDescent="0.3">
      <c r="B499">
        <v>1820</v>
      </c>
      <c r="C499">
        <v>184000</v>
      </c>
    </row>
    <row r="500" spans="2:3" x14ac:dyDescent="0.3">
      <c r="B500">
        <v>899</v>
      </c>
      <c r="C500">
        <v>130000</v>
      </c>
    </row>
    <row r="501" spans="2:3" x14ac:dyDescent="0.3">
      <c r="B501">
        <v>912</v>
      </c>
      <c r="C501">
        <v>120000</v>
      </c>
    </row>
    <row r="502" spans="2:3" x14ac:dyDescent="0.3">
      <c r="B502">
        <v>1218</v>
      </c>
      <c r="C502">
        <v>113000</v>
      </c>
    </row>
    <row r="503" spans="2:3" x14ac:dyDescent="0.3">
      <c r="B503">
        <v>1768</v>
      </c>
      <c r="C503">
        <v>226700</v>
      </c>
    </row>
    <row r="504" spans="2:3" x14ac:dyDescent="0.3">
      <c r="B504">
        <v>1214</v>
      </c>
      <c r="C504">
        <v>140000</v>
      </c>
    </row>
    <row r="505" spans="2:3" x14ac:dyDescent="0.3">
      <c r="B505">
        <v>1801</v>
      </c>
      <c r="C505">
        <v>289000</v>
      </c>
    </row>
    <row r="506" spans="2:3" x14ac:dyDescent="0.3">
      <c r="B506">
        <v>1322</v>
      </c>
      <c r="C506">
        <v>147000</v>
      </c>
    </row>
    <row r="507" spans="2:3" x14ac:dyDescent="0.3">
      <c r="B507">
        <v>1960</v>
      </c>
      <c r="C507">
        <v>124500</v>
      </c>
    </row>
    <row r="508" spans="2:3" x14ac:dyDescent="0.3">
      <c r="B508">
        <v>1911</v>
      </c>
      <c r="C508">
        <v>215000</v>
      </c>
    </row>
    <row r="509" spans="2:3" x14ac:dyDescent="0.3">
      <c r="B509">
        <v>1218</v>
      </c>
      <c r="C509">
        <v>208300</v>
      </c>
    </row>
    <row r="510" spans="2:3" x14ac:dyDescent="0.3">
      <c r="B510">
        <v>1378</v>
      </c>
      <c r="C510">
        <v>161000</v>
      </c>
    </row>
    <row r="511" spans="2:3" x14ac:dyDescent="0.3">
      <c r="B511">
        <v>1041</v>
      </c>
      <c r="C511">
        <v>124500</v>
      </c>
    </row>
    <row r="512" spans="2:3" x14ac:dyDescent="0.3">
      <c r="B512">
        <v>1363</v>
      </c>
      <c r="C512">
        <v>164900</v>
      </c>
    </row>
    <row r="513" spans="2:3" x14ac:dyDescent="0.3">
      <c r="B513">
        <v>1368</v>
      </c>
      <c r="C513">
        <v>202665</v>
      </c>
    </row>
    <row r="514" spans="2:3" x14ac:dyDescent="0.3">
      <c r="B514">
        <v>864</v>
      </c>
      <c r="C514">
        <v>129900</v>
      </c>
    </row>
    <row r="515" spans="2:3" x14ac:dyDescent="0.3">
      <c r="B515">
        <v>1080</v>
      </c>
      <c r="C515">
        <v>134000</v>
      </c>
    </row>
    <row r="516" spans="2:3" x14ac:dyDescent="0.3">
      <c r="B516">
        <v>789</v>
      </c>
      <c r="C516">
        <v>96500</v>
      </c>
    </row>
    <row r="517" spans="2:3" x14ac:dyDescent="0.3">
      <c r="B517">
        <v>2020</v>
      </c>
      <c r="C517">
        <v>402861</v>
      </c>
    </row>
    <row r="518" spans="2:3" x14ac:dyDescent="0.3">
      <c r="B518">
        <v>2119</v>
      </c>
      <c r="C518">
        <v>158000</v>
      </c>
    </row>
    <row r="519" spans="2:3" x14ac:dyDescent="0.3">
      <c r="B519">
        <v>2344</v>
      </c>
      <c r="C519">
        <v>265000</v>
      </c>
    </row>
    <row r="520" spans="2:3" x14ac:dyDescent="0.3">
      <c r="B520">
        <v>1796</v>
      </c>
      <c r="C520">
        <v>211000</v>
      </c>
    </row>
    <row r="521" spans="2:3" x14ac:dyDescent="0.3">
      <c r="B521">
        <v>2080</v>
      </c>
      <c r="C521">
        <v>234000</v>
      </c>
    </row>
    <row r="522" spans="2:3" x14ac:dyDescent="0.3">
      <c r="B522">
        <v>1294</v>
      </c>
      <c r="C522">
        <v>106250</v>
      </c>
    </row>
    <row r="523" spans="2:3" x14ac:dyDescent="0.3">
      <c r="B523">
        <v>1244</v>
      </c>
      <c r="C523">
        <v>150000</v>
      </c>
    </row>
    <row r="524" spans="2:3" x14ac:dyDescent="0.3">
      <c r="B524">
        <v>1664</v>
      </c>
      <c r="C524">
        <v>159000</v>
      </c>
    </row>
    <row r="525" spans="2:3" x14ac:dyDescent="0.3">
      <c r="B525">
        <v>4676</v>
      </c>
      <c r="C525">
        <v>184750</v>
      </c>
    </row>
    <row r="526" spans="2:3" x14ac:dyDescent="0.3">
      <c r="B526">
        <v>2398</v>
      </c>
      <c r="C526">
        <v>315750</v>
      </c>
    </row>
    <row r="527" spans="2:3" x14ac:dyDescent="0.3">
      <c r="B527">
        <v>1266</v>
      </c>
      <c r="C527">
        <v>176000</v>
      </c>
    </row>
    <row r="528" spans="2:3" x14ac:dyDescent="0.3">
      <c r="B528">
        <v>928</v>
      </c>
      <c r="C528">
        <v>132000</v>
      </c>
    </row>
    <row r="529" spans="2:3" x14ac:dyDescent="0.3">
      <c r="B529">
        <v>2713</v>
      </c>
      <c r="C529">
        <v>446261</v>
      </c>
    </row>
    <row r="530" spans="2:3" x14ac:dyDescent="0.3">
      <c r="B530">
        <v>605</v>
      </c>
      <c r="C530">
        <v>86000</v>
      </c>
    </row>
    <row r="531" spans="2:3" x14ac:dyDescent="0.3">
      <c r="B531">
        <v>2515</v>
      </c>
      <c r="C531">
        <v>200624</v>
      </c>
    </row>
    <row r="532" spans="2:3" x14ac:dyDescent="0.3">
      <c r="B532">
        <v>1509</v>
      </c>
      <c r="C532">
        <v>175000</v>
      </c>
    </row>
    <row r="533" spans="2:3" x14ac:dyDescent="0.3">
      <c r="B533">
        <v>1362</v>
      </c>
      <c r="C533">
        <v>128000</v>
      </c>
    </row>
    <row r="534" spans="2:3" x14ac:dyDescent="0.3">
      <c r="B534">
        <v>827</v>
      </c>
      <c r="C534">
        <v>107500</v>
      </c>
    </row>
    <row r="535" spans="2:3" x14ac:dyDescent="0.3">
      <c r="B535">
        <v>334</v>
      </c>
      <c r="C535">
        <v>39300</v>
      </c>
    </row>
    <row r="536" spans="2:3" x14ac:dyDescent="0.3">
      <c r="B536">
        <v>1414</v>
      </c>
      <c r="C536">
        <v>178000</v>
      </c>
    </row>
    <row r="537" spans="2:3" x14ac:dyDescent="0.3">
      <c r="B537">
        <v>1347</v>
      </c>
      <c r="C537">
        <v>107500</v>
      </c>
    </row>
    <row r="538" spans="2:3" x14ac:dyDescent="0.3">
      <c r="B538">
        <v>1724</v>
      </c>
      <c r="C538">
        <v>188000</v>
      </c>
    </row>
    <row r="539" spans="2:3" x14ac:dyDescent="0.3">
      <c r="B539">
        <v>864</v>
      </c>
      <c r="C539">
        <v>111250</v>
      </c>
    </row>
    <row r="540" spans="2:3" x14ac:dyDescent="0.3">
      <c r="B540">
        <v>1159</v>
      </c>
      <c r="C540">
        <v>158000</v>
      </c>
    </row>
    <row r="541" spans="2:3" x14ac:dyDescent="0.3">
      <c r="B541">
        <v>1601</v>
      </c>
      <c r="C541">
        <v>272000</v>
      </c>
    </row>
    <row r="542" spans="2:3" x14ac:dyDescent="0.3">
      <c r="B542">
        <v>1838</v>
      </c>
      <c r="C542">
        <v>315000</v>
      </c>
    </row>
    <row r="543" spans="2:3" x14ac:dyDescent="0.3">
      <c r="B543">
        <v>2285</v>
      </c>
      <c r="C543">
        <v>248000</v>
      </c>
    </row>
    <row r="544" spans="2:3" x14ac:dyDescent="0.3">
      <c r="B544">
        <v>1680</v>
      </c>
      <c r="C544">
        <v>213250</v>
      </c>
    </row>
    <row r="545" spans="2:3" x14ac:dyDescent="0.3">
      <c r="B545">
        <v>767</v>
      </c>
      <c r="C545">
        <v>133000</v>
      </c>
    </row>
    <row r="546" spans="2:3" x14ac:dyDescent="0.3">
      <c r="B546">
        <v>1496</v>
      </c>
      <c r="C546">
        <v>179665</v>
      </c>
    </row>
    <row r="547" spans="2:3" x14ac:dyDescent="0.3">
      <c r="B547">
        <v>2183</v>
      </c>
      <c r="C547">
        <v>229000</v>
      </c>
    </row>
    <row r="548" spans="2:3" x14ac:dyDescent="0.3">
      <c r="B548">
        <v>1635</v>
      </c>
      <c r="C548">
        <v>210000</v>
      </c>
    </row>
    <row r="549" spans="2:3" x14ac:dyDescent="0.3">
      <c r="B549">
        <v>768</v>
      </c>
      <c r="C549">
        <v>129500</v>
      </c>
    </row>
    <row r="550" spans="2:3" x14ac:dyDescent="0.3">
      <c r="B550">
        <v>825</v>
      </c>
      <c r="C550">
        <v>125000</v>
      </c>
    </row>
    <row r="551" spans="2:3" x14ac:dyDescent="0.3">
      <c r="B551">
        <v>2094</v>
      </c>
      <c r="C551">
        <v>263000</v>
      </c>
    </row>
    <row r="552" spans="2:3" x14ac:dyDescent="0.3">
      <c r="B552">
        <v>1069</v>
      </c>
      <c r="C552">
        <v>140000</v>
      </c>
    </row>
    <row r="553" spans="2:3" x14ac:dyDescent="0.3">
      <c r="B553">
        <v>928</v>
      </c>
      <c r="C553">
        <v>112500</v>
      </c>
    </row>
    <row r="554" spans="2:3" x14ac:dyDescent="0.3">
      <c r="B554">
        <v>1717</v>
      </c>
      <c r="C554">
        <v>255500</v>
      </c>
    </row>
    <row r="555" spans="2:3" x14ac:dyDescent="0.3">
      <c r="B555">
        <v>1126</v>
      </c>
      <c r="C555">
        <v>108000</v>
      </c>
    </row>
    <row r="556" spans="2:3" x14ac:dyDescent="0.3">
      <c r="B556">
        <v>2046</v>
      </c>
      <c r="C556">
        <v>284000</v>
      </c>
    </row>
    <row r="557" spans="2:3" x14ac:dyDescent="0.3">
      <c r="B557">
        <v>1048</v>
      </c>
      <c r="C557">
        <v>113000</v>
      </c>
    </row>
    <row r="558" spans="2:3" x14ac:dyDescent="0.3">
      <c r="B558">
        <v>1092</v>
      </c>
      <c r="C558">
        <v>141000</v>
      </c>
    </row>
    <row r="559" spans="2:3" x14ac:dyDescent="0.3">
      <c r="B559">
        <v>1336</v>
      </c>
      <c r="C559">
        <v>108000</v>
      </c>
    </row>
    <row r="560" spans="2:3" x14ac:dyDescent="0.3">
      <c r="B560">
        <v>1446</v>
      </c>
      <c r="C560">
        <v>175000</v>
      </c>
    </row>
    <row r="561" spans="2:3" x14ac:dyDescent="0.3">
      <c r="B561">
        <v>1557</v>
      </c>
      <c r="C561">
        <v>234000</v>
      </c>
    </row>
    <row r="562" spans="2:3" x14ac:dyDescent="0.3">
      <c r="B562">
        <v>1392</v>
      </c>
      <c r="C562">
        <v>121500</v>
      </c>
    </row>
    <row r="563" spans="2:3" x14ac:dyDescent="0.3">
      <c r="B563">
        <v>1389</v>
      </c>
      <c r="C563">
        <v>170000</v>
      </c>
    </row>
    <row r="564" spans="2:3" x14ac:dyDescent="0.3">
      <c r="B564">
        <v>996</v>
      </c>
      <c r="C564">
        <v>108000</v>
      </c>
    </row>
    <row r="565" spans="2:3" x14ac:dyDescent="0.3">
      <c r="B565">
        <v>1674</v>
      </c>
      <c r="C565">
        <v>185000</v>
      </c>
    </row>
    <row r="566" spans="2:3" x14ac:dyDescent="0.3">
      <c r="B566">
        <v>2295</v>
      </c>
      <c r="C566">
        <v>268000</v>
      </c>
    </row>
    <row r="567" spans="2:3" x14ac:dyDescent="0.3">
      <c r="B567">
        <v>1647</v>
      </c>
      <c r="C567">
        <v>128000</v>
      </c>
    </row>
    <row r="568" spans="2:3" x14ac:dyDescent="0.3">
      <c r="B568">
        <v>2504</v>
      </c>
      <c r="C568">
        <v>325000</v>
      </c>
    </row>
    <row r="569" spans="2:3" x14ac:dyDescent="0.3">
      <c r="B569">
        <v>1535</v>
      </c>
      <c r="C569">
        <v>214000</v>
      </c>
    </row>
    <row r="570" spans="2:3" x14ac:dyDescent="0.3">
      <c r="B570">
        <v>2132</v>
      </c>
      <c r="C570">
        <v>316600</v>
      </c>
    </row>
    <row r="571" spans="2:3" x14ac:dyDescent="0.3">
      <c r="B571">
        <v>943</v>
      </c>
      <c r="C571">
        <v>135960</v>
      </c>
    </row>
    <row r="572" spans="2:3" x14ac:dyDescent="0.3">
      <c r="B572">
        <v>1728</v>
      </c>
      <c r="C572">
        <v>142600</v>
      </c>
    </row>
    <row r="573" spans="2:3" x14ac:dyDescent="0.3">
      <c r="B573">
        <v>864</v>
      </c>
      <c r="C573">
        <v>120000</v>
      </c>
    </row>
    <row r="574" spans="2:3" x14ac:dyDescent="0.3">
      <c r="B574">
        <v>1692</v>
      </c>
      <c r="C574">
        <v>224500</v>
      </c>
    </row>
    <row r="575" spans="2:3" x14ac:dyDescent="0.3">
      <c r="B575">
        <v>1430</v>
      </c>
      <c r="C575">
        <v>170000</v>
      </c>
    </row>
    <row r="576" spans="2:3" x14ac:dyDescent="0.3">
      <c r="B576">
        <v>1109</v>
      </c>
      <c r="C576">
        <v>139000</v>
      </c>
    </row>
    <row r="577" spans="2:3" x14ac:dyDescent="0.3">
      <c r="B577">
        <v>1216</v>
      </c>
      <c r="C577">
        <v>118500</v>
      </c>
    </row>
    <row r="578" spans="2:3" x14ac:dyDescent="0.3">
      <c r="B578">
        <v>1477</v>
      </c>
      <c r="C578">
        <v>145000</v>
      </c>
    </row>
    <row r="579" spans="2:3" x14ac:dyDescent="0.3">
      <c r="B579">
        <v>1320</v>
      </c>
      <c r="C579">
        <v>164500</v>
      </c>
    </row>
    <row r="580" spans="2:3" x14ac:dyDescent="0.3">
      <c r="B580">
        <v>1392</v>
      </c>
      <c r="C580">
        <v>146000</v>
      </c>
    </row>
    <row r="581" spans="2:3" x14ac:dyDescent="0.3">
      <c r="B581">
        <v>1795</v>
      </c>
      <c r="C581">
        <v>131500</v>
      </c>
    </row>
    <row r="582" spans="2:3" x14ac:dyDescent="0.3">
      <c r="B582">
        <v>1429</v>
      </c>
      <c r="C582">
        <v>181900</v>
      </c>
    </row>
    <row r="583" spans="2:3" x14ac:dyDescent="0.3">
      <c r="B583">
        <v>2042</v>
      </c>
      <c r="C583">
        <v>253293</v>
      </c>
    </row>
    <row r="584" spans="2:3" x14ac:dyDescent="0.3">
      <c r="B584">
        <v>816</v>
      </c>
      <c r="C584">
        <v>118500</v>
      </c>
    </row>
    <row r="585" spans="2:3" x14ac:dyDescent="0.3">
      <c r="B585">
        <v>2775</v>
      </c>
      <c r="C585">
        <v>325000</v>
      </c>
    </row>
    <row r="586" spans="2:3" x14ac:dyDescent="0.3">
      <c r="B586">
        <v>1573</v>
      </c>
      <c r="C586">
        <v>133000</v>
      </c>
    </row>
    <row r="587" spans="2:3" x14ac:dyDescent="0.3">
      <c r="B587">
        <v>2028</v>
      </c>
      <c r="C587">
        <v>369900</v>
      </c>
    </row>
    <row r="588" spans="2:3" x14ac:dyDescent="0.3">
      <c r="B588">
        <v>838</v>
      </c>
      <c r="C588">
        <v>130000</v>
      </c>
    </row>
    <row r="589" spans="2:3" x14ac:dyDescent="0.3">
      <c r="B589">
        <v>860</v>
      </c>
      <c r="C589">
        <v>137000</v>
      </c>
    </row>
    <row r="590" spans="2:3" x14ac:dyDescent="0.3">
      <c r="B590">
        <v>1473</v>
      </c>
      <c r="C590">
        <v>143000</v>
      </c>
    </row>
    <row r="591" spans="2:3" x14ac:dyDescent="0.3">
      <c r="B591">
        <v>935</v>
      </c>
      <c r="C591">
        <v>79500</v>
      </c>
    </row>
    <row r="592" spans="2:3" x14ac:dyDescent="0.3">
      <c r="B592">
        <v>1582</v>
      </c>
      <c r="C592">
        <v>185900</v>
      </c>
    </row>
    <row r="593" spans="2:3" x14ac:dyDescent="0.3">
      <c r="B593">
        <v>2296</v>
      </c>
      <c r="C593">
        <v>451950</v>
      </c>
    </row>
    <row r="594" spans="2:3" x14ac:dyDescent="0.3">
      <c r="B594">
        <v>816</v>
      </c>
      <c r="C594">
        <v>138000</v>
      </c>
    </row>
    <row r="595" spans="2:3" x14ac:dyDescent="0.3">
      <c r="B595">
        <v>848</v>
      </c>
      <c r="C595">
        <v>140000</v>
      </c>
    </row>
    <row r="596" spans="2:3" x14ac:dyDescent="0.3">
      <c r="B596">
        <v>924</v>
      </c>
      <c r="C596">
        <v>110000</v>
      </c>
    </row>
    <row r="597" spans="2:3" x14ac:dyDescent="0.3">
      <c r="B597">
        <v>1826</v>
      </c>
      <c r="C597">
        <v>319000</v>
      </c>
    </row>
    <row r="598" spans="2:3" x14ac:dyDescent="0.3">
      <c r="B598">
        <v>1368</v>
      </c>
      <c r="C598">
        <v>114504</v>
      </c>
    </row>
    <row r="599" spans="2:3" x14ac:dyDescent="0.3">
      <c r="B599">
        <v>1402</v>
      </c>
      <c r="C599">
        <v>194201</v>
      </c>
    </row>
    <row r="600" spans="2:3" x14ac:dyDescent="0.3">
      <c r="B600">
        <v>1647</v>
      </c>
      <c r="C600">
        <v>217500</v>
      </c>
    </row>
    <row r="601" spans="2:3" x14ac:dyDescent="0.3">
      <c r="B601">
        <v>1556</v>
      </c>
      <c r="C601">
        <v>151000</v>
      </c>
    </row>
    <row r="602" spans="2:3" x14ac:dyDescent="0.3">
      <c r="B602">
        <v>1904</v>
      </c>
      <c r="C602">
        <v>275000</v>
      </c>
    </row>
    <row r="603" spans="2:3" x14ac:dyDescent="0.3">
      <c r="B603">
        <v>1375</v>
      </c>
      <c r="C603">
        <v>141000</v>
      </c>
    </row>
    <row r="604" spans="2:3" x14ac:dyDescent="0.3">
      <c r="B604">
        <v>1915</v>
      </c>
      <c r="C604">
        <v>220000</v>
      </c>
    </row>
    <row r="605" spans="2:3" x14ac:dyDescent="0.3">
      <c r="B605">
        <v>1200</v>
      </c>
      <c r="C605">
        <v>151000</v>
      </c>
    </row>
    <row r="606" spans="2:3" x14ac:dyDescent="0.3">
      <c r="B606">
        <v>1494</v>
      </c>
      <c r="C606">
        <v>221000</v>
      </c>
    </row>
    <row r="607" spans="2:3" x14ac:dyDescent="0.3">
      <c r="B607">
        <v>1986</v>
      </c>
      <c r="C607">
        <v>205000</v>
      </c>
    </row>
    <row r="608" spans="2:3" x14ac:dyDescent="0.3">
      <c r="B608">
        <v>1040</v>
      </c>
      <c r="C608">
        <v>152000</v>
      </c>
    </row>
    <row r="609" spans="2:3" x14ac:dyDescent="0.3">
      <c r="B609">
        <v>2008</v>
      </c>
      <c r="C609">
        <v>225000</v>
      </c>
    </row>
    <row r="610" spans="2:3" x14ac:dyDescent="0.3">
      <c r="B610">
        <v>3194</v>
      </c>
      <c r="C610">
        <v>359100</v>
      </c>
    </row>
    <row r="611" spans="2:3" x14ac:dyDescent="0.3">
      <c r="B611">
        <v>1029</v>
      </c>
      <c r="C611">
        <v>118500</v>
      </c>
    </row>
    <row r="612" spans="2:3" x14ac:dyDescent="0.3">
      <c r="B612">
        <v>2153</v>
      </c>
      <c r="C612">
        <v>313000</v>
      </c>
    </row>
    <row r="613" spans="2:3" x14ac:dyDescent="0.3">
      <c r="B613">
        <v>1032</v>
      </c>
      <c r="C613">
        <v>148000</v>
      </c>
    </row>
    <row r="614" spans="2:3" x14ac:dyDescent="0.3">
      <c r="B614">
        <v>1872</v>
      </c>
      <c r="C614">
        <v>261500</v>
      </c>
    </row>
    <row r="615" spans="2:3" x14ac:dyDescent="0.3">
      <c r="B615">
        <v>1120</v>
      </c>
      <c r="C615">
        <v>147000</v>
      </c>
    </row>
    <row r="616" spans="2:3" x14ac:dyDescent="0.3">
      <c r="B616">
        <v>630</v>
      </c>
      <c r="C616">
        <v>75500</v>
      </c>
    </row>
    <row r="617" spans="2:3" x14ac:dyDescent="0.3">
      <c r="B617">
        <v>1054</v>
      </c>
      <c r="C617">
        <v>137500</v>
      </c>
    </row>
    <row r="618" spans="2:3" x14ac:dyDescent="0.3">
      <c r="B618">
        <v>1509</v>
      </c>
      <c r="C618">
        <v>183200</v>
      </c>
    </row>
    <row r="619" spans="2:3" x14ac:dyDescent="0.3">
      <c r="B619">
        <v>832</v>
      </c>
      <c r="C619">
        <v>105500</v>
      </c>
    </row>
    <row r="620" spans="2:3" x14ac:dyDescent="0.3">
      <c r="B620">
        <v>1828</v>
      </c>
      <c r="C620">
        <v>314813</v>
      </c>
    </row>
    <row r="621" spans="2:3" x14ac:dyDescent="0.3">
      <c r="B621">
        <v>2262</v>
      </c>
      <c r="C621">
        <v>305000</v>
      </c>
    </row>
    <row r="622" spans="2:3" x14ac:dyDescent="0.3">
      <c r="B622">
        <v>864</v>
      </c>
      <c r="C622">
        <v>67000</v>
      </c>
    </row>
    <row r="623" spans="2:3" x14ac:dyDescent="0.3">
      <c r="B623">
        <v>2614</v>
      </c>
      <c r="C623">
        <v>240000</v>
      </c>
    </row>
    <row r="624" spans="2:3" x14ac:dyDescent="0.3">
      <c r="B624">
        <v>980</v>
      </c>
      <c r="C624">
        <v>135000</v>
      </c>
    </row>
    <row r="625" spans="2:3" x14ac:dyDescent="0.3">
      <c r="B625">
        <v>1512</v>
      </c>
      <c r="C625">
        <v>168500</v>
      </c>
    </row>
    <row r="626" spans="2:3" x14ac:dyDescent="0.3">
      <c r="B626">
        <v>1790</v>
      </c>
      <c r="C626">
        <v>165150</v>
      </c>
    </row>
    <row r="627" spans="2:3" x14ac:dyDescent="0.3">
      <c r="B627">
        <v>1116</v>
      </c>
      <c r="C627">
        <v>160000</v>
      </c>
    </row>
    <row r="628" spans="2:3" x14ac:dyDescent="0.3">
      <c r="B628">
        <v>1422</v>
      </c>
      <c r="C628">
        <v>139900</v>
      </c>
    </row>
    <row r="629" spans="2:3" x14ac:dyDescent="0.3">
      <c r="B629">
        <v>1520</v>
      </c>
      <c r="C629">
        <v>153000</v>
      </c>
    </row>
    <row r="630" spans="2:3" x14ac:dyDescent="0.3">
      <c r="B630">
        <v>2080</v>
      </c>
      <c r="C630">
        <v>135000</v>
      </c>
    </row>
    <row r="631" spans="2:3" x14ac:dyDescent="0.3">
      <c r="B631">
        <v>1350</v>
      </c>
      <c r="C631">
        <v>168500</v>
      </c>
    </row>
    <row r="632" spans="2:3" x14ac:dyDescent="0.3">
      <c r="B632">
        <v>1750</v>
      </c>
      <c r="C632">
        <v>124000</v>
      </c>
    </row>
    <row r="633" spans="2:3" x14ac:dyDescent="0.3">
      <c r="B633">
        <v>1554</v>
      </c>
      <c r="C633">
        <v>209500</v>
      </c>
    </row>
    <row r="634" spans="2:3" x14ac:dyDescent="0.3">
      <c r="B634">
        <v>1411</v>
      </c>
      <c r="C634">
        <v>82500</v>
      </c>
    </row>
    <row r="635" spans="2:3" x14ac:dyDescent="0.3">
      <c r="B635">
        <v>1056</v>
      </c>
      <c r="C635">
        <v>139400</v>
      </c>
    </row>
    <row r="636" spans="2:3" x14ac:dyDescent="0.3">
      <c r="B636">
        <v>1056</v>
      </c>
      <c r="C636">
        <v>144000</v>
      </c>
    </row>
    <row r="637" spans="2:3" x14ac:dyDescent="0.3">
      <c r="B637">
        <v>3395</v>
      </c>
      <c r="C637">
        <v>200000</v>
      </c>
    </row>
    <row r="638" spans="2:3" x14ac:dyDescent="0.3">
      <c r="B638">
        <v>800</v>
      </c>
      <c r="C638">
        <v>60000</v>
      </c>
    </row>
    <row r="639" spans="2:3" x14ac:dyDescent="0.3">
      <c r="B639">
        <v>1387</v>
      </c>
      <c r="C639">
        <v>93000</v>
      </c>
    </row>
    <row r="640" spans="2:3" x14ac:dyDescent="0.3">
      <c r="B640">
        <v>796</v>
      </c>
      <c r="C640">
        <v>85000</v>
      </c>
    </row>
    <row r="641" spans="2:3" x14ac:dyDescent="0.3">
      <c r="B641">
        <v>1567</v>
      </c>
      <c r="C641">
        <v>264561</v>
      </c>
    </row>
    <row r="642" spans="2:3" x14ac:dyDescent="0.3">
      <c r="B642">
        <v>1518</v>
      </c>
      <c r="C642">
        <v>274000</v>
      </c>
    </row>
    <row r="643" spans="2:3" x14ac:dyDescent="0.3">
      <c r="B643">
        <v>1929</v>
      </c>
      <c r="C643">
        <v>226000</v>
      </c>
    </row>
    <row r="644" spans="2:3" x14ac:dyDescent="0.3">
      <c r="B644">
        <v>2704</v>
      </c>
      <c r="C644">
        <v>345000</v>
      </c>
    </row>
    <row r="645" spans="2:3" x14ac:dyDescent="0.3">
      <c r="B645">
        <v>1620</v>
      </c>
      <c r="C645">
        <v>152000</v>
      </c>
    </row>
    <row r="646" spans="2:3" x14ac:dyDescent="0.3">
      <c r="B646">
        <v>1766</v>
      </c>
      <c r="C646">
        <v>370878</v>
      </c>
    </row>
    <row r="647" spans="2:3" x14ac:dyDescent="0.3">
      <c r="B647">
        <v>981</v>
      </c>
      <c r="C647">
        <v>143250</v>
      </c>
    </row>
    <row r="648" spans="2:3" x14ac:dyDescent="0.3">
      <c r="B648">
        <v>1048</v>
      </c>
      <c r="C648">
        <v>98300</v>
      </c>
    </row>
    <row r="649" spans="2:3" x14ac:dyDescent="0.3">
      <c r="B649">
        <v>1094</v>
      </c>
      <c r="C649">
        <v>155000</v>
      </c>
    </row>
    <row r="650" spans="2:3" x14ac:dyDescent="0.3">
      <c r="B650">
        <v>1839</v>
      </c>
      <c r="C650">
        <v>155000</v>
      </c>
    </row>
    <row r="651" spans="2:3" x14ac:dyDescent="0.3">
      <c r="B651">
        <v>630</v>
      </c>
      <c r="C651">
        <v>84500</v>
      </c>
    </row>
    <row r="652" spans="2:3" x14ac:dyDescent="0.3">
      <c r="B652">
        <v>1665</v>
      </c>
      <c r="C652">
        <v>205950</v>
      </c>
    </row>
    <row r="653" spans="2:3" x14ac:dyDescent="0.3">
      <c r="B653">
        <v>1510</v>
      </c>
      <c r="C653">
        <v>108000</v>
      </c>
    </row>
    <row r="654" spans="2:3" x14ac:dyDescent="0.3">
      <c r="B654">
        <v>1716</v>
      </c>
      <c r="C654">
        <v>191000</v>
      </c>
    </row>
    <row r="655" spans="2:3" x14ac:dyDescent="0.3">
      <c r="B655">
        <v>1469</v>
      </c>
      <c r="C655">
        <v>135000</v>
      </c>
    </row>
    <row r="656" spans="2:3" x14ac:dyDescent="0.3">
      <c r="B656">
        <v>2113</v>
      </c>
      <c r="C656">
        <v>350000</v>
      </c>
    </row>
    <row r="657" spans="2:3" x14ac:dyDescent="0.3">
      <c r="B657">
        <v>1092</v>
      </c>
      <c r="C657">
        <v>88000</v>
      </c>
    </row>
    <row r="658" spans="2:3" x14ac:dyDescent="0.3">
      <c r="B658">
        <v>1053</v>
      </c>
      <c r="C658">
        <v>145500</v>
      </c>
    </row>
    <row r="659" spans="2:3" x14ac:dyDescent="0.3">
      <c r="B659">
        <v>1502</v>
      </c>
      <c r="C659">
        <v>149000</v>
      </c>
    </row>
    <row r="660" spans="2:3" x14ac:dyDescent="0.3">
      <c r="B660">
        <v>1458</v>
      </c>
      <c r="C660">
        <v>97500</v>
      </c>
    </row>
    <row r="661" spans="2:3" x14ac:dyDescent="0.3">
      <c r="B661">
        <v>1486</v>
      </c>
      <c r="C661">
        <v>167000</v>
      </c>
    </row>
    <row r="662" spans="2:3" x14ac:dyDescent="0.3">
      <c r="B662">
        <v>1935</v>
      </c>
      <c r="C662">
        <v>197900</v>
      </c>
    </row>
    <row r="663" spans="2:3" x14ac:dyDescent="0.3">
      <c r="B663">
        <v>2448</v>
      </c>
      <c r="C663">
        <v>402000</v>
      </c>
    </row>
    <row r="664" spans="2:3" x14ac:dyDescent="0.3">
      <c r="B664">
        <v>1392</v>
      </c>
      <c r="C664">
        <v>110000</v>
      </c>
    </row>
    <row r="665" spans="2:3" x14ac:dyDescent="0.3">
      <c r="B665">
        <v>1181</v>
      </c>
      <c r="C665">
        <v>137500</v>
      </c>
    </row>
    <row r="666" spans="2:3" x14ac:dyDescent="0.3">
      <c r="B666">
        <v>2097</v>
      </c>
      <c r="C666">
        <v>423000</v>
      </c>
    </row>
    <row r="667" spans="2:3" x14ac:dyDescent="0.3">
      <c r="B667">
        <v>1936</v>
      </c>
      <c r="C667">
        <v>230500</v>
      </c>
    </row>
    <row r="668" spans="2:3" x14ac:dyDescent="0.3">
      <c r="B668">
        <v>2380</v>
      </c>
      <c r="C668">
        <v>129000</v>
      </c>
    </row>
    <row r="669" spans="2:3" x14ac:dyDescent="0.3">
      <c r="B669">
        <v>1679</v>
      </c>
      <c r="C669">
        <v>193500</v>
      </c>
    </row>
    <row r="670" spans="2:3" x14ac:dyDescent="0.3">
      <c r="B670">
        <v>1437</v>
      </c>
      <c r="C670">
        <v>168000</v>
      </c>
    </row>
    <row r="671" spans="2:3" x14ac:dyDescent="0.3">
      <c r="B671">
        <v>1180</v>
      </c>
      <c r="C671">
        <v>137500</v>
      </c>
    </row>
    <row r="672" spans="2:3" x14ac:dyDescent="0.3">
      <c r="B672">
        <v>1476</v>
      </c>
      <c r="C672">
        <v>173500</v>
      </c>
    </row>
    <row r="673" spans="2:3" x14ac:dyDescent="0.3">
      <c r="B673">
        <v>1369</v>
      </c>
      <c r="C673">
        <v>103600</v>
      </c>
    </row>
    <row r="674" spans="2:3" x14ac:dyDescent="0.3">
      <c r="B674">
        <v>1208</v>
      </c>
      <c r="C674">
        <v>165000</v>
      </c>
    </row>
    <row r="675" spans="2:3" x14ac:dyDescent="0.3">
      <c r="B675">
        <v>1839</v>
      </c>
      <c r="C675">
        <v>257500</v>
      </c>
    </row>
    <row r="676" spans="2:3" x14ac:dyDescent="0.3">
      <c r="B676">
        <v>1136</v>
      </c>
      <c r="C676">
        <v>140000</v>
      </c>
    </row>
    <row r="677" spans="2:3" x14ac:dyDescent="0.3">
      <c r="B677">
        <v>1441</v>
      </c>
      <c r="C677">
        <v>148500</v>
      </c>
    </row>
    <row r="678" spans="2:3" x14ac:dyDescent="0.3">
      <c r="B678">
        <v>1774</v>
      </c>
      <c r="C678">
        <v>87000</v>
      </c>
    </row>
    <row r="679" spans="2:3" x14ac:dyDescent="0.3">
      <c r="B679">
        <v>792</v>
      </c>
      <c r="C679">
        <v>109500</v>
      </c>
    </row>
    <row r="680" spans="2:3" x14ac:dyDescent="0.3">
      <c r="B680">
        <v>2046</v>
      </c>
      <c r="C680">
        <v>372500</v>
      </c>
    </row>
    <row r="681" spans="2:3" x14ac:dyDescent="0.3">
      <c r="B681">
        <v>988</v>
      </c>
      <c r="C681">
        <v>128500</v>
      </c>
    </row>
    <row r="682" spans="2:3" x14ac:dyDescent="0.3">
      <c r="B682">
        <v>923</v>
      </c>
      <c r="C682">
        <v>143000</v>
      </c>
    </row>
    <row r="683" spans="2:3" x14ac:dyDescent="0.3">
      <c r="B683">
        <v>1520</v>
      </c>
      <c r="C683">
        <v>159434</v>
      </c>
    </row>
    <row r="684" spans="2:3" x14ac:dyDescent="0.3">
      <c r="B684">
        <v>1291</v>
      </c>
      <c r="C684">
        <v>173000</v>
      </c>
    </row>
    <row r="685" spans="2:3" x14ac:dyDescent="0.3">
      <c r="B685">
        <v>1668</v>
      </c>
      <c r="C685">
        <v>285000</v>
      </c>
    </row>
    <row r="686" spans="2:3" x14ac:dyDescent="0.3">
      <c r="B686">
        <v>1839</v>
      </c>
      <c r="C686">
        <v>221000</v>
      </c>
    </row>
    <row r="687" spans="2:3" x14ac:dyDescent="0.3">
      <c r="B687">
        <v>2090</v>
      </c>
      <c r="C687">
        <v>207500</v>
      </c>
    </row>
    <row r="688" spans="2:3" x14ac:dyDescent="0.3">
      <c r="B688">
        <v>1761</v>
      </c>
      <c r="C688">
        <v>227875</v>
      </c>
    </row>
    <row r="689" spans="2:3" x14ac:dyDescent="0.3">
      <c r="B689">
        <v>1102</v>
      </c>
      <c r="C689">
        <v>148800</v>
      </c>
    </row>
    <row r="690" spans="2:3" x14ac:dyDescent="0.3">
      <c r="B690">
        <v>1419</v>
      </c>
      <c r="C690">
        <v>392000</v>
      </c>
    </row>
    <row r="691" spans="2:3" x14ac:dyDescent="0.3">
      <c r="B691">
        <v>1362</v>
      </c>
      <c r="C691">
        <v>194700</v>
      </c>
    </row>
    <row r="692" spans="2:3" x14ac:dyDescent="0.3">
      <c r="B692">
        <v>848</v>
      </c>
      <c r="C692">
        <v>141000</v>
      </c>
    </row>
    <row r="693" spans="2:3" x14ac:dyDescent="0.3">
      <c r="B693">
        <v>4316</v>
      </c>
      <c r="C693">
        <v>755000</v>
      </c>
    </row>
    <row r="694" spans="2:3" x14ac:dyDescent="0.3">
      <c r="B694">
        <v>2519</v>
      </c>
      <c r="C694">
        <v>335000</v>
      </c>
    </row>
    <row r="695" spans="2:3" x14ac:dyDescent="0.3">
      <c r="B695">
        <v>1073</v>
      </c>
      <c r="C695">
        <v>108480</v>
      </c>
    </row>
    <row r="696" spans="2:3" x14ac:dyDescent="0.3">
      <c r="B696">
        <v>1539</v>
      </c>
      <c r="C696">
        <v>141500</v>
      </c>
    </row>
    <row r="697" spans="2:3" x14ac:dyDescent="0.3">
      <c r="B697">
        <v>1137</v>
      </c>
      <c r="C697">
        <v>176000</v>
      </c>
    </row>
    <row r="698" spans="2:3" x14ac:dyDescent="0.3">
      <c r="B698">
        <v>616</v>
      </c>
      <c r="C698">
        <v>89000</v>
      </c>
    </row>
    <row r="699" spans="2:3" x14ac:dyDescent="0.3">
      <c r="B699">
        <v>1148</v>
      </c>
      <c r="C699">
        <v>123500</v>
      </c>
    </row>
    <row r="700" spans="2:3" x14ac:dyDescent="0.3">
      <c r="B700">
        <v>894</v>
      </c>
      <c r="C700">
        <v>138500</v>
      </c>
    </row>
    <row r="701" spans="2:3" x14ac:dyDescent="0.3">
      <c r="B701">
        <v>1391</v>
      </c>
      <c r="C701">
        <v>196000</v>
      </c>
    </row>
    <row r="702" spans="2:3" x14ac:dyDescent="0.3">
      <c r="B702">
        <v>1800</v>
      </c>
      <c r="C702">
        <v>312500</v>
      </c>
    </row>
    <row r="703" spans="2:3" x14ac:dyDescent="0.3">
      <c r="B703">
        <v>1164</v>
      </c>
      <c r="C703">
        <v>140000</v>
      </c>
    </row>
    <row r="704" spans="2:3" x14ac:dyDescent="0.3">
      <c r="B704">
        <v>2576</v>
      </c>
      <c r="C704">
        <v>361919</v>
      </c>
    </row>
    <row r="705" spans="2:3" x14ac:dyDescent="0.3">
      <c r="B705">
        <v>1812</v>
      </c>
      <c r="C705">
        <v>140000</v>
      </c>
    </row>
    <row r="706" spans="2:3" x14ac:dyDescent="0.3">
      <c r="B706">
        <v>1484</v>
      </c>
      <c r="C706">
        <v>213000</v>
      </c>
    </row>
    <row r="707" spans="2:3" x14ac:dyDescent="0.3">
      <c r="B707">
        <v>1092</v>
      </c>
      <c r="C707">
        <v>55000</v>
      </c>
    </row>
    <row r="708" spans="2:3" x14ac:dyDescent="0.3">
      <c r="B708">
        <v>1824</v>
      </c>
      <c r="C708">
        <v>302000</v>
      </c>
    </row>
    <row r="709" spans="2:3" x14ac:dyDescent="0.3">
      <c r="B709">
        <v>1324</v>
      </c>
      <c r="C709">
        <v>254000</v>
      </c>
    </row>
    <row r="710" spans="2:3" x14ac:dyDescent="0.3">
      <c r="B710">
        <v>1456</v>
      </c>
      <c r="C710">
        <v>179540</v>
      </c>
    </row>
    <row r="711" spans="2:3" x14ac:dyDescent="0.3">
      <c r="B711">
        <v>904</v>
      </c>
      <c r="C711">
        <v>109900</v>
      </c>
    </row>
    <row r="712" spans="2:3" x14ac:dyDescent="0.3">
      <c r="B712">
        <v>729</v>
      </c>
      <c r="C712">
        <v>52000</v>
      </c>
    </row>
    <row r="713" spans="2:3" x14ac:dyDescent="0.3">
      <c r="B713">
        <v>1178</v>
      </c>
      <c r="C713">
        <v>102776</v>
      </c>
    </row>
    <row r="714" spans="2:3" x14ac:dyDescent="0.3">
      <c r="B714">
        <v>1228</v>
      </c>
      <c r="C714">
        <v>189000</v>
      </c>
    </row>
    <row r="715" spans="2:3" x14ac:dyDescent="0.3">
      <c r="B715">
        <v>960</v>
      </c>
      <c r="C715">
        <v>129000</v>
      </c>
    </row>
    <row r="716" spans="2:3" x14ac:dyDescent="0.3">
      <c r="B716">
        <v>1479</v>
      </c>
      <c r="C716">
        <v>130500</v>
      </c>
    </row>
    <row r="717" spans="2:3" x14ac:dyDescent="0.3">
      <c r="B717">
        <v>1350</v>
      </c>
      <c r="C717">
        <v>165000</v>
      </c>
    </row>
    <row r="718" spans="2:3" x14ac:dyDescent="0.3">
      <c r="B718">
        <v>2554</v>
      </c>
      <c r="C718">
        <v>159500</v>
      </c>
    </row>
    <row r="719" spans="2:3" x14ac:dyDescent="0.3">
      <c r="B719">
        <v>1178</v>
      </c>
      <c r="C719">
        <v>157000</v>
      </c>
    </row>
    <row r="720" spans="2:3" x14ac:dyDescent="0.3">
      <c r="B720">
        <v>2418</v>
      </c>
      <c r="C720">
        <v>341000</v>
      </c>
    </row>
    <row r="721" spans="2:3" x14ac:dyDescent="0.3">
      <c r="B721">
        <v>971</v>
      </c>
      <c r="C721">
        <v>128500</v>
      </c>
    </row>
    <row r="722" spans="2:3" x14ac:dyDescent="0.3">
      <c r="B722">
        <v>1742</v>
      </c>
      <c r="C722">
        <v>275000</v>
      </c>
    </row>
    <row r="723" spans="2:3" x14ac:dyDescent="0.3">
      <c r="B723">
        <v>848</v>
      </c>
      <c r="C723">
        <v>143000</v>
      </c>
    </row>
    <row r="724" spans="2:3" x14ac:dyDescent="0.3">
      <c r="B724">
        <v>864</v>
      </c>
      <c r="C724">
        <v>124500</v>
      </c>
    </row>
    <row r="725" spans="2:3" x14ac:dyDescent="0.3">
      <c r="B725">
        <v>1470</v>
      </c>
      <c r="C725">
        <v>135000</v>
      </c>
    </row>
    <row r="726" spans="2:3" x14ac:dyDescent="0.3">
      <c r="B726">
        <v>1698</v>
      </c>
      <c r="C726">
        <v>320000</v>
      </c>
    </row>
    <row r="727" spans="2:3" x14ac:dyDescent="0.3">
      <c r="B727">
        <v>864</v>
      </c>
      <c r="C727">
        <v>120500</v>
      </c>
    </row>
    <row r="728" spans="2:3" x14ac:dyDescent="0.3">
      <c r="B728">
        <v>1680</v>
      </c>
      <c r="C728">
        <v>222000</v>
      </c>
    </row>
    <row r="729" spans="2:3" x14ac:dyDescent="0.3">
      <c r="B729">
        <v>1232</v>
      </c>
      <c r="C729">
        <v>194500</v>
      </c>
    </row>
    <row r="730" spans="2:3" x14ac:dyDescent="0.3">
      <c r="B730">
        <v>1776</v>
      </c>
      <c r="C730">
        <v>110000</v>
      </c>
    </row>
    <row r="731" spans="2:3" x14ac:dyDescent="0.3">
      <c r="B731">
        <v>1208</v>
      </c>
      <c r="C731">
        <v>103000</v>
      </c>
    </row>
    <row r="732" spans="2:3" x14ac:dyDescent="0.3">
      <c r="B732">
        <v>1616</v>
      </c>
      <c r="C732">
        <v>236500</v>
      </c>
    </row>
    <row r="733" spans="2:3" x14ac:dyDescent="0.3">
      <c r="B733">
        <v>1146</v>
      </c>
      <c r="C733">
        <v>187500</v>
      </c>
    </row>
    <row r="734" spans="2:3" x14ac:dyDescent="0.3">
      <c r="B734">
        <v>2031</v>
      </c>
      <c r="C734">
        <v>222500</v>
      </c>
    </row>
    <row r="735" spans="2:3" x14ac:dyDescent="0.3">
      <c r="B735">
        <v>1144</v>
      </c>
      <c r="C735">
        <v>131400</v>
      </c>
    </row>
    <row r="736" spans="2:3" x14ac:dyDescent="0.3">
      <c r="B736">
        <v>948</v>
      </c>
      <c r="C736">
        <v>108000</v>
      </c>
    </row>
    <row r="737" spans="2:3" x14ac:dyDescent="0.3">
      <c r="B737">
        <v>1768</v>
      </c>
      <c r="C737">
        <v>163000</v>
      </c>
    </row>
    <row r="738" spans="2:3" x14ac:dyDescent="0.3">
      <c r="B738">
        <v>1040</v>
      </c>
      <c r="C738">
        <v>93500</v>
      </c>
    </row>
    <row r="739" spans="2:3" x14ac:dyDescent="0.3">
      <c r="B739">
        <v>1801</v>
      </c>
      <c r="C739">
        <v>239900</v>
      </c>
    </row>
    <row r="740" spans="2:3" x14ac:dyDescent="0.3">
      <c r="B740">
        <v>1200</v>
      </c>
      <c r="C740">
        <v>179000</v>
      </c>
    </row>
    <row r="741" spans="2:3" x14ac:dyDescent="0.3">
      <c r="B741">
        <v>1728</v>
      </c>
      <c r="C741">
        <v>190000</v>
      </c>
    </row>
    <row r="742" spans="2:3" x14ac:dyDescent="0.3">
      <c r="B742">
        <v>1432</v>
      </c>
      <c r="C742">
        <v>132000</v>
      </c>
    </row>
    <row r="743" spans="2:3" x14ac:dyDescent="0.3">
      <c r="B743">
        <v>912</v>
      </c>
      <c r="C743">
        <v>142000</v>
      </c>
    </row>
    <row r="744" spans="2:3" x14ac:dyDescent="0.3">
      <c r="B744">
        <v>1349</v>
      </c>
      <c r="C744">
        <v>179000</v>
      </c>
    </row>
    <row r="745" spans="2:3" x14ac:dyDescent="0.3">
      <c r="B745">
        <v>1464</v>
      </c>
      <c r="C745">
        <v>175000</v>
      </c>
    </row>
    <row r="746" spans="2:3" x14ac:dyDescent="0.3">
      <c r="B746">
        <v>1337</v>
      </c>
      <c r="C746">
        <v>180000</v>
      </c>
    </row>
    <row r="747" spans="2:3" x14ac:dyDescent="0.3">
      <c r="B747">
        <v>2715</v>
      </c>
      <c r="C747">
        <v>299800</v>
      </c>
    </row>
    <row r="748" spans="2:3" x14ac:dyDescent="0.3">
      <c r="B748">
        <v>2256</v>
      </c>
      <c r="C748">
        <v>236000</v>
      </c>
    </row>
    <row r="749" spans="2:3" x14ac:dyDescent="0.3">
      <c r="B749">
        <v>2640</v>
      </c>
      <c r="C749">
        <v>265979</v>
      </c>
    </row>
    <row r="750" spans="2:3" x14ac:dyDescent="0.3">
      <c r="B750">
        <v>1720</v>
      </c>
      <c r="C750">
        <v>260400</v>
      </c>
    </row>
    <row r="751" spans="2:3" x14ac:dyDescent="0.3">
      <c r="B751">
        <v>1529</v>
      </c>
      <c r="C751">
        <v>98000</v>
      </c>
    </row>
    <row r="752" spans="2:3" x14ac:dyDescent="0.3">
      <c r="B752">
        <v>1140</v>
      </c>
      <c r="C752">
        <v>96500</v>
      </c>
    </row>
    <row r="753" spans="2:3" x14ac:dyDescent="0.3">
      <c r="B753">
        <v>1320</v>
      </c>
      <c r="C753">
        <v>162000</v>
      </c>
    </row>
    <row r="754" spans="2:3" x14ac:dyDescent="0.3">
      <c r="B754">
        <v>1494</v>
      </c>
      <c r="C754">
        <v>217000</v>
      </c>
    </row>
    <row r="755" spans="2:3" x14ac:dyDescent="0.3">
      <c r="B755">
        <v>2098</v>
      </c>
      <c r="C755">
        <v>275500</v>
      </c>
    </row>
    <row r="756" spans="2:3" x14ac:dyDescent="0.3">
      <c r="B756">
        <v>1026</v>
      </c>
      <c r="C756">
        <v>156000</v>
      </c>
    </row>
    <row r="757" spans="2:3" x14ac:dyDescent="0.3">
      <c r="B757">
        <v>1471</v>
      </c>
      <c r="C757">
        <v>172500</v>
      </c>
    </row>
    <row r="758" spans="2:3" x14ac:dyDescent="0.3">
      <c r="B758">
        <v>1768</v>
      </c>
      <c r="C758">
        <v>212000</v>
      </c>
    </row>
    <row r="759" spans="2:3" x14ac:dyDescent="0.3">
      <c r="B759">
        <v>1386</v>
      </c>
      <c r="C759">
        <v>158900</v>
      </c>
    </row>
    <row r="760" spans="2:3" x14ac:dyDescent="0.3">
      <c r="B760">
        <v>1501</v>
      </c>
      <c r="C760">
        <v>179400</v>
      </c>
    </row>
    <row r="761" spans="2:3" x14ac:dyDescent="0.3">
      <c r="B761">
        <v>2531</v>
      </c>
      <c r="C761">
        <v>290000</v>
      </c>
    </row>
    <row r="762" spans="2:3" x14ac:dyDescent="0.3">
      <c r="B762">
        <v>864</v>
      </c>
      <c r="C762">
        <v>127500</v>
      </c>
    </row>
    <row r="763" spans="2:3" x14ac:dyDescent="0.3">
      <c r="B763">
        <v>1301</v>
      </c>
      <c r="C763">
        <v>100000</v>
      </c>
    </row>
    <row r="764" spans="2:3" x14ac:dyDescent="0.3">
      <c r="B764">
        <v>1547</v>
      </c>
      <c r="C764">
        <v>215200</v>
      </c>
    </row>
    <row r="765" spans="2:3" x14ac:dyDescent="0.3">
      <c r="B765">
        <v>2365</v>
      </c>
      <c r="C765">
        <v>337000</v>
      </c>
    </row>
    <row r="766" spans="2:3" x14ac:dyDescent="0.3">
      <c r="B766">
        <v>1494</v>
      </c>
      <c r="C766">
        <v>270000</v>
      </c>
    </row>
    <row r="767" spans="2:3" x14ac:dyDescent="0.3">
      <c r="B767">
        <v>1506</v>
      </c>
      <c r="C767">
        <v>264132</v>
      </c>
    </row>
    <row r="768" spans="2:3" x14ac:dyDescent="0.3">
      <c r="B768">
        <v>1714</v>
      </c>
      <c r="C768">
        <v>196500</v>
      </c>
    </row>
    <row r="769" spans="2:3" x14ac:dyDescent="0.3">
      <c r="B769">
        <v>1750</v>
      </c>
      <c r="C769">
        <v>160000</v>
      </c>
    </row>
    <row r="770" spans="2:3" x14ac:dyDescent="0.3">
      <c r="B770">
        <v>1836</v>
      </c>
      <c r="C770">
        <v>216837</v>
      </c>
    </row>
    <row r="771" spans="2:3" x14ac:dyDescent="0.3">
      <c r="B771">
        <v>3279</v>
      </c>
      <c r="C771">
        <v>538000</v>
      </c>
    </row>
    <row r="772" spans="2:3" x14ac:dyDescent="0.3">
      <c r="B772">
        <v>858</v>
      </c>
      <c r="C772">
        <v>134900</v>
      </c>
    </row>
    <row r="773" spans="2:3" x14ac:dyDescent="0.3">
      <c r="B773">
        <v>1220</v>
      </c>
      <c r="C773">
        <v>102000</v>
      </c>
    </row>
    <row r="774" spans="2:3" x14ac:dyDescent="0.3">
      <c r="B774">
        <v>1117</v>
      </c>
      <c r="C774">
        <v>107000</v>
      </c>
    </row>
    <row r="775" spans="2:3" x14ac:dyDescent="0.3">
      <c r="B775">
        <v>912</v>
      </c>
      <c r="C775">
        <v>114500</v>
      </c>
    </row>
    <row r="776" spans="2:3" x14ac:dyDescent="0.3">
      <c r="B776">
        <v>1973</v>
      </c>
      <c r="C776">
        <v>395000</v>
      </c>
    </row>
    <row r="777" spans="2:3" x14ac:dyDescent="0.3">
      <c r="B777">
        <v>1204</v>
      </c>
      <c r="C777">
        <v>162000</v>
      </c>
    </row>
    <row r="778" spans="2:3" x14ac:dyDescent="0.3">
      <c r="B778">
        <v>1614</v>
      </c>
      <c r="C778">
        <v>221500</v>
      </c>
    </row>
    <row r="779" spans="2:3" x14ac:dyDescent="0.3">
      <c r="B779">
        <v>894</v>
      </c>
      <c r="C779">
        <v>142500</v>
      </c>
    </row>
    <row r="780" spans="2:3" x14ac:dyDescent="0.3">
      <c r="B780">
        <v>2020</v>
      </c>
      <c r="C780">
        <v>144000</v>
      </c>
    </row>
    <row r="781" spans="2:3" x14ac:dyDescent="0.3">
      <c r="B781">
        <v>1004</v>
      </c>
      <c r="C781">
        <v>135000</v>
      </c>
    </row>
    <row r="782" spans="2:3" x14ac:dyDescent="0.3">
      <c r="B782">
        <v>1253</v>
      </c>
      <c r="C782">
        <v>176000</v>
      </c>
    </row>
    <row r="783" spans="2:3" x14ac:dyDescent="0.3">
      <c r="B783">
        <v>1603</v>
      </c>
      <c r="C783">
        <v>175900</v>
      </c>
    </row>
    <row r="784" spans="2:3" x14ac:dyDescent="0.3">
      <c r="B784">
        <v>1430</v>
      </c>
      <c r="C784">
        <v>187100</v>
      </c>
    </row>
    <row r="785" spans="2:3" x14ac:dyDescent="0.3">
      <c r="B785">
        <v>1110</v>
      </c>
      <c r="C785">
        <v>165500</v>
      </c>
    </row>
    <row r="786" spans="2:3" x14ac:dyDescent="0.3">
      <c r="B786">
        <v>1484</v>
      </c>
      <c r="C786">
        <v>128000</v>
      </c>
    </row>
    <row r="787" spans="2:3" x14ac:dyDescent="0.3">
      <c r="B787">
        <v>1342</v>
      </c>
      <c r="C787">
        <v>161500</v>
      </c>
    </row>
    <row r="788" spans="2:3" x14ac:dyDescent="0.3">
      <c r="B788">
        <v>1652</v>
      </c>
      <c r="C788">
        <v>139000</v>
      </c>
    </row>
    <row r="789" spans="2:3" x14ac:dyDescent="0.3">
      <c r="B789">
        <v>2084</v>
      </c>
      <c r="C789">
        <v>233000</v>
      </c>
    </row>
    <row r="790" spans="2:3" x14ac:dyDescent="0.3">
      <c r="B790">
        <v>901</v>
      </c>
      <c r="C790">
        <v>107900</v>
      </c>
    </row>
    <row r="791" spans="2:3" x14ac:dyDescent="0.3">
      <c r="B791">
        <v>2087</v>
      </c>
      <c r="C791">
        <v>187500</v>
      </c>
    </row>
    <row r="792" spans="2:3" x14ac:dyDescent="0.3">
      <c r="B792">
        <v>1145</v>
      </c>
      <c r="C792">
        <v>160200</v>
      </c>
    </row>
    <row r="793" spans="2:3" x14ac:dyDescent="0.3">
      <c r="B793">
        <v>1062</v>
      </c>
      <c r="C793">
        <v>146800</v>
      </c>
    </row>
    <row r="794" spans="2:3" x14ac:dyDescent="0.3">
      <c r="B794">
        <v>2013</v>
      </c>
      <c r="C794">
        <v>269790</v>
      </c>
    </row>
    <row r="795" spans="2:3" x14ac:dyDescent="0.3">
      <c r="B795">
        <v>1496</v>
      </c>
      <c r="C795">
        <v>225000</v>
      </c>
    </row>
    <row r="796" spans="2:3" x14ac:dyDescent="0.3">
      <c r="B796">
        <v>1895</v>
      </c>
      <c r="C796">
        <v>194500</v>
      </c>
    </row>
    <row r="797" spans="2:3" x14ac:dyDescent="0.3">
      <c r="B797">
        <v>1564</v>
      </c>
      <c r="C797">
        <v>171000</v>
      </c>
    </row>
    <row r="798" spans="2:3" x14ac:dyDescent="0.3">
      <c r="B798">
        <v>1285</v>
      </c>
      <c r="C798">
        <v>143500</v>
      </c>
    </row>
    <row r="799" spans="2:3" x14ac:dyDescent="0.3">
      <c r="B799">
        <v>773</v>
      </c>
      <c r="C799">
        <v>110000</v>
      </c>
    </row>
    <row r="800" spans="2:3" x14ac:dyDescent="0.3">
      <c r="B800">
        <v>3140</v>
      </c>
      <c r="C800">
        <v>485000</v>
      </c>
    </row>
    <row r="801" spans="2:3" x14ac:dyDescent="0.3">
      <c r="B801">
        <v>1768</v>
      </c>
      <c r="C801">
        <v>175000</v>
      </c>
    </row>
    <row r="802" spans="2:3" x14ac:dyDescent="0.3">
      <c r="B802">
        <v>1688</v>
      </c>
      <c r="C802">
        <v>200000</v>
      </c>
    </row>
    <row r="803" spans="2:3" x14ac:dyDescent="0.3">
      <c r="B803">
        <v>1196</v>
      </c>
      <c r="C803">
        <v>109900</v>
      </c>
    </row>
    <row r="804" spans="2:3" x14ac:dyDescent="0.3">
      <c r="B804">
        <v>1456</v>
      </c>
      <c r="C804">
        <v>189000</v>
      </c>
    </row>
    <row r="805" spans="2:3" x14ac:dyDescent="0.3">
      <c r="B805">
        <v>2822</v>
      </c>
      <c r="C805">
        <v>582933</v>
      </c>
    </row>
    <row r="806" spans="2:3" x14ac:dyDescent="0.3">
      <c r="B806">
        <v>1128</v>
      </c>
      <c r="C806">
        <v>118000</v>
      </c>
    </row>
    <row r="807" spans="2:3" x14ac:dyDescent="0.3">
      <c r="B807">
        <v>1428</v>
      </c>
      <c r="C807">
        <v>227680</v>
      </c>
    </row>
    <row r="808" spans="2:3" x14ac:dyDescent="0.3">
      <c r="B808">
        <v>980</v>
      </c>
      <c r="C808">
        <v>135500</v>
      </c>
    </row>
    <row r="809" spans="2:3" x14ac:dyDescent="0.3">
      <c r="B809">
        <v>1576</v>
      </c>
      <c r="C809">
        <v>223500</v>
      </c>
    </row>
    <row r="810" spans="2:3" x14ac:dyDescent="0.3">
      <c r="B810">
        <v>1086</v>
      </c>
      <c r="C810">
        <v>159950</v>
      </c>
    </row>
    <row r="811" spans="2:3" x14ac:dyDescent="0.3">
      <c r="B811">
        <v>2138</v>
      </c>
      <c r="C811">
        <v>106000</v>
      </c>
    </row>
    <row r="812" spans="2:3" x14ac:dyDescent="0.3">
      <c r="B812">
        <v>1309</v>
      </c>
      <c r="C812">
        <v>181000</v>
      </c>
    </row>
    <row r="813" spans="2:3" x14ac:dyDescent="0.3">
      <c r="B813">
        <v>848</v>
      </c>
      <c r="C813">
        <v>144500</v>
      </c>
    </row>
    <row r="814" spans="2:3" x14ac:dyDescent="0.3">
      <c r="B814">
        <v>1044</v>
      </c>
      <c r="C814">
        <v>55993</v>
      </c>
    </row>
    <row r="815" spans="2:3" x14ac:dyDescent="0.3">
      <c r="B815">
        <v>1442</v>
      </c>
      <c r="C815">
        <v>157900</v>
      </c>
    </row>
    <row r="816" spans="2:3" x14ac:dyDescent="0.3">
      <c r="B816">
        <v>1250</v>
      </c>
      <c r="C816">
        <v>116000</v>
      </c>
    </row>
    <row r="817" spans="2:3" x14ac:dyDescent="0.3">
      <c r="B817">
        <v>1661</v>
      </c>
      <c r="C817">
        <v>224900</v>
      </c>
    </row>
    <row r="818" spans="2:3" x14ac:dyDescent="0.3">
      <c r="B818">
        <v>1008</v>
      </c>
      <c r="C818">
        <v>137000</v>
      </c>
    </row>
    <row r="819" spans="2:3" x14ac:dyDescent="0.3">
      <c r="B819">
        <v>1689</v>
      </c>
      <c r="C819">
        <v>271000</v>
      </c>
    </row>
    <row r="820" spans="2:3" x14ac:dyDescent="0.3">
      <c r="B820">
        <v>1052</v>
      </c>
      <c r="C820">
        <v>155000</v>
      </c>
    </row>
    <row r="821" spans="2:3" x14ac:dyDescent="0.3">
      <c r="B821">
        <v>1358</v>
      </c>
      <c r="C821">
        <v>224000</v>
      </c>
    </row>
    <row r="822" spans="2:3" x14ac:dyDescent="0.3">
      <c r="B822">
        <v>1640</v>
      </c>
      <c r="C822">
        <v>183000</v>
      </c>
    </row>
    <row r="823" spans="2:3" x14ac:dyDescent="0.3">
      <c r="B823">
        <v>936</v>
      </c>
      <c r="C823">
        <v>93000</v>
      </c>
    </row>
    <row r="824" spans="2:3" x14ac:dyDescent="0.3">
      <c r="B824">
        <v>1733</v>
      </c>
      <c r="C824">
        <v>225000</v>
      </c>
    </row>
    <row r="825" spans="2:3" x14ac:dyDescent="0.3">
      <c r="B825">
        <v>1489</v>
      </c>
      <c r="C825">
        <v>139500</v>
      </c>
    </row>
    <row r="826" spans="2:3" x14ac:dyDescent="0.3">
      <c r="B826">
        <v>1489</v>
      </c>
      <c r="C826">
        <v>232600</v>
      </c>
    </row>
    <row r="827" spans="2:3" x14ac:dyDescent="0.3">
      <c r="B827">
        <v>2084</v>
      </c>
      <c r="C827">
        <v>385000</v>
      </c>
    </row>
    <row r="828" spans="2:3" x14ac:dyDescent="0.3">
      <c r="B828">
        <v>784</v>
      </c>
      <c r="C828">
        <v>109500</v>
      </c>
    </row>
    <row r="829" spans="2:3" x14ac:dyDescent="0.3">
      <c r="B829">
        <v>1434</v>
      </c>
      <c r="C829">
        <v>189000</v>
      </c>
    </row>
    <row r="830" spans="2:3" x14ac:dyDescent="0.3">
      <c r="B830">
        <v>2126</v>
      </c>
      <c r="C830">
        <v>185000</v>
      </c>
    </row>
    <row r="831" spans="2:3" x14ac:dyDescent="0.3">
      <c r="B831">
        <v>1223</v>
      </c>
      <c r="C831">
        <v>147400</v>
      </c>
    </row>
    <row r="832" spans="2:3" x14ac:dyDescent="0.3">
      <c r="B832">
        <v>1392</v>
      </c>
      <c r="C832">
        <v>166000</v>
      </c>
    </row>
    <row r="833" spans="2:3" x14ac:dyDescent="0.3">
      <c r="B833">
        <v>1200</v>
      </c>
      <c r="C833">
        <v>151000</v>
      </c>
    </row>
    <row r="834" spans="2:3" x14ac:dyDescent="0.3">
      <c r="B834">
        <v>1829</v>
      </c>
      <c r="C834">
        <v>237000</v>
      </c>
    </row>
    <row r="835" spans="2:3" x14ac:dyDescent="0.3">
      <c r="B835">
        <v>1516</v>
      </c>
      <c r="C835">
        <v>167000</v>
      </c>
    </row>
    <row r="836" spans="2:3" x14ac:dyDescent="0.3">
      <c r="B836">
        <v>1144</v>
      </c>
      <c r="C836">
        <v>139950</v>
      </c>
    </row>
    <row r="837" spans="2:3" x14ac:dyDescent="0.3">
      <c r="B837">
        <v>1067</v>
      </c>
      <c r="C837">
        <v>128000</v>
      </c>
    </row>
    <row r="838" spans="2:3" x14ac:dyDescent="0.3">
      <c r="B838">
        <v>1559</v>
      </c>
      <c r="C838">
        <v>153500</v>
      </c>
    </row>
    <row r="839" spans="2:3" x14ac:dyDescent="0.3">
      <c r="B839">
        <v>987</v>
      </c>
      <c r="C839">
        <v>100000</v>
      </c>
    </row>
    <row r="840" spans="2:3" x14ac:dyDescent="0.3">
      <c r="B840">
        <v>1099</v>
      </c>
      <c r="C840">
        <v>144000</v>
      </c>
    </row>
    <row r="841" spans="2:3" x14ac:dyDescent="0.3">
      <c r="B841">
        <v>1200</v>
      </c>
      <c r="C841">
        <v>130500</v>
      </c>
    </row>
    <row r="842" spans="2:3" x14ac:dyDescent="0.3">
      <c r="B842">
        <v>1482</v>
      </c>
      <c r="C842">
        <v>140000</v>
      </c>
    </row>
    <row r="843" spans="2:3" x14ac:dyDescent="0.3">
      <c r="B843">
        <v>1539</v>
      </c>
      <c r="C843">
        <v>157500</v>
      </c>
    </row>
    <row r="844" spans="2:3" x14ac:dyDescent="0.3">
      <c r="B844">
        <v>1165</v>
      </c>
      <c r="C844">
        <v>174900</v>
      </c>
    </row>
    <row r="845" spans="2:3" x14ac:dyDescent="0.3">
      <c r="B845">
        <v>1800</v>
      </c>
      <c r="C845">
        <v>141000</v>
      </c>
    </row>
    <row r="846" spans="2:3" x14ac:dyDescent="0.3">
      <c r="B846">
        <v>1416</v>
      </c>
      <c r="C846">
        <v>153900</v>
      </c>
    </row>
    <row r="847" spans="2:3" x14ac:dyDescent="0.3">
      <c r="B847">
        <v>1701</v>
      </c>
      <c r="C847">
        <v>171000</v>
      </c>
    </row>
    <row r="848" spans="2:3" x14ac:dyDescent="0.3">
      <c r="B848">
        <v>1775</v>
      </c>
      <c r="C848">
        <v>213000</v>
      </c>
    </row>
    <row r="849" spans="2:3" x14ac:dyDescent="0.3">
      <c r="B849">
        <v>864</v>
      </c>
      <c r="C849">
        <v>133500</v>
      </c>
    </row>
    <row r="850" spans="2:3" x14ac:dyDescent="0.3">
      <c r="B850">
        <v>2358</v>
      </c>
      <c r="C850">
        <v>240000</v>
      </c>
    </row>
    <row r="851" spans="2:3" x14ac:dyDescent="0.3">
      <c r="B851">
        <v>1855</v>
      </c>
      <c r="C851">
        <v>187000</v>
      </c>
    </row>
    <row r="852" spans="2:3" x14ac:dyDescent="0.3">
      <c r="B852">
        <v>848</v>
      </c>
      <c r="C852">
        <v>131500</v>
      </c>
    </row>
    <row r="853" spans="2:3" x14ac:dyDescent="0.3">
      <c r="B853">
        <v>1456</v>
      </c>
      <c r="C853">
        <v>215000</v>
      </c>
    </row>
    <row r="854" spans="2:3" x14ac:dyDescent="0.3">
      <c r="B854">
        <v>1646</v>
      </c>
      <c r="C854">
        <v>164000</v>
      </c>
    </row>
    <row r="855" spans="2:3" x14ac:dyDescent="0.3">
      <c r="B855">
        <v>1445</v>
      </c>
      <c r="C855">
        <v>158000</v>
      </c>
    </row>
    <row r="856" spans="2:3" x14ac:dyDescent="0.3">
      <c r="B856">
        <v>1779</v>
      </c>
      <c r="C856">
        <v>170000</v>
      </c>
    </row>
    <row r="857" spans="2:3" x14ac:dyDescent="0.3">
      <c r="B857">
        <v>1040</v>
      </c>
      <c r="C857">
        <v>127000</v>
      </c>
    </row>
    <row r="858" spans="2:3" x14ac:dyDescent="0.3">
      <c r="B858">
        <v>1026</v>
      </c>
      <c r="C858">
        <v>147000</v>
      </c>
    </row>
    <row r="859" spans="2:3" x14ac:dyDescent="0.3">
      <c r="B859">
        <v>1481</v>
      </c>
      <c r="C859">
        <v>174000</v>
      </c>
    </row>
    <row r="860" spans="2:3" x14ac:dyDescent="0.3">
      <c r="B860">
        <v>1370</v>
      </c>
      <c r="C860">
        <v>152000</v>
      </c>
    </row>
    <row r="861" spans="2:3" x14ac:dyDescent="0.3">
      <c r="B861">
        <v>2654</v>
      </c>
      <c r="C861">
        <v>250000</v>
      </c>
    </row>
    <row r="862" spans="2:3" x14ac:dyDescent="0.3">
      <c r="B862">
        <v>1426</v>
      </c>
      <c r="C862">
        <v>189950</v>
      </c>
    </row>
    <row r="863" spans="2:3" x14ac:dyDescent="0.3">
      <c r="B863">
        <v>1039</v>
      </c>
      <c r="C863">
        <v>131500</v>
      </c>
    </row>
    <row r="864" spans="2:3" x14ac:dyDescent="0.3">
      <c r="B864">
        <v>1097</v>
      </c>
      <c r="C864">
        <v>152000</v>
      </c>
    </row>
    <row r="865" spans="2:3" x14ac:dyDescent="0.3">
      <c r="B865">
        <v>1148</v>
      </c>
      <c r="C865">
        <v>132500</v>
      </c>
    </row>
    <row r="866" spans="2:3" x14ac:dyDescent="0.3">
      <c r="B866">
        <v>1372</v>
      </c>
      <c r="C866">
        <v>250580</v>
      </c>
    </row>
    <row r="867" spans="2:3" x14ac:dyDescent="0.3">
      <c r="B867">
        <v>1002</v>
      </c>
      <c r="C867">
        <v>148500</v>
      </c>
    </row>
    <row r="868" spans="2:3" x14ac:dyDescent="0.3">
      <c r="B868">
        <v>1646</v>
      </c>
      <c r="C868">
        <v>248900</v>
      </c>
    </row>
    <row r="869" spans="2:3" x14ac:dyDescent="0.3">
      <c r="B869">
        <v>1120</v>
      </c>
      <c r="C869">
        <v>129000</v>
      </c>
    </row>
    <row r="870" spans="2:3" x14ac:dyDescent="0.3">
      <c r="B870">
        <v>2320</v>
      </c>
      <c r="C870">
        <v>169000</v>
      </c>
    </row>
    <row r="871" spans="2:3" x14ac:dyDescent="0.3">
      <c r="B871">
        <v>1949</v>
      </c>
      <c r="C871">
        <v>236000</v>
      </c>
    </row>
    <row r="872" spans="2:3" x14ac:dyDescent="0.3">
      <c r="B872">
        <v>894</v>
      </c>
      <c r="C872">
        <v>109500</v>
      </c>
    </row>
    <row r="873" spans="2:3" x14ac:dyDescent="0.3">
      <c r="B873">
        <v>1682</v>
      </c>
      <c r="C873">
        <v>200500</v>
      </c>
    </row>
    <row r="874" spans="2:3" x14ac:dyDescent="0.3">
      <c r="B874">
        <v>910</v>
      </c>
      <c r="C874">
        <v>116000</v>
      </c>
    </row>
    <row r="875" spans="2:3" x14ac:dyDescent="0.3">
      <c r="B875">
        <v>1268</v>
      </c>
      <c r="C875">
        <v>133000</v>
      </c>
    </row>
    <row r="876" spans="2:3" x14ac:dyDescent="0.3">
      <c r="B876">
        <v>1131</v>
      </c>
      <c r="C876">
        <v>66500</v>
      </c>
    </row>
    <row r="877" spans="2:3" x14ac:dyDescent="0.3">
      <c r="B877">
        <v>2610</v>
      </c>
      <c r="C877">
        <v>303477</v>
      </c>
    </row>
    <row r="878" spans="2:3" x14ac:dyDescent="0.3">
      <c r="B878">
        <v>1040</v>
      </c>
      <c r="C878">
        <v>132250</v>
      </c>
    </row>
    <row r="879" spans="2:3" x14ac:dyDescent="0.3">
      <c r="B879">
        <v>2224</v>
      </c>
      <c r="C879">
        <v>350000</v>
      </c>
    </row>
    <row r="880" spans="2:3" x14ac:dyDescent="0.3">
      <c r="B880">
        <v>1155</v>
      </c>
      <c r="C880">
        <v>148000</v>
      </c>
    </row>
    <row r="881" spans="2:3" x14ac:dyDescent="0.3">
      <c r="B881">
        <v>864</v>
      </c>
      <c r="C881">
        <v>136500</v>
      </c>
    </row>
    <row r="882" spans="2:3" x14ac:dyDescent="0.3">
      <c r="B882">
        <v>1090</v>
      </c>
      <c r="C882">
        <v>157000</v>
      </c>
    </row>
    <row r="883" spans="2:3" x14ac:dyDescent="0.3">
      <c r="B883">
        <v>1717</v>
      </c>
      <c r="C883">
        <v>187500</v>
      </c>
    </row>
    <row r="884" spans="2:3" x14ac:dyDescent="0.3">
      <c r="B884">
        <v>1593</v>
      </c>
      <c r="C884">
        <v>178000</v>
      </c>
    </row>
    <row r="885" spans="2:3" x14ac:dyDescent="0.3">
      <c r="B885">
        <v>2230</v>
      </c>
      <c r="C885">
        <v>118500</v>
      </c>
    </row>
    <row r="886" spans="2:3" x14ac:dyDescent="0.3">
      <c r="B886">
        <v>892</v>
      </c>
      <c r="C886">
        <v>100000</v>
      </c>
    </row>
    <row r="887" spans="2:3" x14ac:dyDescent="0.3">
      <c r="B887">
        <v>1709</v>
      </c>
      <c r="C887">
        <v>328900</v>
      </c>
    </row>
    <row r="888" spans="2:3" x14ac:dyDescent="0.3">
      <c r="B888">
        <v>1712</v>
      </c>
      <c r="C888">
        <v>145000</v>
      </c>
    </row>
    <row r="889" spans="2:3" x14ac:dyDescent="0.3">
      <c r="B889">
        <v>1393</v>
      </c>
      <c r="C889">
        <v>135500</v>
      </c>
    </row>
    <row r="890" spans="2:3" x14ac:dyDescent="0.3">
      <c r="B890">
        <v>2217</v>
      </c>
      <c r="C890">
        <v>268000</v>
      </c>
    </row>
    <row r="891" spans="2:3" x14ac:dyDescent="0.3">
      <c r="B891">
        <v>1505</v>
      </c>
      <c r="C891">
        <v>149500</v>
      </c>
    </row>
    <row r="892" spans="2:3" x14ac:dyDescent="0.3">
      <c r="B892">
        <v>924</v>
      </c>
      <c r="C892">
        <v>122900</v>
      </c>
    </row>
    <row r="893" spans="2:3" x14ac:dyDescent="0.3">
      <c r="B893">
        <v>1683</v>
      </c>
      <c r="C893">
        <v>172500</v>
      </c>
    </row>
    <row r="894" spans="2:3" x14ac:dyDescent="0.3">
      <c r="B894">
        <v>1068</v>
      </c>
      <c r="C894">
        <v>154500</v>
      </c>
    </row>
    <row r="895" spans="2:3" x14ac:dyDescent="0.3">
      <c r="B895">
        <v>1383</v>
      </c>
      <c r="C895">
        <v>165000</v>
      </c>
    </row>
    <row r="896" spans="2:3" x14ac:dyDescent="0.3">
      <c r="B896">
        <v>1535</v>
      </c>
      <c r="C896">
        <v>118858</v>
      </c>
    </row>
    <row r="897" spans="2:3" x14ac:dyDescent="0.3">
      <c r="B897">
        <v>1796</v>
      </c>
      <c r="C897">
        <v>140000</v>
      </c>
    </row>
    <row r="898" spans="2:3" x14ac:dyDescent="0.3">
      <c r="B898">
        <v>951</v>
      </c>
      <c r="C898">
        <v>106500</v>
      </c>
    </row>
    <row r="899" spans="2:3" x14ac:dyDescent="0.3">
      <c r="B899">
        <v>2240</v>
      </c>
      <c r="C899">
        <v>142953</v>
      </c>
    </row>
    <row r="900" spans="2:3" x14ac:dyDescent="0.3">
      <c r="B900">
        <v>2364</v>
      </c>
      <c r="C900">
        <v>611657</v>
      </c>
    </row>
    <row r="901" spans="2:3" x14ac:dyDescent="0.3">
      <c r="B901">
        <v>1236</v>
      </c>
      <c r="C901">
        <v>135000</v>
      </c>
    </row>
    <row r="902" spans="2:3" x14ac:dyDescent="0.3">
      <c r="B902">
        <v>858</v>
      </c>
      <c r="C902">
        <v>110000</v>
      </c>
    </row>
    <row r="903" spans="2:3" x14ac:dyDescent="0.3">
      <c r="B903">
        <v>1306</v>
      </c>
      <c r="C903">
        <v>153000</v>
      </c>
    </row>
    <row r="904" spans="2:3" x14ac:dyDescent="0.3">
      <c r="B904">
        <v>1509</v>
      </c>
      <c r="C904">
        <v>180000</v>
      </c>
    </row>
    <row r="905" spans="2:3" x14ac:dyDescent="0.3">
      <c r="B905">
        <v>1670</v>
      </c>
      <c r="C905">
        <v>240000</v>
      </c>
    </row>
    <row r="906" spans="2:3" x14ac:dyDescent="0.3">
      <c r="B906">
        <v>902</v>
      </c>
      <c r="C906">
        <v>125500</v>
      </c>
    </row>
    <row r="907" spans="2:3" x14ac:dyDescent="0.3">
      <c r="B907">
        <v>1063</v>
      </c>
      <c r="C907">
        <v>128000</v>
      </c>
    </row>
    <row r="908" spans="2:3" x14ac:dyDescent="0.3">
      <c r="B908">
        <v>1636</v>
      </c>
      <c r="C908">
        <v>255000</v>
      </c>
    </row>
    <row r="909" spans="2:3" x14ac:dyDescent="0.3">
      <c r="B909">
        <v>2057</v>
      </c>
      <c r="C909">
        <v>250000</v>
      </c>
    </row>
    <row r="910" spans="2:3" x14ac:dyDescent="0.3">
      <c r="B910">
        <v>902</v>
      </c>
      <c r="C910">
        <v>131000</v>
      </c>
    </row>
    <row r="911" spans="2:3" x14ac:dyDescent="0.3">
      <c r="B911">
        <v>1484</v>
      </c>
      <c r="C911">
        <v>174000</v>
      </c>
    </row>
    <row r="912" spans="2:3" x14ac:dyDescent="0.3">
      <c r="B912">
        <v>2274</v>
      </c>
      <c r="C912">
        <v>154300</v>
      </c>
    </row>
    <row r="913" spans="2:3" x14ac:dyDescent="0.3">
      <c r="B913">
        <v>1268</v>
      </c>
      <c r="C913">
        <v>143500</v>
      </c>
    </row>
    <row r="914" spans="2:3" x14ac:dyDescent="0.3">
      <c r="B914">
        <v>1015</v>
      </c>
      <c r="C914">
        <v>88000</v>
      </c>
    </row>
    <row r="915" spans="2:3" x14ac:dyDescent="0.3">
      <c r="B915">
        <v>2002</v>
      </c>
      <c r="C915">
        <v>145000</v>
      </c>
    </row>
    <row r="916" spans="2:3" x14ac:dyDescent="0.3">
      <c r="B916">
        <v>1224</v>
      </c>
      <c r="C916">
        <v>173733</v>
      </c>
    </row>
    <row r="917" spans="2:3" x14ac:dyDescent="0.3">
      <c r="B917">
        <v>1092</v>
      </c>
      <c r="C917">
        <v>75000</v>
      </c>
    </row>
    <row r="918" spans="2:3" x14ac:dyDescent="0.3">
      <c r="B918">
        <v>480</v>
      </c>
      <c r="C918">
        <v>35311</v>
      </c>
    </row>
    <row r="919" spans="2:3" x14ac:dyDescent="0.3">
      <c r="B919">
        <v>1229</v>
      </c>
      <c r="C919">
        <v>135000</v>
      </c>
    </row>
    <row r="920" spans="2:3" x14ac:dyDescent="0.3">
      <c r="B920">
        <v>2127</v>
      </c>
      <c r="C920">
        <v>238000</v>
      </c>
    </row>
    <row r="921" spans="2:3" x14ac:dyDescent="0.3">
      <c r="B921">
        <v>1414</v>
      </c>
      <c r="C921">
        <v>176500</v>
      </c>
    </row>
    <row r="922" spans="2:3" x14ac:dyDescent="0.3">
      <c r="B922">
        <v>1721</v>
      </c>
      <c r="C922">
        <v>201000</v>
      </c>
    </row>
    <row r="923" spans="2:3" x14ac:dyDescent="0.3">
      <c r="B923">
        <v>2200</v>
      </c>
      <c r="C923">
        <v>145900</v>
      </c>
    </row>
    <row r="924" spans="2:3" x14ac:dyDescent="0.3">
      <c r="B924">
        <v>1316</v>
      </c>
      <c r="C924">
        <v>169990</v>
      </c>
    </row>
    <row r="925" spans="2:3" x14ac:dyDescent="0.3">
      <c r="B925">
        <v>1617</v>
      </c>
      <c r="C925">
        <v>193000</v>
      </c>
    </row>
    <row r="926" spans="2:3" x14ac:dyDescent="0.3">
      <c r="B926">
        <v>1686</v>
      </c>
      <c r="C926">
        <v>207500</v>
      </c>
    </row>
    <row r="927" spans="2:3" x14ac:dyDescent="0.3">
      <c r="B927">
        <v>1126</v>
      </c>
      <c r="C927">
        <v>175000</v>
      </c>
    </row>
    <row r="928" spans="2:3" x14ac:dyDescent="0.3">
      <c r="B928">
        <v>2374</v>
      </c>
      <c r="C928">
        <v>285000</v>
      </c>
    </row>
    <row r="929" spans="2:3" x14ac:dyDescent="0.3">
      <c r="B929">
        <v>1978</v>
      </c>
      <c r="C929">
        <v>176000</v>
      </c>
    </row>
    <row r="930" spans="2:3" x14ac:dyDescent="0.3">
      <c r="B930">
        <v>1788</v>
      </c>
      <c r="C930">
        <v>236500</v>
      </c>
    </row>
    <row r="931" spans="2:3" x14ac:dyDescent="0.3">
      <c r="B931">
        <v>2236</v>
      </c>
      <c r="C931">
        <v>222000</v>
      </c>
    </row>
    <row r="932" spans="2:3" x14ac:dyDescent="0.3">
      <c r="B932">
        <v>1466</v>
      </c>
      <c r="C932">
        <v>201000</v>
      </c>
    </row>
    <row r="933" spans="2:3" x14ac:dyDescent="0.3">
      <c r="B933">
        <v>925</v>
      </c>
      <c r="C933">
        <v>117500</v>
      </c>
    </row>
    <row r="934" spans="2:3" x14ac:dyDescent="0.3">
      <c r="B934">
        <v>1905</v>
      </c>
      <c r="C934">
        <v>320000</v>
      </c>
    </row>
    <row r="935" spans="2:3" x14ac:dyDescent="0.3">
      <c r="B935">
        <v>1500</v>
      </c>
      <c r="C935">
        <v>190000</v>
      </c>
    </row>
    <row r="936" spans="2:3" x14ac:dyDescent="0.3">
      <c r="B936">
        <v>2069</v>
      </c>
      <c r="C936">
        <v>242000</v>
      </c>
    </row>
    <row r="937" spans="2:3" x14ac:dyDescent="0.3">
      <c r="B937">
        <v>747</v>
      </c>
      <c r="C937">
        <v>79900</v>
      </c>
    </row>
    <row r="938" spans="2:3" x14ac:dyDescent="0.3">
      <c r="B938">
        <v>1200</v>
      </c>
      <c r="C938">
        <v>184900</v>
      </c>
    </row>
    <row r="939" spans="2:3" x14ac:dyDescent="0.3">
      <c r="B939">
        <v>1971</v>
      </c>
      <c r="C939">
        <v>253000</v>
      </c>
    </row>
    <row r="940" spans="2:3" x14ac:dyDescent="0.3">
      <c r="B940">
        <v>1962</v>
      </c>
      <c r="C940">
        <v>239799</v>
      </c>
    </row>
    <row r="941" spans="2:3" x14ac:dyDescent="0.3">
      <c r="B941">
        <v>2403</v>
      </c>
      <c r="C941">
        <v>244400</v>
      </c>
    </row>
    <row r="942" spans="2:3" x14ac:dyDescent="0.3">
      <c r="B942">
        <v>1728</v>
      </c>
      <c r="C942">
        <v>150900</v>
      </c>
    </row>
    <row r="943" spans="2:3" x14ac:dyDescent="0.3">
      <c r="B943">
        <v>2060</v>
      </c>
      <c r="C943">
        <v>214000</v>
      </c>
    </row>
    <row r="944" spans="2:3" x14ac:dyDescent="0.3">
      <c r="B944">
        <v>1440</v>
      </c>
      <c r="C944">
        <v>150000</v>
      </c>
    </row>
    <row r="945" spans="2:3" x14ac:dyDescent="0.3">
      <c r="B945">
        <v>1632</v>
      </c>
      <c r="C945">
        <v>143000</v>
      </c>
    </row>
    <row r="946" spans="2:3" x14ac:dyDescent="0.3">
      <c r="B946">
        <v>1344</v>
      </c>
      <c r="C946">
        <v>137500</v>
      </c>
    </row>
    <row r="947" spans="2:3" x14ac:dyDescent="0.3">
      <c r="B947">
        <v>1869</v>
      </c>
      <c r="C947">
        <v>124900</v>
      </c>
    </row>
    <row r="948" spans="2:3" x14ac:dyDescent="0.3">
      <c r="B948">
        <v>1144</v>
      </c>
      <c r="C948">
        <v>143000</v>
      </c>
    </row>
    <row r="949" spans="2:3" x14ac:dyDescent="0.3">
      <c r="B949">
        <v>1629</v>
      </c>
      <c r="C949">
        <v>270000</v>
      </c>
    </row>
    <row r="950" spans="2:3" x14ac:dyDescent="0.3">
      <c r="B950">
        <v>1776</v>
      </c>
      <c r="C950">
        <v>192500</v>
      </c>
    </row>
    <row r="951" spans="2:3" x14ac:dyDescent="0.3">
      <c r="B951">
        <v>1381</v>
      </c>
      <c r="C951">
        <v>197500</v>
      </c>
    </row>
    <row r="952" spans="2:3" x14ac:dyDescent="0.3">
      <c r="B952">
        <v>864</v>
      </c>
      <c r="C952">
        <v>129000</v>
      </c>
    </row>
    <row r="953" spans="2:3" x14ac:dyDescent="0.3">
      <c r="B953">
        <v>965</v>
      </c>
      <c r="C953">
        <v>119900</v>
      </c>
    </row>
    <row r="954" spans="2:3" x14ac:dyDescent="0.3">
      <c r="B954">
        <v>768</v>
      </c>
      <c r="C954">
        <v>133900</v>
      </c>
    </row>
    <row r="955" spans="2:3" x14ac:dyDescent="0.3">
      <c r="B955">
        <v>1968</v>
      </c>
      <c r="C955">
        <v>172000</v>
      </c>
    </row>
    <row r="956" spans="2:3" x14ac:dyDescent="0.3">
      <c r="B956">
        <v>980</v>
      </c>
      <c r="C956">
        <v>127500</v>
      </c>
    </row>
    <row r="957" spans="2:3" x14ac:dyDescent="0.3">
      <c r="B957">
        <v>1958</v>
      </c>
      <c r="C957">
        <v>145000</v>
      </c>
    </row>
    <row r="958" spans="2:3" x14ac:dyDescent="0.3">
      <c r="B958">
        <v>1229</v>
      </c>
      <c r="C958">
        <v>124000</v>
      </c>
    </row>
    <row r="959" spans="2:3" x14ac:dyDescent="0.3">
      <c r="B959">
        <v>1057</v>
      </c>
      <c r="C959">
        <v>132000</v>
      </c>
    </row>
    <row r="960" spans="2:3" x14ac:dyDescent="0.3">
      <c r="B960">
        <v>1337</v>
      </c>
      <c r="C960">
        <v>185000</v>
      </c>
    </row>
    <row r="961" spans="2:3" x14ac:dyDescent="0.3">
      <c r="B961">
        <v>1416</v>
      </c>
      <c r="C961">
        <v>155000</v>
      </c>
    </row>
    <row r="962" spans="2:3" x14ac:dyDescent="0.3">
      <c r="B962">
        <v>858</v>
      </c>
      <c r="C962">
        <v>116500</v>
      </c>
    </row>
    <row r="963" spans="2:3" x14ac:dyDescent="0.3">
      <c r="B963">
        <v>2872</v>
      </c>
      <c r="C963">
        <v>272000</v>
      </c>
    </row>
    <row r="964" spans="2:3" x14ac:dyDescent="0.3">
      <c r="B964">
        <v>1548</v>
      </c>
      <c r="C964">
        <v>155000</v>
      </c>
    </row>
    <row r="965" spans="2:3" x14ac:dyDescent="0.3">
      <c r="B965">
        <v>1800</v>
      </c>
      <c r="C965">
        <v>239000</v>
      </c>
    </row>
    <row r="966" spans="2:3" x14ac:dyDescent="0.3">
      <c r="B966">
        <v>1894</v>
      </c>
      <c r="C966">
        <v>214900</v>
      </c>
    </row>
    <row r="967" spans="2:3" x14ac:dyDescent="0.3">
      <c r="B967">
        <v>1484</v>
      </c>
      <c r="C967">
        <v>178900</v>
      </c>
    </row>
    <row r="968" spans="2:3" x14ac:dyDescent="0.3">
      <c r="B968">
        <v>1308</v>
      </c>
      <c r="C968">
        <v>160000</v>
      </c>
    </row>
    <row r="969" spans="2:3" x14ac:dyDescent="0.3">
      <c r="B969">
        <v>1098</v>
      </c>
      <c r="C969">
        <v>135000</v>
      </c>
    </row>
    <row r="970" spans="2:3" x14ac:dyDescent="0.3">
      <c r="B970">
        <v>968</v>
      </c>
      <c r="C970">
        <v>37900</v>
      </c>
    </row>
    <row r="971" spans="2:3" x14ac:dyDescent="0.3">
      <c r="B971">
        <v>1095</v>
      </c>
      <c r="C971">
        <v>140000</v>
      </c>
    </row>
    <row r="972" spans="2:3" x14ac:dyDescent="0.3">
      <c r="B972">
        <v>1192</v>
      </c>
      <c r="C972">
        <v>135000</v>
      </c>
    </row>
    <row r="973" spans="2:3" x14ac:dyDescent="0.3">
      <c r="B973">
        <v>1626</v>
      </c>
      <c r="C973">
        <v>173000</v>
      </c>
    </row>
    <row r="974" spans="2:3" x14ac:dyDescent="0.3">
      <c r="B974">
        <v>918</v>
      </c>
      <c r="C974">
        <v>99500</v>
      </c>
    </row>
    <row r="975" spans="2:3" x14ac:dyDescent="0.3">
      <c r="B975">
        <v>1428</v>
      </c>
      <c r="C975">
        <v>182000</v>
      </c>
    </row>
    <row r="976" spans="2:3" x14ac:dyDescent="0.3">
      <c r="B976">
        <v>2019</v>
      </c>
      <c r="C976">
        <v>167500</v>
      </c>
    </row>
    <row r="977" spans="2:3" x14ac:dyDescent="0.3">
      <c r="B977">
        <v>1382</v>
      </c>
      <c r="C977">
        <v>165000</v>
      </c>
    </row>
    <row r="978" spans="2:3" x14ac:dyDescent="0.3">
      <c r="B978">
        <v>869</v>
      </c>
      <c r="C978">
        <v>85500</v>
      </c>
    </row>
    <row r="979" spans="2:3" x14ac:dyDescent="0.3">
      <c r="B979">
        <v>1241</v>
      </c>
      <c r="C979">
        <v>199900</v>
      </c>
    </row>
    <row r="980" spans="2:3" x14ac:dyDescent="0.3">
      <c r="B980">
        <v>894</v>
      </c>
      <c r="C980">
        <v>110000</v>
      </c>
    </row>
    <row r="981" spans="2:3" x14ac:dyDescent="0.3">
      <c r="B981">
        <v>1121</v>
      </c>
      <c r="C981">
        <v>139000</v>
      </c>
    </row>
    <row r="982" spans="2:3" x14ac:dyDescent="0.3">
      <c r="B982">
        <v>999</v>
      </c>
      <c r="C982">
        <v>178400</v>
      </c>
    </row>
    <row r="983" spans="2:3" x14ac:dyDescent="0.3">
      <c r="B983">
        <v>2612</v>
      </c>
      <c r="C983">
        <v>336000</v>
      </c>
    </row>
    <row r="984" spans="2:3" x14ac:dyDescent="0.3">
      <c r="B984">
        <v>1266</v>
      </c>
      <c r="C984">
        <v>159895</v>
      </c>
    </row>
    <row r="985" spans="2:3" x14ac:dyDescent="0.3">
      <c r="B985">
        <v>2290</v>
      </c>
      <c r="C985">
        <v>255900</v>
      </c>
    </row>
    <row r="986" spans="2:3" x14ac:dyDescent="0.3">
      <c r="B986">
        <v>1734</v>
      </c>
      <c r="C986">
        <v>126000</v>
      </c>
    </row>
    <row r="987" spans="2:3" x14ac:dyDescent="0.3">
      <c r="B987">
        <v>1164</v>
      </c>
      <c r="C987">
        <v>125000</v>
      </c>
    </row>
    <row r="988" spans="2:3" x14ac:dyDescent="0.3">
      <c r="B988">
        <v>1635</v>
      </c>
      <c r="C988">
        <v>117000</v>
      </c>
    </row>
    <row r="989" spans="2:3" x14ac:dyDescent="0.3">
      <c r="B989">
        <v>1940</v>
      </c>
      <c r="C989">
        <v>395192</v>
      </c>
    </row>
    <row r="990" spans="2:3" x14ac:dyDescent="0.3">
      <c r="B990">
        <v>2030</v>
      </c>
      <c r="C990">
        <v>195000</v>
      </c>
    </row>
    <row r="991" spans="2:3" x14ac:dyDescent="0.3">
      <c r="B991">
        <v>1576</v>
      </c>
      <c r="C991">
        <v>197000</v>
      </c>
    </row>
    <row r="992" spans="2:3" x14ac:dyDescent="0.3">
      <c r="B992">
        <v>2392</v>
      </c>
      <c r="C992">
        <v>348000</v>
      </c>
    </row>
    <row r="993" spans="2:3" x14ac:dyDescent="0.3">
      <c r="B993">
        <v>1742</v>
      </c>
      <c r="C993">
        <v>168000</v>
      </c>
    </row>
    <row r="994" spans="2:3" x14ac:dyDescent="0.3">
      <c r="B994">
        <v>1851</v>
      </c>
      <c r="C994">
        <v>187000</v>
      </c>
    </row>
    <row r="995" spans="2:3" x14ac:dyDescent="0.3">
      <c r="B995">
        <v>1500</v>
      </c>
      <c r="C995">
        <v>173900</v>
      </c>
    </row>
    <row r="996" spans="2:3" x14ac:dyDescent="0.3">
      <c r="B996">
        <v>1718</v>
      </c>
      <c r="C996">
        <v>337500</v>
      </c>
    </row>
    <row r="997" spans="2:3" x14ac:dyDescent="0.3">
      <c r="B997">
        <v>1230</v>
      </c>
      <c r="C997">
        <v>121600</v>
      </c>
    </row>
    <row r="998" spans="2:3" x14ac:dyDescent="0.3">
      <c r="B998">
        <v>1050</v>
      </c>
      <c r="C998">
        <v>136500</v>
      </c>
    </row>
    <row r="999" spans="2:3" x14ac:dyDescent="0.3">
      <c r="B999">
        <v>1442</v>
      </c>
      <c r="C999">
        <v>185000</v>
      </c>
    </row>
    <row r="1000" spans="2:3" x14ac:dyDescent="0.3">
      <c r="B1000">
        <v>1077</v>
      </c>
      <c r="C1000">
        <v>91000</v>
      </c>
    </row>
    <row r="1001" spans="2:3" x14ac:dyDescent="0.3">
      <c r="B1001">
        <v>1208</v>
      </c>
      <c r="C1001">
        <v>206000</v>
      </c>
    </row>
    <row r="1002" spans="2:3" x14ac:dyDescent="0.3">
      <c r="B1002">
        <v>944</v>
      </c>
      <c r="C1002">
        <v>82000</v>
      </c>
    </row>
    <row r="1003" spans="2:3" x14ac:dyDescent="0.3">
      <c r="B1003">
        <v>691</v>
      </c>
      <c r="C1003">
        <v>86000</v>
      </c>
    </row>
    <row r="1004" spans="2:3" x14ac:dyDescent="0.3">
      <c r="B1004">
        <v>1574</v>
      </c>
      <c r="C1004">
        <v>232000</v>
      </c>
    </row>
    <row r="1005" spans="2:3" x14ac:dyDescent="0.3">
      <c r="B1005">
        <v>1680</v>
      </c>
      <c r="C1005">
        <v>136905</v>
      </c>
    </row>
    <row r="1006" spans="2:3" x14ac:dyDescent="0.3">
      <c r="B1006">
        <v>1504</v>
      </c>
      <c r="C1006">
        <v>181000</v>
      </c>
    </row>
    <row r="1007" spans="2:3" x14ac:dyDescent="0.3">
      <c r="B1007">
        <v>985</v>
      </c>
      <c r="C1007">
        <v>149900</v>
      </c>
    </row>
    <row r="1008" spans="2:3" x14ac:dyDescent="0.3">
      <c r="B1008">
        <v>1657</v>
      </c>
      <c r="C1008">
        <v>163500</v>
      </c>
    </row>
    <row r="1009" spans="2:3" x14ac:dyDescent="0.3">
      <c r="B1009">
        <v>1092</v>
      </c>
      <c r="C1009">
        <v>88000</v>
      </c>
    </row>
    <row r="1010" spans="2:3" x14ac:dyDescent="0.3">
      <c r="B1010">
        <v>1710</v>
      </c>
      <c r="C1010">
        <v>240000</v>
      </c>
    </row>
    <row r="1011" spans="2:3" x14ac:dyDescent="0.3">
      <c r="B1011">
        <v>1522</v>
      </c>
      <c r="C1011">
        <v>102000</v>
      </c>
    </row>
    <row r="1012" spans="2:3" x14ac:dyDescent="0.3">
      <c r="B1012">
        <v>1271</v>
      </c>
      <c r="C1012">
        <v>135000</v>
      </c>
    </row>
    <row r="1013" spans="2:3" x14ac:dyDescent="0.3">
      <c r="B1013">
        <v>1664</v>
      </c>
      <c r="C1013">
        <v>100000</v>
      </c>
    </row>
    <row r="1014" spans="2:3" x14ac:dyDescent="0.3">
      <c r="B1014">
        <v>1502</v>
      </c>
      <c r="C1014">
        <v>165000</v>
      </c>
    </row>
    <row r="1015" spans="2:3" x14ac:dyDescent="0.3">
      <c r="B1015">
        <v>1022</v>
      </c>
      <c r="C1015">
        <v>85000</v>
      </c>
    </row>
    <row r="1016" spans="2:3" x14ac:dyDescent="0.3">
      <c r="B1016">
        <v>1082</v>
      </c>
      <c r="C1016">
        <v>119200</v>
      </c>
    </row>
    <row r="1017" spans="2:3" x14ac:dyDescent="0.3">
      <c r="B1017">
        <v>1665</v>
      </c>
      <c r="C1017">
        <v>227000</v>
      </c>
    </row>
    <row r="1018" spans="2:3" x14ac:dyDescent="0.3">
      <c r="B1018">
        <v>1504</v>
      </c>
      <c r="C1018">
        <v>203000</v>
      </c>
    </row>
    <row r="1019" spans="2:3" x14ac:dyDescent="0.3">
      <c r="B1019">
        <v>1360</v>
      </c>
      <c r="C1019">
        <v>187500</v>
      </c>
    </row>
    <row r="1020" spans="2:3" x14ac:dyDescent="0.3">
      <c r="B1020">
        <v>1472</v>
      </c>
      <c r="C1020">
        <v>160000</v>
      </c>
    </row>
    <row r="1021" spans="2:3" x14ac:dyDescent="0.3">
      <c r="B1021">
        <v>1506</v>
      </c>
      <c r="C1021">
        <v>213490</v>
      </c>
    </row>
    <row r="1022" spans="2:3" x14ac:dyDescent="0.3">
      <c r="B1022">
        <v>1132</v>
      </c>
      <c r="C1022">
        <v>176000</v>
      </c>
    </row>
    <row r="1023" spans="2:3" x14ac:dyDescent="0.3">
      <c r="B1023">
        <v>1220</v>
      </c>
      <c r="C1023">
        <v>194000</v>
      </c>
    </row>
    <row r="1024" spans="2:3" x14ac:dyDescent="0.3">
      <c r="B1024">
        <v>1248</v>
      </c>
      <c r="C1024">
        <v>87000</v>
      </c>
    </row>
    <row r="1025" spans="2:3" x14ac:dyDescent="0.3">
      <c r="B1025">
        <v>1504</v>
      </c>
      <c r="C1025">
        <v>191000</v>
      </c>
    </row>
    <row r="1026" spans="2:3" x14ac:dyDescent="0.3">
      <c r="B1026">
        <v>2898</v>
      </c>
      <c r="C1026">
        <v>287000</v>
      </c>
    </row>
    <row r="1027" spans="2:3" x14ac:dyDescent="0.3">
      <c r="B1027">
        <v>882</v>
      </c>
      <c r="C1027">
        <v>112500</v>
      </c>
    </row>
    <row r="1028" spans="2:3" x14ac:dyDescent="0.3">
      <c r="B1028">
        <v>1264</v>
      </c>
      <c r="C1028">
        <v>167500</v>
      </c>
    </row>
    <row r="1029" spans="2:3" x14ac:dyDescent="0.3">
      <c r="B1029">
        <v>1646</v>
      </c>
      <c r="C1029">
        <v>293077</v>
      </c>
    </row>
    <row r="1030" spans="2:3" x14ac:dyDescent="0.3">
      <c r="B1030">
        <v>1376</v>
      </c>
      <c r="C1030">
        <v>105000</v>
      </c>
    </row>
    <row r="1031" spans="2:3" x14ac:dyDescent="0.3">
      <c r="B1031">
        <v>1218</v>
      </c>
      <c r="C1031">
        <v>118000</v>
      </c>
    </row>
    <row r="1032" spans="2:3" x14ac:dyDescent="0.3">
      <c r="B1032">
        <v>1928</v>
      </c>
      <c r="C1032">
        <v>160000</v>
      </c>
    </row>
    <row r="1033" spans="2:3" x14ac:dyDescent="0.3">
      <c r="B1033">
        <v>3082</v>
      </c>
      <c r="C1033">
        <v>197000</v>
      </c>
    </row>
    <row r="1034" spans="2:3" x14ac:dyDescent="0.3">
      <c r="B1034">
        <v>2520</v>
      </c>
      <c r="C1034">
        <v>310000</v>
      </c>
    </row>
    <row r="1035" spans="2:3" x14ac:dyDescent="0.3">
      <c r="B1035">
        <v>1654</v>
      </c>
      <c r="C1035">
        <v>230000</v>
      </c>
    </row>
    <row r="1036" spans="2:3" x14ac:dyDescent="0.3">
      <c r="B1036">
        <v>954</v>
      </c>
      <c r="C1036">
        <v>119750</v>
      </c>
    </row>
    <row r="1037" spans="2:3" x14ac:dyDescent="0.3">
      <c r="B1037">
        <v>845</v>
      </c>
      <c r="C1037">
        <v>84000</v>
      </c>
    </row>
    <row r="1038" spans="2:3" x14ac:dyDescent="0.3">
      <c r="B1038">
        <v>1620</v>
      </c>
      <c r="C1038">
        <v>315500</v>
      </c>
    </row>
    <row r="1039" spans="2:3" x14ac:dyDescent="0.3">
      <c r="B1039">
        <v>2263</v>
      </c>
      <c r="C1039">
        <v>287000</v>
      </c>
    </row>
    <row r="1040" spans="2:3" x14ac:dyDescent="0.3">
      <c r="B1040">
        <v>1344</v>
      </c>
      <c r="C1040">
        <v>97000</v>
      </c>
    </row>
    <row r="1041" spans="2:3" x14ac:dyDescent="0.3">
      <c r="B1041">
        <v>630</v>
      </c>
      <c r="C1041">
        <v>80000</v>
      </c>
    </row>
    <row r="1042" spans="2:3" x14ac:dyDescent="0.3">
      <c r="B1042">
        <v>1803</v>
      </c>
      <c r="C1042">
        <v>155000</v>
      </c>
    </row>
    <row r="1043" spans="2:3" x14ac:dyDescent="0.3">
      <c r="B1043">
        <v>1632</v>
      </c>
      <c r="C1043">
        <v>173000</v>
      </c>
    </row>
    <row r="1044" spans="2:3" x14ac:dyDescent="0.3">
      <c r="B1044">
        <v>1306</v>
      </c>
      <c r="C1044">
        <v>196000</v>
      </c>
    </row>
    <row r="1045" spans="2:3" x14ac:dyDescent="0.3">
      <c r="B1045">
        <v>2329</v>
      </c>
      <c r="C1045">
        <v>262280</v>
      </c>
    </row>
    <row r="1046" spans="2:3" x14ac:dyDescent="0.3">
      <c r="B1046">
        <v>2524</v>
      </c>
      <c r="C1046">
        <v>278000</v>
      </c>
    </row>
    <row r="1047" spans="2:3" x14ac:dyDescent="0.3">
      <c r="B1047">
        <v>1733</v>
      </c>
      <c r="C1047">
        <v>139600</v>
      </c>
    </row>
    <row r="1048" spans="2:3" x14ac:dyDescent="0.3">
      <c r="B1048">
        <v>2868</v>
      </c>
      <c r="C1048">
        <v>556581</v>
      </c>
    </row>
    <row r="1049" spans="2:3" x14ac:dyDescent="0.3">
      <c r="B1049">
        <v>990</v>
      </c>
      <c r="C1049">
        <v>145000</v>
      </c>
    </row>
    <row r="1050" spans="2:3" x14ac:dyDescent="0.3">
      <c r="B1050">
        <v>1771</v>
      </c>
      <c r="C1050">
        <v>115000</v>
      </c>
    </row>
    <row r="1051" spans="2:3" x14ac:dyDescent="0.3">
      <c r="B1051">
        <v>930</v>
      </c>
      <c r="C1051">
        <v>84900</v>
      </c>
    </row>
    <row r="1052" spans="2:3" x14ac:dyDescent="0.3">
      <c r="B1052">
        <v>1302</v>
      </c>
      <c r="C1052">
        <v>176485</v>
      </c>
    </row>
    <row r="1053" spans="2:3" x14ac:dyDescent="0.3">
      <c r="B1053">
        <v>1316</v>
      </c>
      <c r="C1053">
        <v>200141</v>
      </c>
    </row>
    <row r="1054" spans="2:3" x14ac:dyDescent="0.3">
      <c r="B1054">
        <v>1977</v>
      </c>
      <c r="C1054">
        <v>165000</v>
      </c>
    </row>
    <row r="1055" spans="2:3" x14ac:dyDescent="0.3">
      <c r="B1055">
        <v>1526</v>
      </c>
      <c r="C1055">
        <v>144500</v>
      </c>
    </row>
    <row r="1056" spans="2:3" x14ac:dyDescent="0.3">
      <c r="B1056">
        <v>1989</v>
      </c>
      <c r="C1056">
        <v>255000</v>
      </c>
    </row>
    <row r="1057" spans="2:3" x14ac:dyDescent="0.3">
      <c r="B1057">
        <v>1523</v>
      </c>
      <c r="C1057">
        <v>180000</v>
      </c>
    </row>
    <row r="1058" spans="2:3" x14ac:dyDescent="0.3">
      <c r="B1058">
        <v>1364</v>
      </c>
      <c r="C1058">
        <v>185850</v>
      </c>
    </row>
    <row r="1059" spans="2:3" x14ac:dyDescent="0.3">
      <c r="B1059">
        <v>1850</v>
      </c>
      <c r="C1059">
        <v>248000</v>
      </c>
    </row>
    <row r="1060" spans="2:3" x14ac:dyDescent="0.3">
      <c r="B1060">
        <v>2184</v>
      </c>
      <c r="C1060">
        <v>335000</v>
      </c>
    </row>
    <row r="1061" spans="2:3" x14ac:dyDescent="0.3">
      <c r="B1061">
        <v>1991</v>
      </c>
      <c r="C1061">
        <v>220000</v>
      </c>
    </row>
    <row r="1062" spans="2:3" x14ac:dyDescent="0.3">
      <c r="B1062">
        <v>1338</v>
      </c>
      <c r="C1062">
        <v>213500</v>
      </c>
    </row>
    <row r="1063" spans="2:3" x14ac:dyDescent="0.3">
      <c r="B1063">
        <v>894</v>
      </c>
      <c r="C1063">
        <v>81000</v>
      </c>
    </row>
    <row r="1064" spans="2:3" x14ac:dyDescent="0.3">
      <c r="B1064">
        <v>2337</v>
      </c>
      <c r="C1064">
        <v>90000</v>
      </c>
    </row>
    <row r="1065" spans="2:3" x14ac:dyDescent="0.3">
      <c r="B1065">
        <v>1103</v>
      </c>
      <c r="C1065">
        <v>110500</v>
      </c>
    </row>
    <row r="1066" spans="2:3" x14ac:dyDescent="0.3">
      <c r="B1066">
        <v>1154</v>
      </c>
      <c r="C1066">
        <v>154000</v>
      </c>
    </row>
    <row r="1067" spans="2:3" x14ac:dyDescent="0.3">
      <c r="B1067">
        <v>2260</v>
      </c>
      <c r="C1067">
        <v>328000</v>
      </c>
    </row>
    <row r="1068" spans="2:3" x14ac:dyDescent="0.3">
      <c r="B1068">
        <v>1571</v>
      </c>
      <c r="C1068">
        <v>178000</v>
      </c>
    </row>
    <row r="1069" spans="2:3" x14ac:dyDescent="0.3">
      <c r="B1069">
        <v>1611</v>
      </c>
      <c r="C1069">
        <v>167900</v>
      </c>
    </row>
    <row r="1070" spans="2:3" x14ac:dyDescent="0.3">
      <c r="B1070">
        <v>2521</v>
      </c>
      <c r="C1070">
        <v>151400</v>
      </c>
    </row>
    <row r="1071" spans="2:3" x14ac:dyDescent="0.3">
      <c r="B1071">
        <v>893</v>
      </c>
      <c r="C1071">
        <v>135000</v>
      </c>
    </row>
    <row r="1072" spans="2:3" x14ac:dyDescent="0.3">
      <c r="B1072">
        <v>1048</v>
      </c>
      <c r="C1072">
        <v>135000</v>
      </c>
    </row>
    <row r="1073" spans="2:3" x14ac:dyDescent="0.3">
      <c r="B1073">
        <v>1556</v>
      </c>
      <c r="C1073">
        <v>154000</v>
      </c>
    </row>
    <row r="1074" spans="2:3" x14ac:dyDescent="0.3">
      <c r="B1074">
        <v>1456</v>
      </c>
      <c r="C1074">
        <v>91500</v>
      </c>
    </row>
    <row r="1075" spans="2:3" x14ac:dyDescent="0.3">
      <c r="B1075">
        <v>1426</v>
      </c>
      <c r="C1075">
        <v>159500</v>
      </c>
    </row>
    <row r="1076" spans="2:3" x14ac:dyDescent="0.3">
      <c r="B1076">
        <v>1240</v>
      </c>
      <c r="C1076">
        <v>194000</v>
      </c>
    </row>
    <row r="1077" spans="2:3" x14ac:dyDescent="0.3">
      <c r="B1077">
        <v>1740</v>
      </c>
      <c r="C1077">
        <v>219500</v>
      </c>
    </row>
    <row r="1078" spans="2:3" x14ac:dyDescent="0.3">
      <c r="B1078">
        <v>1466</v>
      </c>
      <c r="C1078">
        <v>170000</v>
      </c>
    </row>
    <row r="1079" spans="2:3" x14ac:dyDescent="0.3">
      <c r="B1079">
        <v>1096</v>
      </c>
      <c r="C1079">
        <v>138800</v>
      </c>
    </row>
    <row r="1080" spans="2:3" x14ac:dyDescent="0.3">
      <c r="B1080">
        <v>848</v>
      </c>
      <c r="C1080">
        <v>155900</v>
      </c>
    </row>
    <row r="1081" spans="2:3" x14ac:dyDescent="0.3">
      <c r="B1081">
        <v>990</v>
      </c>
      <c r="C1081">
        <v>126000</v>
      </c>
    </row>
    <row r="1082" spans="2:3" x14ac:dyDescent="0.3">
      <c r="B1082">
        <v>1258</v>
      </c>
      <c r="C1082">
        <v>145000</v>
      </c>
    </row>
    <row r="1083" spans="2:3" x14ac:dyDescent="0.3">
      <c r="B1083">
        <v>1040</v>
      </c>
      <c r="C1083">
        <v>133000</v>
      </c>
    </row>
    <row r="1084" spans="2:3" x14ac:dyDescent="0.3">
      <c r="B1084">
        <v>1459</v>
      </c>
      <c r="C1084">
        <v>192000</v>
      </c>
    </row>
    <row r="1085" spans="2:3" x14ac:dyDescent="0.3">
      <c r="B1085">
        <v>1251</v>
      </c>
      <c r="C1085">
        <v>160000</v>
      </c>
    </row>
    <row r="1086" spans="2:3" x14ac:dyDescent="0.3">
      <c r="B1086">
        <v>1498</v>
      </c>
      <c r="C1086">
        <v>187500</v>
      </c>
    </row>
    <row r="1087" spans="2:3" x14ac:dyDescent="0.3">
      <c r="B1087">
        <v>996</v>
      </c>
      <c r="C1087">
        <v>147000</v>
      </c>
    </row>
    <row r="1088" spans="2:3" x14ac:dyDescent="0.3">
      <c r="B1088">
        <v>1092</v>
      </c>
      <c r="C1088">
        <v>83500</v>
      </c>
    </row>
    <row r="1089" spans="2:3" x14ac:dyDescent="0.3">
      <c r="B1089">
        <v>1953</v>
      </c>
      <c r="C1089">
        <v>252000</v>
      </c>
    </row>
    <row r="1090" spans="2:3" x14ac:dyDescent="0.3">
      <c r="B1090">
        <v>1709</v>
      </c>
      <c r="C1090">
        <v>137500</v>
      </c>
    </row>
    <row r="1091" spans="2:3" x14ac:dyDescent="0.3">
      <c r="B1091">
        <v>1247</v>
      </c>
      <c r="C1091">
        <v>197000</v>
      </c>
    </row>
    <row r="1092" spans="2:3" x14ac:dyDescent="0.3">
      <c r="B1092">
        <v>1040</v>
      </c>
      <c r="C1092">
        <v>92900</v>
      </c>
    </row>
    <row r="1093" spans="2:3" x14ac:dyDescent="0.3">
      <c r="B1093">
        <v>1252</v>
      </c>
      <c r="C1093">
        <v>160000</v>
      </c>
    </row>
    <row r="1094" spans="2:3" x14ac:dyDescent="0.3">
      <c r="B1094">
        <v>1694</v>
      </c>
      <c r="C1094">
        <v>136500</v>
      </c>
    </row>
    <row r="1095" spans="2:3" x14ac:dyDescent="0.3">
      <c r="B1095">
        <v>1200</v>
      </c>
      <c r="C1095">
        <v>146000</v>
      </c>
    </row>
    <row r="1096" spans="2:3" x14ac:dyDescent="0.3">
      <c r="B1096">
        <v>936</v>
      </c>
      <c r="C1096">
        <v>129000</v>
      </c>
    </row>
    <row r="1097" spans="2:3" x14ac:dyDescent="0.3">
      <c r="B1097">
        <v>1314</v>
      </c>
      <c r="C1097">
        <v>176432</v>
      </c>
    </row>
    <row r="1098" spans="2:3" x14ac:dyDescent="0.3">
      <c r="B1098">
        <v>1355</v>
      </c>
      <c r="C1098">
        <v>127000</v>
      </c>
    </row>
    <row r="1099" spans="2:3" x14ac:dyDescent="0.3">
      <c r="B1099">
        <v>1088</v>
      </c>
      <c r="C1099">
        <v>170000</v>
      </c>
    </row>
    <row r="1100" spans="2:3" x14ac:dyDescent="0.3">
      <c r="B1100">
        <v>1324</v>
      </c>
      <c r="C1100">
        <v>128000</v>
      </c>
    </row>
    <row r="1101" spans="2:3" x14ac:dyDescent="0.3">
      <c r="B1101">
        <v>1601</v>
      </c>
      <c r="C1101">
        <v>157000</v>
      </c>
    </row>
    <row r="1102" spans="2:3" x14ac:dyDescent="0.3">
      <c r="B1102">
        <v>438</v>
      </c>
      <c r="C1102">
        <v>60000</v>
      </c>
    </row>
    <row r="1103" spans="2:3" x14ac:dyDescent="0.3">
      <c r="B1103">
        <v>950</v>
      </c>
      <c r="C1103">
        <v>119500</v>
      </c>
    </row>
    <row r="1104" spans="2:3" x14ac:dyDescent="0.3">
      <c r="B1104">
        <v>1134</v>
      </c>
      <c r="C1104">
        <v>135000</v>
      </c>
    </row>
    <row r="1105" spans="2:3" x14ac:dyDescent="0.3">
      <c r="B1105">
        <v>1194</v>
      </c>
      <c r="C1105">
        <v>159500</v>
      </c>
    </row>
    <row r="1106" spans="2:3" x14ac:dyDescent="0.3">
      <c r="B1106">
        <v>1302</v>
      </c>
      <c r="C1106">
        <v>106000</v>
      </c>
    </row>
    <row r="1107" spans="2:3" x14ac:dyDescent="0.3">
      <c r="B1107">
        <v>2622</v>
      </c>
      <c r="C1107">
        <v>325000</v>
      </c>
    </row>
    <row r="1108" spans="2:3" x14ac:dyDescent="0.3">
      <c r="B1108">
        <v>1442</v>
      </c>
      <c r="C1108">
        <v>179900</v>
      </c>
    </row>
    <row r="1109" spans="2:3" x14ac:dyDescent="0.3">
      <c r="B1109">
        <v>2021</v>
      </c>
      <c r="C1109">
        <v>274725</v>
      </c>
    </row>
    <row r="1110" spans="2:3" x14ac:dyDescent="0.3">
      <c r="B1110">
        <v>1690</v>
      </c>
      <c r="C1110">
        <v>181000</v>
      </c>
    </row>
    <row r="1111" spans="2:3" x14ac:dyDescent="0.3">
      <c r="B1111">
        <v>1836</v>
      </c>
      <c r="C1111">
        <v>280000</v>
      </c>
    </row>
    <row r="1112" spans="2:3" x14ac:dyDescent="0.3">
      <c r="B1112">
        <v>1658</v>
      </c>
      <c r="C1112">
        <v>188000</v>
      </c>
    </row>
    <row r="1113" spans="2:3" x14ac:dyDescent="0.3">
      <c r="B1113">
        <v>1964</v>
      </c>
      <c r="C1113">
        <v>205000</v>
      </c>
    </row>
    <row r="1114" spans="2:3" x14ac:dyDescent="0.3">
      <c r="B1114">
        <v>816</v>
      </c>
      <c r="C1114">
        <v>129900</v>
      </c>
    </row>
    <row r="1115" spans="2:3" x14ac:dyDescent="0.3">
      <c r="B1115">
        <v>1008</v>
      </c>
      <c r="C1115">
        <v>134500</v>
      </c>
    </row>
    <row r="1116" spans="2:3" x14ac:dyDescent="0.3">
      <c r="B1116">
        <v>833</v>
      </c>
      <c r="C1116">
        <v>117000</v>
      </c>
    </row>
    <row r="1117" spans="2:3" x14ac:dyDescent="0.3">
      <c r="B1117">
        <v>1734</v>
      </c>
      <c r="C1117">
        <v>318000</v>
      </c>
    </row>
    <row r="1118" spans="2:3" x14ac:dyDescent="0.3">
      <c r="B1118">
        <v>1419</v>
      </c>
      <c r="C1118">
        <v>184100</v>
      </c>
    </row>
    <row r="1119" spans="2:3" x14ac:dyDescent="0.3">
      <c r="B1119">
        <v>894</v>
      </c>
      <c r="C1119">
        <v>130000</v>
      </c>
    </row>
    <row r="1120" spans="2:3" x14ac:dyDescent="0.3">
      <c r="B1120">
        <v>1601</v>
      </c>
      <c r="C1120">
        <v>140000</v>
      </c>
    </row>
    <row r="1121" spans="2:3" x14ac:dyDescent="0.3">
      <c r="B1121">
        <v>1040</v>
      </c>
      <c r="C1121">
        <v>133700</v>
      </c>
    </row>
    <row r="1122" spans="2:3" x14ac:dyDescent="0.3">
      <c r="B1122">
        <v>1012</v>
      </c>
      <c r="C1122">
        <v>118400</v>
      </c>
    </row>
    <row r="1123" spans="2:3" x14ac:dyDescent="0.3">
      <c r="B1123">
        <v>1552</v>
      </c>
      <c r="C1123">
        <v>212900</v>
      </c>
    </row>
    <row r="1124" spans="2:3" x14ac:dyDescent="0.3">
      <c r="B1124">
        <v>960</v>
      </c>
      <c r="C1124">
        <v>112000</v>
      </c>
    </row>
    <row r="1125" spans="2:3" x14ac:dyDescent="0.3">
      <c r="B1125">
        <v>698</v>
      </c>
      <c r="C1125">
        <v>118000</v>
      </c>
    </row>
    <row r="1126" spans="2:3" x14ac:dyDescent="0.3">
      <c r="B1126">
        <v>1482</v>
      </c>
      <c r="C1126">
        <v>163900</v>
      </c>
    </row>
    <row r="1127" spans="2:3" x14ac:dyDescent="0.3">
      <c r="B1127">
        <v>1005</v>
      </c>
      <c r="C1127">
        <v>115000</v>
      </c>
    </row>
    <row r="1128" spans="2:3" x14ac:dyDescent="0.3">
      <c r="B1128">
        <v>1555</v>
      </c>
      <c r="C1128">
        <v>174000</v>
      </c>
    </row>
    <row r="1129" spans="2:3" x14ac:dyDescent="0.3">
      <c r="B1129">
        <v>1530</v>
      </c>
      <c r="C1129">
        <v>259000</v>
      </c>
    </row>
    <row r="1130" spans="2:3" x14ac:dyDescent="0.3">
      <c r="B1130">
        <v>1959</v>
      </c>
      <c r="C1130">
        <v>215000</v>
      </c>
    </row>
    <row r="1131" spans="2:3" x14ac:dyDescent="0.3">
      <c r="B1131">
        <v>936</v>
      </c>
      <c r="C1131">
        <v>140000</v>
      </c>
    </row>
    <row r="1132" spans="2:3" x14ac:dyDescent="0.3">
      <c r="B1132">
        <v>1981</v>
      </c>
      <c r="C1132">
        <v>135000</v>
      </c>
    </row>
    <row r="1133" spans="2:3" x14ac:dyDescent="0.3">
      <c r="B1133">
        <v>974</v>
      </c>
      <c r="C1133">
        <v>93500</v>
      </c>
    </row>
    <row r="1134" spans="2:3" x14ac:dyDescent="0.3">
      <c r="B1134">
        <v>2210</v>
      </c>
      <c r="C1134">
        <v>117500</v>
      </c>
    </row>
    <row r="1135" spans="2:3" x14ac:dyDescent="0.3">
      <c r="B1135">
        <v>2020</v>
      </c>
      <c r="C1135">
        <v>239500</v>
      </c>
    </row>
    <row r="1136" spans="2:3" x14ac:dyDescent="0.3">
      <c r="B1136">
        <v>1600</v>
      </c>
      <c r="C1136">
        <v>169000</v>
      </c>
    </row>
    <row r="1137" spans="2:3" x14ac:dyDescent="0.3">
      <c r="B1137">
        <v>986</v>
      </c>
      <c r="C1137">
        <v>102000</v>
      </c>
    </row>
    <row r="1138" spans="2:3" x14ac:dyDescent="0.3">
      <c r="B1138">
        <v>1252</v>
      </c>
      <c r="C1138">
        <v>119000</v>
      </c>
    </row>
    <row r="1139" spans="2:3" x14ac:dyDescent="0.3">
      <c r="B1139">
        <v>1020</v>
      </c>
      <c r="C1139">
        <v>94000</v>
      </c>
    </row>
    <row r="1140" spans="2:3" x14ac:dyDescent="0.3">
      <c r="B1140">
        <v>1567</v>
      </c>
      <c r="C1140">
        <v>196000</v>
      </c>
    </row>
    <row r="1141" spans="2:3" x14ac:dyDescent="0.3">
      <c r="B1141">
        <v>1167</v>
      </c>
      <c r="C1141">
        <v>144000</v>
      </c>
    </row>
    <row r="1142" spans="2:3" x14ac:dyDescent="0.3">
      <c r="B1142">
        <v>952</v>
      </c>
      <c r="C1142">
        <v>139000</v>
      </c>
    </row>
    <row r="1143" spans="2:3" x14ac:dyDescent="0.3">
      <c r="B1143">
        <v>1868</v>
      </c>
      <c r="C1143">
        <v>197500</v>
      </c>
    </row>
    <row r="1144" spans="2:3" x14ac:dyDescent="0.3">
      <c r="B1144">
        <v>2828</v>
      </c>
      <c r="C1144">
        <v>424870</v>
      </c>
    </row>
    <row r="1145" spans="2:3" x14ac:dyDescent="0.3">
      <c r="B1145">
        <v>1006</v>
      </c>
      <c r="C1145">
        <v>80000</v>
      </c>
    </row>
    <row r="1146" spans="2:3" x14ac:dyDescent="0.3">
      <c r="B1146">
        <v>924</v>
      </c>
      <c r="C1146">
        <v>80000</v>
      </c>
    </row>
    <row r="1147" spans="2:3" x14ac:dyDescent="0.3">
      <c r="B1147">
        <v>1576</v>
      </c>
      <c r="C1147">
        <v>149000</v>
      </c>
    </row>
    <row r="1148" spans="2:3" x14ac:dyDescent="0.3">
      <c r="B1148">
        <v>1298</v>
      </c>
      <c r="C1148">
        <v>180000</v>
      </c>
    </row>
    <row r="1149" spans="2:3" x14ac:dyDescent="0.3">
      <c r="B1149">
        <v>1564</v>
      </c>
      <c r="C1149">
        <v>174500</v>
      </c>
    </row>
    <row r="1150" spans="2:3" x14ac:dyDescent="0.3">
      <c r="B1150">
        <v>1111</v>
      </c>
      <c r="C1150">
        <v>116900</v>
      </c>
    </row>
    <row r="1151" spans="2:3" x14ac:dyDescent="0.3">
      <c r="B1151">
        <v>1482</v>
      </c>
      <c r="C1151">
        <v>143000</v>
      </c>
    </row>
    <row r="1152" spans="2:3" x14ac:dyDescent="0.3">
      <c r="B1152">
        <v>932</v>
      </c>
      <c r="C1152">
        <v>124000</v>
      </c>
    </row>
    <row r="1153" spans="2:3" x14ac:dyDescent="0.3">
      <c r="B1153">
        <v>1466</v>
      </c>
      <c r="C1153">
        <v>149900</v>
      </c>
    </row>
    <row r="1154" spans="2:3" x14ac:dyDescent="0.3">
      <c r="B1154">
        <v>1811</v>
      </c>
      <c r="C1154">
        <v>230000</v>
      </c>
    </row>
    <row r="1155" spans="2:3" x14ac:dyDescent="0.3">
      <c r="B1155">
        <v>816</v>
      </c>
      <c r="C1155">
        <v>120500</v>
      </c>
    </row>
    <row r="1156" spans="2:3" x14ac:dyDescent="0.3">
      <c r="B1156">
        <v>1820</v>
      </c>
      <c r="C1156">
        <v>201800</v>
      </c>
    </row>
    <row r="1157" spans="2:3" x14ac:dyDescent="0.3">
      <c r="B1157">
        <v>1437</v>
      </c>
      <c r="C1157">
        <v>218000</v>
      </c>
    </row>
    <row r="1158" spans="2:3" x14ac:dyDescent="0.3">
      <c r="B1158">
        <v>1265</v>
      </c>
      <c r="C1158">
        <v>179900</v>
      </c>
    </row>
    <row r="1159" spans="2:3" x14ac:dyDescent="0.3">
      <c r="B1159">
        <v>1314</v>
      </c>
      <c r="C1159">
        <v>230000</v>
      </c>
    </row>
    <row r="1160" spans="2:3" x14ac:dyDescent="0.3">
      <c r="B1160">
        <v>1580</v>
      </c>
      <c r="C1160">
        <v>235128</v>
      </c>
    </row>
    <row r="1161" spans="2:3" x14ac:dyDescent="0.3">
      <c r="B1161">
        <v>1876</v>
      </c>
      <c r="C1161">
        <v>185000</v>
      </c>
    </row>
    <row r="1162" spans="2:3" x14ac:dyDescent="0.3">
      <c r="B1162">
        <v>1456</v>
      </c>
      <c r="C1162">
        <v>146000</v>
      </c>
    </row>
    <row r="1163" spans="2:3" x14ac:dyDescent="0.3">
      <c r="B1163">
        <v>1640</v>
      </c>
      <c r="C1163">
        <v>224000</v>
      </c>
    </row>
    <row r="1164" spans="2:3" x14ac:dyDescent="0.3">
      <c r="B1164">
        <v>894</v>
      </c>
      <c r="C1164">
        <v>129000</v>
      </c>
    </row>
    <row r="1165" spans="2:3" x14ac:dyDescent="0.3">
      <c r="B1165">
        <v>1258</v>
      </c>
      <c r="C1165">
        <v>108959</v>
      </c>
    </row>
    <row r="1166" spans="2:3" x14ac:dyDescent="0.3">
      <c r="B1166">
        <v>1432</v>
      </c>
      <c r="C1166">
        <v>194000</v>
      </c>
    </row>
    <row r="1167" spans="2:3" x14ac:dyDescent="0.3">
      <c r="B1167">
        <v>1502</v>
      </c>
      <c r="C1167">
        <v>233170</v>
      </c>
    </row>
    <row r="1168" spans="2:3" x14ac:dyDescent="0.3">
      <c r="B1168">
        <v>1694</v>
      </c>
      <c r="C1168">
        <v>245350</v>
      </c>
    </row>
    <row r="1169" spans="2:3" x14ac:dyDescent="0.3">
      <c r="B1169">
        <v>1671</v>
      </c>
      <c r="C1169">
        <v>173000</v>
      </c>
    </row>
    <row r="1170" spans="2:3" x14ac:dyDescent="0.3">
      <c r="B1170">
        <v>2108</v>
      </c>
      <c r="C1170">
        <v>235000</v>
      </c>
    </row>
    <row r="1171" spans="2:3" x14ac:dyDescent="0.3">
      <c r="B1171">
        <v>3627</v>
      </c>
      <c r="C1171">
        <v>625000</v>
      </c>
    </row>
    <row r="1172" spans="2:3" x14ac:dyDescent="0.3">
      <c r="B1172">
        <v>1118</v>
      </c>
      <c r="C1172">
        <v>171000</v>
      </c>
    </row>
    <row r="1173" spans="2:3" x14ac:dyDescent="0.3">
      <c r="B1173">
        <v>1261</v>
      </c>
      <c r="C1173">
        <v>163000</v>
      </c>
    </row>
    <row r="1174" spans="2:3" x14ac:dyDescent="0.3">
      <c r="B1174">
        <v>1250</v>
      </c>
      <c r="C1174">
        <v>171900</v>
      </c>
    </row>
    <row r="1175" spans="2:3" x14ac:dyDescent="0.3">
      <c r="B1175">
        <v>3086</v>
      </c>
      <c r="C1175">
        <v>200500</v>
      </c>
    </row>
    <row r="1176" spans="2:3" x14ac:dyDescent="0.3">
      <c r="B1176">
        <v>2345</v>
      </c>
      <c r="C1176">
        <v>239000</v>
      </c>
    </row>
    <row r="1177" spans="2:3" x14ac:dyDescent="0.3">
      <c r="B1177">
        <v>2872</v>
      </c>
      <c r="C1177">
        <v>285000</v>
      </c>
    </row>
    <row r="1178" spans="2:3" x14ac:dyDescent="0.3">
      <c r="B1178">
        <v>923</v>
      </c>
      <c r="C1178">
        <v>119500</v>
      </c>
    </row>
    <row r="1179" spans="2:3" x14ac:dyDescent="0.3">
      <c r="B1179">
        <v>1224</v>
      </c>
      <c r="C1179">
        <v>115000</v>
      </c>
    </row>
    <row r="1180" spans="2:3" x14ac:dyDescent="0.3">
      <c r="B1180">
        <v>1343</v>
      </c>
      <c r="C1180">
        <v>154900</v>
      </c>
    </row>
    <row r="1181" spans="2:3" x14ac:dyDescent="0.3">
      <c r="B1181">
        <v>1124</v>
      </c>
      <c r="C1181">
        <v>93000</v>
      </c>
    </row>
    <row r="1182" spans="2:3" x14ac:dyDescent="0.3">
      <c r="B1182">
        <v>2514</v>
      </c>
      <c r="C1182">
        <v>250000</v>
      </c>
    </row>
    <row r="1183" spans="2:3" x14ac:dyDescent="0.3">
      <c r="B1183">
        <v>1652</v>
      </c>
      <c r="C1183">
        <v>392500</v>
      </c>
    </row>
    <row r="1184" spans="2:3" x14ac:dyDescent="0.3">
      <c r="B1184">
        <v>4476</v>
      </c>
      <c r="C1184">
        <v>745000</v>
      </c>
    </row>
    <row r="1185" spans="2:3" x14ac:dyDescent="0.3">
      <c r="B1185">
        <v>1130</v>
      </c>
      <c r="C1185">
        <v>120000</v>
      </c>
    </row>
    <row r="1186" spans="2:3" x14ac:dyDescent="0.3">
      <c r="B1186">
        <v>1572</v>
      </c>
      <c r="C1186">
        <v>186700</v>
      </c>
    </row>
    <row r="1187" spans="2:3" x14ac:dyDescent="0.3">
      <c r="B1187">
        <v>1221</v>
      </c>
      <c r="C1187">
        <v>104900</v>
      </c>
    </row>
    <row r="1188" spans="2:3" x14ac:dyDescent="0.3">
      <c r="B1188">
        <v>1699</v>
      </c>
      <c r="C1188">
        <v>95000</v>
      </c>
    </row>
    <row r="1189" spans="2:3" x14ac:dyDescent="0.3">
      <c r="B1189">
        <v>1624</v>
      </c>
      <c r="C1189">
        <v>262000</v>
      </c>
    </row>
    <row r="1190" spans="2:3" x14ac:dyDescent="0.3">
      <c r="B1190">
        <v>1660</v>
      </c>
      <c r="C1190">
        <v>195000</v>
      </c>
    </row>
    <row r="1191" spans="2:3" x14ac:dyDescent="0.3">
      <c r="B1191">
        <v>1804</v>
      </c>
      <c r="C1191">
        <v>189000</v>
      </c>
    </row>
    <row r="1192" spans="2:3" x14ac:dyDescent="0.3">
      <c r="B1192">
        <v>1622</v>
      </c>
      <c r="C1192">
        <v>168000</v>
      </c>
    </row>
    <row r="1193" spans="2:3" x14ac:dyDescent="0.3">
      <c r="B1193">
        <v>1441</v>
      </c>
      <c r="C1193">
        <v>174000</v>
      </c>
    </row>
    <row r="1194" spans="2:3" x14ac:dyDescent="0.3">
      <c r="B1194">
        <v>1472</v>
      </c>
      <c r="C1194">
        <v>125000</v>
      </c>
    </row>
    <row r="1195" spans="2:3" x14ac:dyDescent="0.3">
      <c r="B1195">
        <v>1224</v>
      </c>
      <c r="C1195">
        <v>165000</v>
      </c>
    </row>
    <row r="1196" spans="2:3" x14ac:dyDescent="0.3">
      <c r="B1196">
        <v>1352</v>
      </c>
      <c r="C1196">
        <v>158000</v>
      </c>
    </row>
    <row r="1197" spans="2:3" x14ac:dyDescent="0.3">
      <c r="B1197">
        <v>1456</v>
      </c>
      <c r="C1197">
        <v>176000</v>
      </c>
    </row>
    <row r="1198" spans="2:3" x14ac:dyDescent="0.3">
      <c r="B1198">
        <v>1863</v>
      </c>
      <c r="C1198">
        <v>219210</v>
      </c>
    </row>
    <row r="1199" spans="2:3" x14ac:dyDescent="0.3">
      <c r="B1199">
        <v>1690</v>
      </c>
      <c r="C1199">
        <v>144000</v>
      </c>
    </row>
    <row r="1200" spans="2:3" x14ac:dyDescent="0.3">
      <c r="B1200">
        <v>1212</v>
      </c>
      <c r="C1200">
        <v>178000</v>
      </c>
    </row>
    <row r="1201" spans="2:3" x14ac:dyDescent="0.3">
      <c r="B1201">
        <v>1382</v>
      </c>
      <c r="C1201">
        <v>148000</v>
      </c>
    </row>
    <row r="1202" spans="2:3" x14ac:dyDescent="0.3">
      <c r="B1202">
        <v>864</v>
      </c>
      <c r="C1202">
        <v>116050</v>
      </c>
    </row>
    <row r="1203" spans="2:3" x14ac:dyDescent="0.3">
      <c r="B1203">
        <v>1779</v>
      </c>
      <c r="C1203">
        <v>197900</v>
      </c>
    </row>
    <row r="1204" spans="2:3" x14ac:dyDescent="0.3">
      <c r="B1204">
        <v>1348</v>
      </c>
      <c r="C1204">
        <v>117000</v>
      </c>
    </row>
    <row r="1205" spans="2:3" x14ac:dyDescent="0.3">
      <c r="B1205">
        <v>1630</v>
      </c>
      <c r="C1205">
        <v>213000</v>
      </c>
    </row>
    <row r="1206" spans="2:3" x14ac:dyDescent="0.3">
      <c r="B1206">
        <v>1074</v>
      </c>
      <c r="C1206">
        <v>153500</v>
      </c>
    </row>
    <row r="1207" spans="2:3" x14ac:dyDescent="0.3">
      <c r="B1207">
        <v>2196</v>
      </c>
      <c r="C1207">
        <v>271900</v>
      </c>
    </row>
    <row r="1208" spans="2:3" x14ac:dyDescent="0.3">
      <c r="B1208">
        <v>1056</v>
      </c>
      <c r="C1208">
        <v>107000</v>
      </c>
    </row>
    <row r="1209" spans="2:3" x14ac:dyDescent="0.3">
      <c r="B1209">
        <v>1700</v>
      </c>
      <c r="C1209">
        <v>200000</v>
      </c>
    </row>
    <row r="1210" spans="2:3" x14ac:dyDescent="0.3">
      <c r="B1210">
        <v>1283</v>
      </c>
      <c r="C1210">
        <v>140000</v>
      </c>
    </row>
    <row r="1211" spans="2:3" x14ac:dyDescent="0.3">
      <c r="B1211">
        <v>1660</v>
      </c>
      <c r="C1211">
        <v>290000</v>
      </c>
    </row>
    <row r="1212" spans="2:3" x14ac:dyDescent="0.3">
      <c r="B1212">
        <v>1845</v>
      </c>
      <c r="C1212">
        <v>189000</v>
      </c>
    </row>
    <row r="1213" spans="2:3" x14ac:dyDescent="0.3">
      <c r="B1213">
        <v>1752</v>
      </c>
      <c r="C1213">
        <v>164000</v>
      </c>
    </row>
    <row r="1214" spans="2:3" x14ac:dyDescent="0.3">
      <c r="B1214">
        <v>672</v>
      </c>
      <c r="C1214">
        <v>113000</v>
      </c>
    </row>
    <row r="1215" spans="2:3" x14ac:dyDescent="0.3">
      <c r="B1215">
        <v>960</v>
      </c>
      <c r="C1215">
        <v>145000</v>
      </c>
    </row>
    <row r="1216" spans="2:3" x14ac:dyDescent="0.3">
      <c r="B1216">
        <v>999</v>
      </c>
      <c r="C1216">
        <v>134500</v>
      </c>
    </row>
    <row r="1217" spans="2:3" x14ac:dyDescent="0.3">
      <c r="B1217">
        <v>894</v>
      </c>
      <c r="C1217">
        <v>125000</v>
      </c>
    </row>
    <row r="1218" spans="2:3" x14ac:dyDescent="0.3">
      <c r="B1218">
        <v>1902</v>
      </c>
      <c r="C1218">
        <v>112000</v>
      </c>
    </row>
    <row r="1219" spans="2:3" x14ac:dyDescent="0.3">
      <c r="B1219">
        <v>1314</v>
      </c>
      <c r="C1219">
        <v>229456</v>
      </c>
    </row>
    <row r="1220" spans="2:3" x14ac:dyDescent="0.3">
      <c r="B1220">
        <v>912</v>
      </c>
      <c r="C1220">
        <v>80500</v>
      </c>
    </row>
    <row r="1221" spans="2:3" x14ac:dyDescent="0.3">
      <c r="B1221">
        <v>1218</v>
      </c>
      <c r="C1221">
        <v>91500</v>
      </c>
    </row>
    <row r="1222" spans="2:3" x14ac:dyDescent="0.3">
      <c r="B1222">
        <v>912</v>
      </c>
      <c r="C1222">
        <v>115000</v>
      </c>
    </row>
    <row r="1223" spans="2:3" x14ac:dyDescent="0.3">
      <c r="B1223">
        <v>1211</v>
      </c>
      <c r="C1223">
        <v>134000</v>
      </c>
    </row>
    <row r="1224" spans="2:3" x14ac:dyDescent="0.3">
      <c r="B1224">
        <v>1846</v>
      </c>
      <c r="C1224">
        <v>143000</v>
      </c>
    </row>
    <row r="1225" spans="2:3" x14ac:dyDescent="0.3">
      <c r="B1225">
        <v>2136</v>
      </c>
      <c r="C1225">
        <v>137900</v>
      </c>
    </row>
    <row r="1226" spans="2:3" x14ac:dyDescent="0.3">
      <c r="B1226">
        <v>1490</v>
      </c>
      <c r="C1226">
        <v>184000</v>
      </c>
    </row>
    <row r="1227" spans="2:3" x14ac:dyDescent="0.3">
      <c r="B1227">
        <v>1138</v>
      </c>
      <c r="C1227">
        <v>145000</v>
      </c>
    </row>
    <row r="1228" spans="2:3" x14ac:dyDescent="0.3">
      <c r="B1228">
        <v>1933</v>
      </c>
      <c r="C1228">
        <v>214000</v>
      </c>
    </row>
    <row r="1229" spans="2:3" x14ac:dyDescent="0.3">
      <c r="B1229">
        <v>912</v>
      </c>
      <c r="C1229">
        <v>147000</v>
      </c>
    </row>
    <row r="1230" spans="2:3" x14ac:dyDescent="0.3">
      <c r="B1230">
        <v>1702</v>
      </c>
      <c r="C1230">
        <v>367294</v>
      </c>
    </row>
    <row r="1231" spans="2:3" x14ac:dyDescent="0.3">
      <c r="B1231">
        <v>1507</v>
      </c>
      <c r="C1231">
        <v>127000</v>
      </c>
    </row>
    <row r="1232" spans="2:3" x14ac:dyDescent="0.3">
      <c r="B1232">
        <v>2620</v>
      </c>
      <c r="C1232">
        <v>190000</v>
      </c>
    </row>
    <row r="1233" spans="2:3" x14ac:dyDescent="0.3">
      <c r="B1233">
        <v>1190</v>
      </c>
      <c r="C1233">
        <v>132500</v>
      </c>
    </row>
    <row r="1234" spans="2:3" x14ac:dyDescent="0.3">
      <c r="B1234">
        <v>1224</v>
      </c>
      <c r="C1234">
        <v>101800</v>
      </c>
    </row>
    <row r="1235" spans="2:3" x14ac:dyDescent="0.3">
      <c r="B1235">
        <v>1188</v>
      </c>
      <c r="C1235">
        <v>142000</v>
      </c>
    </row>
    <row r="1236" spans="2:3" x14ac:dyDescent="0.3">
      <c r="B1236">
        <v>1964</v>
      </c>
      <c r="C1236">
        <v>130000</v>
      </c>
    </row>
    <row r="1237" spans="2:3" x14ac:dyDescent="0.3">
      <c r="B1237">
        <v>1784</v>
      </c>
      <c r="C1237">
        <v>138887</v>
      </c>
    </row>
    <row r="1238" spans="2:3" x14ac:dyDescent="0.3">
      <c r="B1238">
        <v>1626</v>
      </c>
      <c r="C1238">
        <v>175500</v>
      </c>
    </row>
    <row r="1239" spans="2:3" x14ac:dyDescent="0.3">
      <c r="B1239">
        <v>1948</v>
      </c>
      <c r="C1239">
        <v>195000</v>
      </c>
    </row>
    <row r="1240" spans="2:3" x14ac:dyDescent="0.3">
      <c r="B1240">
        <v>1141</v>
      </c>
      <c r="C1240">
        <v>142500</v>
      </c>
    </row>
    <row r="1241" spans="2:3" x14ac:dyDescent="0.3">
      <c r="B1241">
        <v>1484</v>
      </c>
      <c r="C1241">
        <v>265900</v>
      </c>
    </row>
    <row r="1242" spans="2:3" x14ac:dyDescent="0.3">
      <c r="B1242">
        <v>1768</v>
      </c>
      <c r="C1242">
        <v>224900</v>
      </c>
    </row>
    <row r="1243" spans="2:3" x14ac:dyDescent="0.3">
      <c r="B1243">
        <v>1689</v>
      </c>
      <c r="C1243">
        <v>248328</v>
      </c>
    </row>
    <row r="1244" spans="2:3" x14ac:dyDescent="0.3">
      <c r="B1244">
        <v>1173</v>
      </c>
      <c r="C1244">
        <v>170000</v>
      </c>
    </row>
    <row r="1245" spans="2:3" x14ac:dyDescent="0.3">
      <c r="B1245">
        <v>2076</v>
      </c>
      <c r="C1245">
        <v>465000</v>
      </c>
    </row>
    <row r="1246" spans="2:3" x14ac:dyDescent="0.3">
      <c r="B1246">
        <v>1517</v>
      </c>
      <c r="C1246">
        <v>230000</v>
      </c>
    </row>
    <row r="1247" spans="2:3" x14ac:dyDescent="0.3">
      <c r="B1247">
        <v>1868</v>
      </c>
      <c r="C1247">
        <v>178000</v>
      </c>
    </row>
    <row r="1248" spans="2:3" x14ac:dyDescent="0.3">
      <c r="B1248">
        <v>1553</v>
      </c>
      <c r="C1248">
        <v>186500</v>
      </c>
    </row>
    <row r="1249" spans="2:3" x14ac:dyDescent="0.3">
      <c r="B1249">
        <v>1034</v>
      </c>
      <c r="C1249">
        <v>169900</v>
      </c>
    </row>
    <row r="1250" spans="2:3" x14ac:dyDescent="0.3">
      <c r="B1250">
        <v>2058</v>
      </c>
      <c r="C1250">
        <v>129500</v>
      </c>
    </row>
    <row r="1251" spans="2:3" x14ac:dyDescent="0.3">
      <c r="B1251">
        <v>988</v>
      </c>
      <c r="C1251">
        <v>119000</v>
      </c>
    </row>
    <row r="1252" spans="2:3" x14ac:dyDescent="0.3">
      <c r="B1252">
        <v>2110</v>
      </c>
      <c r="C1252">
        <v>244000</v>
      </c>
    </row>
    <row r="1253" spans="2:3" x14ac:dyDescent="0.3">
      <c r="B1253">
        <v>1405</v>
      </c>
      <c r="C1253">
        <v>171750</v>
      </c>
    </row>
    <row r="1254" spans="2:3" x14ac:dyDescent="0.3">
      <c r="B1254">
        <v>874</v>
      </c>
      <c r="C1254">
        <v>130000</v>
      </c>
    </row>
    <row r="1255" spans="2:3" x14ac:dyDescent="0.3">
      <c r="B1255">
        <v>2167</v>
      </c>
      <c r="C1255">
        <v>294000</v>
      </c>
    </row>
    <row r="1256" spans="2:3" x14ac:dyDescent="0.3">
      <c r="B1256">
        <v>1656</v>
      </c>
      <c r="C1256">
        <v>165400</v>
      </c>
    </row>
    <row r="1257" spans="2:3" x14ac:dyDescent="0.3">
      <c r="B1257">
        <v>1367</v>
      </c>
      <c r="C1257">
        <v>127500</v>
      </c>
    </row>
    <row r="1258" spans="2:3" x14ac:dyDescent="0.3">
      <c r="B1258">
        <v>1987</v>
      </c>
      <c r="C1258">
        <v>301500</v>
      </c>
    </row>
    <row r="1259" spans="2:3" x14ac:dyDescent="0.3">
      <c r="B1259">
        <v>864</v>
      </c>
      <c r="C1259">
        <v>99900</v>
      </c>
    </row>
    <row r="1260" spans="2:3" x14ac:dyDescent="0.3">
      <c r="B1260">
        <v>1166</v>
      </c>
      <c r="C1260">
        <v>190000</v>
      </c>
    </row>
    <row r="1261" spans="2:3" x14ac:dyDescent="0.3">
      <c r="B1261">
        <v>1054</v>
      </c>
      <c r="C1261">
        <v>151000</v>
      </c>
    </row>
    <row r="1262" spans="2:3" x14ac:dyDescent="0.3">
      <c r="B1262">
        <v>1675</v>
      </c>
      <c r="C1262">
        <v>181000</v>
      </c>
    </row>
    <row r="1263" spans="2:3" x14ac:dyDescent="0.3">
      <c r="B1263">
        <v>1050</v>
      </c>
      <c r="C1263">
        <v>128900</v>
      </c>
    </row>
    <row r="1264" spans="2:3" x14ac:dyDescent="0.3">
      <c r="B1264">
        <v>1788</v>
      </c>
      <c r="C1264">
        <v>161500</v>
      </c>
    </row>
    <row r="1265" spans="2:3" x14ac:dyDescent="0.3">
      <c r="B1265">
        <v>1824</v>
      </c>
      <c r="C1265">
        <v>180500</v>
      </c>
    </row>
    <row r="1266" spans="2:3" x14ac:dyDescent="0.3">
      <c r="B1266">
        <v>1337</v>
      </c>
      <c r="C1266">
        <v>181000</v>
      </c>
    </row>
    <row r="1267" spans="2:3" x14ac:dyDescent="0.3">
      <c r="B1267">
        <v>1452</v>
      </c>
      <c r="C1267">
        <v>183900</v>
      </c>
    </row>
    <row r="1268" spans="2:3" x14ac:dyDescent="0.3">
      <c r="B1268">
        <v>1889</v>
      </c>
      <c r="C1268">
        <v>122000</v>
      </c>
    </row>
    <row r="1269" spans="2:3" x14ac:dyDescent="0.3">
      <c r="B1269">
        <v>2018</v>
      </c>
      <c r="C1269">
        <v>378500</v>
      </c>
    </row>
    <row r="1270" spans="2:3" x14ac:dyDescent="0.3">
      <c r="B1270">
        <v>3447</v>
      </c>
      <c r="C1270">
        <v>381000</v>
      </c>
    </row>
    <row r="1271" spans="2:3" x14ac:dyDescent="0.3">
      <c r="B1271">
        <v>1524</v>
      </c>
      <c r="C1271">
        <v>144000</v>
      </c>
    </row>
    <row r="1272" spans="2:3" x14ac:dyDescent="0.3">
      <c r="B1272">
        <v>1524</v>
      </c>
      <c r="C1272">
        <v>260000</v>
      </c>
    </row>
    <row r="1273" spans="2:3" x14ac:dyDescent="0.3">
      <c r="B1273">
        <v>1489</v>
      </c>
      <c r="C1273">
        <v>185750</v>
      </c>
    </row>
    <row r="1274" spans="2:3" x14ac:dyDescent="0.3">
      <c r="B1274">
        <v>935</v>
      </c>
      <c r="C1274">
        <v>137000</v>
      </c>
    </row>
    <row r="1275" spans="2:3" x14ac:dyDescent="0.3">
      <c r="B1275">
        <v>1357</v>
      </c>
      <c r="C1275">
        <v>177000</v>
      </c>
    </row>
    <row r="1276" spans="2:3" x14ac:dyDescent="0.3">
      <c r="B1276">
        <v>1250</v>
      </c>
      <c r="C1276">
        <v>139000</v>
      </c>
    </row>
    <row r="1277" spans="2:3" x14ac:dyDescent="0.3">
      <c r="B1277">
        <v>1920</v>
      </c>
      <c r="C1277">
        <v>137000</v>
      </c>
    </row>
    <row r="1278" spans="2:3" x14ac:dyDescent="0.3">
      <c r="B1278">
        <v>1395</v>
      </c>
      <c r="C1278">
        <v>162000</v>
      </c>
    </row>
    <row r="1279" spans="2:3" x14ac:dyDescent="0.3">
      <c r="B1279">
        <v>1724</v>
      </c>
      <c r="C1279">
        <v>197900</v>
      </c>
    </row>
    <row r="1280" spans="2:3" x14ac:dyDescent="0.3">
      <c r="B1280">
        <v>2031</v>
      </c>
      <c r="C1280">
        <v>237000</v>
      </c>
    </row>
    <row r="1281" spans="2:3" x14ac:dyDescent="0.3">
      <c r="B1281">
        <v>1128</v>
      </c>
      <c r="C1281">
        <v>68400</v>
      </c>
    </row>
    <row r="1282" spans="2:3" x14ac:dyDescent="0.3">
      <c r="B1282">
        <v>1573</v>
      </c>
      <c r="C1282">
        <v>227000</v>
      </c>
    </row>
    <row r="1283" spans="2:3" x14ac:dyDescent="0.3">
      <c r="B1283">
        <v>1339</v>
      </c>
      <c r="C1283">
        <v>180000</v>
      </c>
    </row>
    <row r="1284" spans="2:3" x14ac:dyDescent="0.3">
      <c r="B1284">
        <v>1040</v>
      </c>
      <c r="C1284">
        <v>150500</v>
      </c>
    </row>
    <row r="1285" spans="2:3" x14ac:dyDescent="0.3">
      <c r="B1285">
        <v>1824</v>
      </c>
      <c r="C1285">
        <v>139000</v>
      </c>
    </row>
    <row r="1286" spans="2:3" x14ac:dyDescent="0.3">
      <c r="B1286">
        <v>2447</v>
      </c>
      <c r="C1286">
        <v>169000</v>
      </c>
    </row>
    <row r="1287" spans="2:3" x14ac:dyDescent="0.3">
      <c r="B1287">
        <v>1412</v>
      </c>
      <c r="C1287">
        <v>132500</v>
      </c>
    </row>
    <row r="1288" spans="2:3" x14ac:dyDescent="0.3">
      <c r="B1288">
        <v>1328</v>
      </c>
      <c r="C1288">
        <v>143000</v>
      </c>
    </row>
    <row r="1289" spans="2:3" x14ac:dyDescent="0.3">
      <c r="B1289">
        <v>1582</v>
      </c>
      <c r="C1289">
        <v>190000</v>
      </c>
    </row>
    <row r="1290" spans="2:3" x14ac:dyDescent="0.3">
      <c r="B1290">
        <v>1659</v>
      </c>
      <c r="C1290">
        <v>278000</v>
      </c>
    </row>
    <row r="1291" spans="2:3" x14ac:dyDescent="0.3">
      <c r="B1291">
        <v>1970</v>
      </c>
      <c r="C1291">
        <v>281000</v>
      </c>
    </row>
    <row r="1292" spans="2:3" x14ac:dyDescent="0.3">
      <c r="B1292">
        <v>1152</v>
      </c>
      <c r="C1292">
        <v>180500</v>
      </c>
    </row>
    <row r="1293" spans="2:3" x14ac:dyDescent="0.3">
      <c r="B1293">
        <v>1302</v>
      </c>
      <c r="C1293">
        <v>119500</v>
      </c>
    </row>
    <row r="1294" spans="2:3" x14ac:dyDescent="0.3">
      <c r="B1294">
        <v>2372</v>
      </c>
      <c r="C1294">
        <v>107500</v>
      </c>
    </row>
    <row r="1295" spans="2:3" x14ac:dyDescent="0.3">
      <c r="B1295">
        <v>1664</v>
      </c>
      <c r="C1295">
        <v>162900</v>
      </c>
    </row>
    <row r="1296" spans="2:3" x14ac:dyDescent="0.3">
      <c r="B1296">
        <v>864</v>
      </c>
      <c r="C1296">
        <v>115000</v>
      </c>
    </row>
    <row r="1297" spans="2:3" x14ac:dyDescent="0.3">
      <c r="B1297">
        <v>1052</v>
      </c>
      <c r="C1297">
        <v>138500</v>
      </c>
    </row>
    <row r="1298" spans="2:3" x14ac:dyDescent="0.3">
      <c r="B1298">
        <v>1128</v>
      </c>
      <c r="C1298">
        <v>155000</v>
      </c>
    </row>
    <row r="1299" spans="2:3" x14ac:dyDescent="0.3">
      <c r="B1299">
        <v>1072</v>
      </c>
      <c r="C1299">
        <v>140000</v>
      </c>
    </row>
    <row r="1300" spans="2:3" x14ac:dyDescent="0.3">
      <c r="B1300">
        <v>5642</v>
      </c>
      <c r="C1300">
        <v>160000</v>
      </c>
    </row>
    <row r="1301" spans="2:3" x14ac:dyDescent="0.3">
      <c r="B1301">
        <v>1246</v>
      </c>
      <c r="C1301">
        <v>154000</v>
      </c>
    </row>
    <row r="1302" spans="2:3" x14ac:dyDescent="0.3">
      <c r="B1302">
        <v>1983</v>
      </c>
      <c r="C1302">
        <v>225000</v>
      </c>
    </row>
    <row r="1303" spans="2:3" x14ac:dyDescent="0.3">
      <c r="B1303">
        <v>1494</v>
      </c>
      <c r="C1303">
        <v>177500</v>
      </c>
    </row>
    <row r="1304" spans="2:3" x14ac:dyDescent="0.3">
      <c r="B1304">
        <v>2526</v>
      </c>
      <c r="C1304">
        <v>290000</v>
      </c>
    </row>
    <row r="1305" spans="2:3" x14ac:dyDescent="0.3">
      <c r="B1305">
        <v>1616</v>
      </c>
      <c r="C1305">
        <v>232000</v>
      </c>
    </row>
    <row r="1306" spans="2:3" x14ac:dyDescent="0.3">
      <c r="B1306">
        <v>1708</v>
      </c>
      <c r="C1306">
        <v>130000</v>
      </c>
    </row>
    <row r="1307" spans="2:3" x14ac:dyDescent="0.3">
      <c r="B1307">
        <v>1652</v>
      </c>
      <c r="C1307">
        <v>325000</v>
      </c>
    </row>
    <row r="1308" spans="2:3" x14ac:dyDescent="0.3">
      <c r="B1308">
        <v>1368</v>
      </c>
      <c r="C1308">
        <v>202500</v>
      </c>
    </row>
    <row r="1309" spans="2:3" x14ac:dyDescent="0.3">
      <c r="B1309">
        <v>990</v>
      </c>
      <c r="C1309">
        <v>138000</v>
      </c>
    </row>
    <row r="1310" spans="2:3" x14ac:dyDescent="0.3">
      <c r="B1310">
        <v>1122</v>
      </c>
      <c r="C1310">
        <v>147000</v>
      </c>
    </row>
    <row r="1311" spans="2:3" x14ac:dyDescent="0.3">
      <c r="B1311">
        <v>1294</v>
      </c>
      <c r="C1311">
        <v>179200</v>
      </c>
    </row>
    <row r="1312" spans="2:3" x14ac:dyDescent="0.3">
      <c r="B1312">
        <v>1902</v>
      </c>
      <c r="C1312">
        <v>335000</v>
      </c>
    </row>
    <row r="1313" spans="2:3" x14ac:dyDescent="0.3">
      <c r="B1313">
        <v>1274</v>
      </c>
      <c r="C1313">
        <v>203000</v>
      </c>
    </row>
    <row r="1314" spans="2:3" x14ac:dyDescent="0.3">
      <c r="B1314">
        <v>2810</v>
      </c>
      <c r="C1314">
        <v>302000</v>
      </c>
    </row>
    <row r="1315" spans="2:3" x14ac:dyDescent="0.3">
      <c r="B1315">
        <v>2599</v>
      </c>
      <c r="C1315">
        <v>333168</v>
      </c>
    </row>
    <row r="1316" spans="2:3" x14ac:dyDescent="0.3">
      <c r="B1316">
        <v>948</v>
      </c>
      <c r="C1316">
        <v>119000</v>
      </c>
    </row>
    <row r="1317" spans="2:3" x14ac:dyDescent="0.3">
      <c r="B1317">
        <v>2112</v>
      </c>
      <c r="C1317">
        <v>206900</v>
      </c>
    </row>
    <row r="1318" spans="2:3" x14ac:dyDescent="0.3">
      <c r="B1318">
        <v>1630</v>
      </c>
      <c r="C1318">
        <v>295493</v>
      </c>
    </row>
    <row r="1319" spans="2:3" x14ac:dyDescent="0.3">
      <c r="B1319">
        <v>1352</v>
      </c>
      <c r="C1319">
        <v>208900</v>
      </c>
    </row>
    <row r="1320" spans="2:3" x14ac:dyDescent="0.3">
      <c r="B1320">
        <v>1787</v>
      </c>
      <c r="C1320">
        <v>275000</v>
      </c>
    </row>
    <row r="1321" spans="2:3" x14ac:dyDescent="0.3">
      <c r="B1321">
        <v>948</v>
      </c>
      <c r="C1321">
        <v>111000</v>
      </c>
    </row>
    <row r="1322" spans="2:3" x14ac:dyDescent="0.3">
      <c r="B1322">
        <v>1478</v>
      </c>
      <c r="C1322">
        <v>156500</v>
      </c>
    </row>
    <row r="1323" spans="2:3" x14ac:dyDescent="0.3">
      <c r="B1323">
        <v>720</v>
      </c>
      <c r="C1323">
        <v>72500</v>
      </c>
    </row>
    <row r="1324" spans="2:3" x14ac:dyDescent="0.3">
      <c r="B1324">
        <v>1923</v>
      </c>
      <c r="C1324">
        <v>190000</v>
      </c>
    </row>
    <row r="1325" spans="2:3" x14ac:dyDescent="0.3">
      <c r="B1325">
        <v>708</v>
      </c>
      <c r="C1325">
        <v>82500</v>
      </c>
    </row>
    <row r="1326" spans="2:3" x14ac:dyDescent="0.3">
      <c r="B1326">
        <v>1795</v>
      </c>
      <c r="C1326">
        <v>147000</v>
      </c>
    </row>
    <row r="1327" spans="2:3" x14ac:dyDescent="0.3">
      <c r="B1327">
        <v>796</v>
      </c>
      <c r="C1327">
        <v>55000</v>
      </c>
    </row>
    <row r="1328" spans="2:3" x14ac:dyDescent="0.3">
      <c r="B1328">
        <v>774</v>
      </c>
      <c r="C1328">
        <v>79000</v>
      </c>
    </row>
    <row r="1329" spans="2:3" x14ac:dyDescent="0.3">
      <c r="B1329">
        <v>816</v>
      </c>
      <c r="C1329">
        <v>130500</v>
      </c>
    </row>
    <row r="1330" spans="2:3" x14ac:dyDescent="0.3">
      <c r="B1330">
        <v>2792</v>
      </c>
      <c r="C1330">
        <v>256000</v>
      </c>
    </row>
    <row r="1331" spans="2:3" x14ac:dyDescent="0.3">
      <c r="B1331">
        <v>1632</v>
      </c>
      <c r="C1331">
        <v>176500</v>
      </c>
    </row>
    <row r="1332" spans="2:3" x14ac:dyDescent="0.3">
      <c r="B1332">
        <v>1588</v>
      </c>
      <c r="C1332">
        <v>227000</v>
      </c>
    </row>
    <row r="1333" spans="2:3" x14ac:dyDescent="0.3">
      <c r="B1333">
        <v>954</v>
      </c>
      <c r="C1333">
        <v>132500</v>
      </c>
    </row>
    <row r="1334" spans="2:3" x14ac:dyDescent="0.3">
      <c r="B1334">
        <v>816</v>
      </c>
      <c r="C1334">
        <v>100000</v>
      </c>
    </row>
    <row r="1335" spans="2:3" x14ac:dyDescent="0.3">
      <c r="B1335">
        <v>1360</v>
      </c>
      <c r="C1335">
        <v>125500</v>
      </c>
    </row>
    <row r="1336" spans="2:3" x14ac:dyDescent="0.3">
      <c r="B1336">
        <v>1365</v>
      </c>
      <c r="C1336">
        <v>125000</v>
      </c>
    </row>
    <row r="1337" spans="2:3" x14ac:dyDescent="0.3">
      <c r="B1337">
        <v>1334</v>
      </c>
      <c r="C1337">
        <v>167900</v>
      </c>
    </row>
    <row r="1338" spans="2:3" x14ac:dyDescent="0.3">
      <c r="B1338">
        <v>1656</v>
      </c>
      <c r="C1338">
        <v>135000</v>
      </c>
    </row>
    <row r="1339" spans="2:3" x14ac:dyDescent="0.3">
      <c r="B1339">
        <v>693</v>
      </c>
      <c r="C1339">
        <v>52500</v>
      </c>
    </row>
    <row r="1340" spans="2:3" x14ac:dyDescent="0.3">
      <c r="B1340">
        <v>1861</v>
      </c>
      <c r="C1340">
        <v>200000</v>
      </c>
    </row>
    <row r="1341" spans="2:3" x14ac:dyDescent="0.3">
      <c r="B1341">
        <v>864</v>
      </c>
      <c r="C1341">
        <v>128500</v>
      </c>
    </row>
    <row r="1342" spans="2:3" x14ac:dyDescent="0.3">
      <c r="B1342">
        <v>872</v>
      </c>
      <c r="C1342">
        <v>123000</v>
      </c>
    </row>
    <row r="1343" spans="2:3" x14ac:dyDescent="0.3">
      <c r="B1343">
        <v>1114</v>
      </c>
      <c r="C1343">
        <v>155000</v>
      </c>
    </row>
    <row r="1344" spans="2:3" x14ac:dyDescent="0.3">
      <c r="B1344">
        <v>2169</v>
      </c>
      <c r="C1344">
        <v>228500</v>
      </c>
    </row>
    <row r="1345" spans="2:3" x14ac:dyDescent="0.3">
      <c r="B1345">
        <v>1913</v>
      </c>
      <c r="C1345">
        <v>177000</v>
      </c>
    </row>
    <row r="1346" spans="2:3" x14ac:dyDescent="0.3">
      <c r="B1346">
        <v>1456</v>
      </c>
      <c r="C1346">
        <v>155835</v>
      </c>
    </row>
    <row r="1347" spans="2:3" x14ac:dyDescent="0.3">
      <c r="B1347">
        <v>960</v>
      </c>
      <c r="C1347">
        <v>108500</v>
      </c>
    </row>
    <row r="1348" spans="2:3" x14ac:dyDescent="0.3">
      <c r="B1348">
        <v>2156</v>
      </c>
      <c r="C1348">
        <v>262500</v>
      </c>
    </row>
    <row r="1349" spans="2:3" x14ac:dyDescent="0.3">
      <c r="B1349">
        <v>1776</v>
      </c>
      <c r="C1349">
        <v>283463</v>
      </c>
    </row>
    <row r="1350" spans="2:3" x14ac:dyDescent="0.3">
      <c r="B1350">
        <v>1494</v>
      </c>
      <c r="C1350">
        <v>215000</v>
      </c>
    </row>
    <row r="1351" spans="2:3" x14ac:dyDescent="0.3">
      <c r="B1351">
        <v>2358</v>
      </c>
      <c r="C1351">
        <v>122000</v>
      </c>
    </row>
    <row r="1352" spans="2:3" x14ac:dyDescent="0.3">
      <c r="B1352">
        <v>2634</v>
      </c>
      <c r="C1352">
        <v>200000</v>
      </c>
    </row>
    <row r="1353" spans="2:3" x14ac:dyDescent="0.3">
      <c r="B1353">
        <v>1716</v>
      </c>
      <c r="C1353">
        <v>171000</v>
      </c>
    </row>
    <row r="1354" spans="2:3" x14ac:dyDescent="0.3">
      <c r="B1354">
        <v>1176</v>
      </c>
      <c r="C1354">
        <v>134900</v>
      </c>
    </row>
    <row r="1355" spans="2:3" x14ac:dyDescent="0.3">
      <c r="B1355">
        <v>3238</v>
      </c>
      <c r="C1355">
        <v>410000</v>
      </c>
    </row>
    <row r="1356" spans="2:3" x14ac:dyDescent="0.3">
      <c r="B1356">
        <v>1865</v>
      </c>
      <c r="C1356">
        <v>235000</v>
      </c>
    </row>
    <row r="1357" spans="2:3" x14ac:dyDescent="0.3">
      <c r="B1357">
        <v>1920</v>
      </c>
      <c r="C1357">
        <v>170000</v>
      </c>
    </row>
    <row r="1358" spans="2:3" x14ac:dyDescent="0.3">
      <c r="B1358">
        <v>892</v>
      </c>
      <c r="C1358">
        <v>110000</v>
      </c>
    </row>
    <row r="1359" spans="2:3" x14ac:dyDescent="0.3">
      <c r="B1359">
        <v>1078</v>
      </c>
      <c r="C1359">
        <v>149900</v>
      </c>
    </row>
    <row r="1360" spans="2:3" x14ac:dyDescent="0.3">
      <c r="B1360">
        <v>1573</v>
      </c>
      <c r="C1360">
        <v>177500</v>
      </c>
    </row>
    <row r="1361" spans="2:3" x14ac:dyDescent="0.3">
      <c r="B1361">
        <v>1980</v>
      </c>
      <c r="C1361">
        <v>315000</v>
      </c>
    </row>
    <row r="1362" spans="2:3" x14ac:dyDescent="0.3">
      <c r="B1362">
        <v>2601</v>
      </c>
      <c r="C1362">
        <v>189000</v>
      </c>
    </row>
    <row r="1363" spans="2:3" x14ac:dyDescent="0.3">
      <c r="B1363">
        <v>1530</v>
      </c>
      <c r="C1363">
        <v>260000</v>
      </c>
    </row>
    <row r="1364" spans="2:3" x14ac:dyDescent="0.3">
      <c r="B1364">
        <v>1738</v>
      </c>
      <c r="C1364">
        <v>104900</v>
      </c>
    </row>
    <row r="1365" spans="2:3" x14ac:dyDescent="0.3">
      <c r="B1365">
        <v>1412</v>
      </c>
      <c r="C1365">
        <v>156932</v>
      </c>
    </row>
    <row r="1366" spans="2:3" x14ac:dyDescent="0.3">
      <c r="B1366">
        <v>1200</v>
      </c>
      <c r="C1366">
        <v>144152</v>
      </c>
    </row>
    <row r="1367" spans="2:3" x14ac:dyDescent="0.3">
      <c r="B1367">
        <v>1674</v>
      </c>
      <c r="C1367">
        <v>216000</v>
      </c>
    </row>
    <row r="1368" spans="2:3" x14ac:dyDescent="0.3">
      <c r="B1368">
        <v>1790</v>
      </c>
      <c r="C1368">
        <v>193000</v>
      </c>
    </row>
    <row r="1369" spans="2:3" x14ac:dyDescent="0.3">
      <c r="B1369">
        <v>1475</v>
      </c>
      <c r="C1369">
        <v>127000</v>
      </c>
    </row>
    <row r="1370" spans="2:3" x14ac:dyDescent="0.3">
      <c r="B1370">
        <v>848</v>
      </c>
      <c r="C1370">
        <v>144000</v>
      </c>
    </row>
    <row r="1371" spans="2:3" x14ac:dyDescent="0.3">
      <c r="B1371">
        <v>1668</v>
      </c>
      <c r="C1371">
        <v>232000</v>
      </c>
    </row>
    <row r="1372" spans="2:3" x14ac:dyDescent="0.3">
      <c r="B1372">
        <v>1374</v>
      </c>
      <c r="C1372">
        <v>105000</v>
      </c>
    </row>
    <row r="1373" spans="2:3" x14ac:dyDescent="0.3">
      <c r="B1373">
        <v>1661</v>
      </c>
      <c r="C1373">
        <v>165500</v>
      </c>
    </row>
    <row r="1374" spans="2:3" x14ac:dyDescent="0.3">
      <c r="B1374">
        <v>2097</v>
      </c>
      <c r="C1374">
        <v>274300</v>
      </c>
    </row>
    <row r="1375" spans="2:3" x14ac:dyDescent="0.3">
      <c r="B1375">
        <v>2633</v>
      </c>
      <c r="C1375">
        <v>466500</v>
      </c>
    </row>
    <row r="1376" spans="2:3" x14ac:dyDescent="0.3">
      <c r="B1376">
        <v>1958</v>
      </c>
      <c r="C1376">
        <v>250000</v>
      </c>
    </row>
    <row r="1377" spans="2:3" x14ac:dyDescent="0.3">
      <c r="B1377">
        <v>1571</v>
      </c>
      <c r="C1377">
        <v>239000</v>
      </c>
    </row>
    <row r="1378" spans="2:3" x14ac:dyDescent="0.3">
      <c r="B1378">
        <v>790</v>
      </c>
      <c r="C1378">
        <v>91000</v>
      </c>
    </row>
    <row r="1379" spans="2:3" x14ac:dyDescent="0.3">
      <c r="B1379">
        <v>1604</v>
      </c>
      <c r="C1379">
        <v>117000</v>
      </c>
    </row>
    <row r="1380" spans="2:3" x14ac:dyDescent="0.3">
      <c r="B1380">
        <v>987</v>
      </c>
      <c r="C1380">
        <v>83000</v>
      </c>
    </row>
    <row r="1381" spans="2:3" x14ac:dyDescent="0.3">
      <c r="B1381">
        <v>1394</v>
      </c>
      <c r="C1381">
        <v>167500</v>
      </c>
    </row>
    <row r="1382" spans="2:3" x14ac:dyDescent="0.3">
      <c r="B1382">
        <v>864</v>
      </c>
      <c r="C1382">
        <v>58500</v>
      </c>
    </row>
    <row r="1383" spans="2:3" x14ac:dyDescent="0.3">
      <c r="B1383">
        <v>2117</v>
      </c>
      <c r="C1383">
        <v>237500</v>
      </c>
    </row>
    <row r="1384" spans="2:3" x14ac:dyDescent="0.3">
      <c r="B1384">
        <v>1762</v>
      </c>
      <c r="C1384">
        <v>157000</v>
      </c>
    </row>
    <row r="1385" spans="2:3" x14ac:dyDescent="0.3">
      <c r="B1385">
        <v>1416</v>
      </c>
      <c r="C1385">
        <v>112000</v>
      </c>
    </row>
    <row r="1386" spans="2:3" x14ac:dyDescent="0.3">
      <c r="B1386">
        <v>1258</v>
      </c>
      <c r="C1386">
        <v>105000</v>
      </c>
    </row>
    <row r="1387" spans="2:3" x14ac:dyDescent="0.3">
      <c r="B1387">
        <v>1154</v>
      </c>
      <c r="C1387">
        <v>125500</v>
      </c>
    </row>
    <row r="1388" spans="2:3" x14ac:dyDescent="0.3">
      <c r="B1388">
        <v>2784</v>
      </c>
      <c r="C1388">
        <v>250000</v>
      </c>
    </row>
    <row r="1389" spans="2:3" x14ac:dyDescent="0.3">
      <c r="B1389">
        <v>2526</v>
      </c>
      <c r="C1389">
        <v>136000</v>
      </c>
    </row>
    <row r="1390" spans="2:3" x14ac:dyDescent="0.3">
      <c r="B1390">
        <v>1746</v>
      </c>
      <c r="C1390">
        <v>377500</v>
      </c>
    </row>
    <row r="1391" spans="2:3" x14ac:dyDescent="0.3">
      <c r="B1391">
        <v>1218</v>
      </c>
      <c r="C1391">
        <v>131000</v>
      </c>
    </row>
    <row r="1392" spans="2:3" x14ac:dyDescent="0.3">
      <c r="B1392">
        <v>1525</v>
      </c>
      <c r="C1392">
        <v>235000</v>
      </c>
    </row>
    <row r="1393" spans="2:3" x14ac:dyDescent="0.3">
      <c r="B1393">
        <v>1584</v>
      </c>
      <c r="C1393">
        <v>124000</v>
      </c>
    </row>
    <row r="1394" spans="2:3" x14ac:dyDescent="0.3">
      <c r="B1394">
        <v>900</v>
      </c>
      <c r="C1394">
        <v>123000</v>
      </c>
    </row>
    <row r="1395" spans="2:3" x14ac:dyDescent="0.3">
      <c r="B1395">
        <v>1912</v>
      </c>
      <c r="C1395">
        <v>163000</v>
      </c>
    </row>
    <row r="1396" spans="2:3" x14ac:dyDescent="0.3">
      <c r="B1396">
        <v>1500</v>
      </c>
      <c r="C1396">
        <v>246578</v>
      </c>
    </row>
    <row r="1397" spans="2:3" x14ac:dyDescent="0.3">
      <c r="B1397">
        <v>2482</v>
      </c>
      <c r="C1397">
        <v>281213</v>
      </c>
    </row>
    <row r="1398" spans="2:3" x14ac:dyDescent="0.3">
      <c r="B1398">
        <v>1687</v>
      </c>
      <c r="C1398">
        <v>160000</v>
      </c>
    </row>
    <row r="1399" spans="2:3" x14ac:dyDescent="0.3">
      <c r="B1399">
        <v>1513</v>
      </c>
      <c r="C1399">
        <v>137500</v>
      </c>
    </row>
    <row r="1400" spans="2:3" x14ac:dyDescent="0.3">
      <c r="B1400">
        <v>1904</v>
      </c>
      <c r="C1400">
        <v>138000</v>
      </c>
    </row>
    <row r="1401" spans="2:3" x14ac:dyDescent="0.3">
      <c r="B1401">
        <v>1608</v>
      </c>
      <c r="C1401">
        <v>137450</v>
      </c>
    </row>
    <row r="1402" spans="2:3" x14ac:dyDescent="0.3">
      <c r="B1402">
        <v>1158</v>
      </c>
      <c r="C1402">
        <v>120000</v>
      </c>
    </row>
    <row r="1403" spans="2:3" x14ac:dyDescent="0.3">
      <c r="B1403">
        <v>1593</v>
      </c>
      <c r="C1403">
        <v>193000</v>
      </c>
    </row>
    <row r="1404" spans="2:3" x14ac:dyDescent="0.3">
      <c r="B1404">
        <v>1294</v>
      </c>
      <c r="C1404">
        <v>193879</v>
      </c>
    </row>
    <row r="1405" spans="2:3" x14ac:dyDescent="0.3">
      <c r="B1405">
        <v>1464</v>
      </c>
      <c r="C1405">
        <v>282922</v>
      </c>
    </row>
    <row r="1406" spans="2:3" x14ac:dyDescent="0.3">
      <c r="B1406">
        <v>1214</v>
      </c>
      <c r="C1406">
        <v>105000</v>
      </c>
    </row>
    <row r="1407" spans="2:3" x14ac:dyDescent="0.3">
      <c r="B1407">
        <v>1646</v>
      </c>
      <c r="C1407">
        <v>275000</v>
      </c>
    </row>
    <row r="1408" spans="2:3" x14ac:dyDescent="0.3">
      <c r="B1408">
        <v>768</v>
      </c>
      <c r="C1408">
        <v>133000</v>
      </c>
    </row>
    <row r="1409" spans="2:3" x14ac:dyDescent="0.3">
      <c r="B1409">
        <v>833</v>
      </c>
      <c r="C1409">
        <v>112000</v>
      </c>
    </row>
    <row r="1410" spans="2:3" x14ac:dyDescent="0.3">
      <c r="B1410">
        <v>1363</v>
      </c>
      <c r="C1410">
        <v>125500</v>
      </c>
    </row>
    <row r="1411" spans="2:3" x14ac:dyDescent="0.3">
      <c r="B1411">
        <v>2093</v>
      </c>
      <c r="C1411">
        <v>215000</v>
      </c>
    </row>
    <row r="1412" spans="2:3" x14ac:dyDescent="0.3">
      <c r="B1412">
        <v>1840</v>
      </c>
      <c r="C1412">
        <v>230000</v>
      </c>
    </row>
    <row r="1413" spans="2:3" x14ac:dyDescent="0.3">
      <c r="B1413">
        <v>1668</v>
      </c>
      <c r="C1413">
        <v>140000</v>
      </c>
    </row>
    <row r="1414" spans="2:3" x14ac:dyDescent="0.3">
      <c r="B1414">
        <v>1040</v>
      </c>
      <c r="C1414">
        <v>90000</v>
      </c>
    </row>
    <row r="1415" spans="2:3" x14ac:dyDescent="0.3">
      <c r="B1415">
        <v>1844</v>
      </c>
      <c r="C1415">
        <v>257000</v>
      </c>
    </row>
    <row r="1416" spans="2:3" x14ac:dyDescent="0.3">
      <c r="B1416">
        <v>1848</v>
      </c>
      <c r="C1416">
        <v>207000</v>
      </c>
    </row>
    <row r="1417" spans="2:3" x14ac:dyDescent="0.3">
      <c r="B1417">
        <v>1569</v>
      </c>
      <c r="C1417">
        <v>175900</v>
      </c>
    </row>
    <row r="1418" spans="2:3" x14ac:dyDescent="0.3">
      <c r="B1418">
        <v>2290</v>
      </c>
      <c r="C1418">
        <v>122500</v>
      </c>
    </row>
    <row r="1419" spans="2:3" x14ac:dyDescent="0.3">
      <c r="B1419">
        <v>2450</v>
      </c>
      <c r="C1419">
        <v>340000</v>
      </c>
    </row>
    <row r="1420" spans="2:3" x14ac:dyDescent="0.3">
      <c r="B1420">
        <v>1144</v>
      </c>
      <c r="C1420">
        <v>124000</v>
      </c>
    </row>
    <row r="1421" spans="2:3" x14ac:dyDescent="0.3">
      <c r="B1421">
        <v>1844</v>
      </c>
      <c r="C1421">
        <v>223000</v>
      </c>
    </row>
    <row r="1422" spans="2:3" x14ac:dyDescent="0.3">
      <c r="B1422">
        <v>1416</v>
      </c>
      <c r="C1422">
        <v>179900</v>
      </c>
    </row>
    <row r="1423" spans="2:3" x14ac:dyDescent="0.3">
      <c r="B1423">
        <v>1069</v>
      </c>
      <c r="C1423">
        <v>127500</v>
      </c>
    </row>
    <row r="1424" spans="2:3" x14ac:dyDescent="0.3">
      <c r="B1424">
        <v>848</v>
      </c>
      <c r="C1424">
        <v>136500</v>
      </c>
    </row>
    <row r="1425" spans="2:3" x14ac:dyDescent="0.3">
      <c r="B1425">
        <v>2201</v>
      </c>
      <c r="C1425">
        <v>274970</v>
      </c>
    </row>
    <row r="1426" spans="2:3" x14ac:dyDescent="0.3">
      <c r="B1426">
        <v>1344</v>
      </c>
      <c r="C1426">
        <v>144000</v>
      </c>
    </row>
    <row r="1427" spans="2:3" x14ac:dyDescent="0.3">
      <c r="B1427">
        <v>1252</v>
      </c>
      <c r="C1427">
        <v>142000</v>
      </c>
    </row>
    <row r="1428" spans="2:3" x14ac:dyDescent="0.3">
      <c r="B1428">
        <v>2127</v>
      </c>
      <c r="C1428">
        <v>271000</v>
      </c>
    </row>
    <row r="1429" spans="2:3" x14ac:dyDescent="0.3">
      <c r="B1429">
        <v>1558</v>
      </c>
      <c r="C1429">
        <v>140000</v>
      </c>
    </row>
    <row r="1430" spans="2:3" x14ac:dyDescent="0.3">
      <c r="B1430">
        <v>804</v>
      </c>
      <c r="C1430">
        <v>119000</v>
      </c>
    </row>
    <row r="1431" spans="2:3" x14ac:dyDescent="0.3">
      <c r="B1431">
        <v>1440</v>
      </c>
      <c r="C1431">
        <v>182900</v>
      </c>
    </row>
    <row r="1432" spans="2:3" x14ac:dyDescent="0.3">
      <c r="B1432">
        <v>1838</v>
      </c>
      <c r="C1432">
        <v>192140</v>
      </c>
    </row>
    <row r="1433" spans="2:3" x14ac:dyDescent="0.3">
      <c r="B1433">
        <v>958</v>
      </c>
      <c r="C1433">
        <v>143750</v>
      </c>
    </row>
    <row r="1434" spans="2:3" x14ac:dyDescent="0.3">
      <c r="B1434">
        <v>968</v>
      </c>
      <c r="C1434">
        <v>64500</v>
      </c>
    </row>
    <row r="1435" spans="2:3" x14ac:dyDescent="0.3">
      <c r="B1435">
        <v>1792</v>
      </c>
      <c r="C1435">
        <v>186500</v>
      </c>
    </row>
    <row r="1436" spans="2:3" x14ac:dyDescent="0.3">
      <c r="B1436">
        <v>1126</v>
      </c>
      <c r="C1436">
        <v>160000</v>
      </c>
    </row>
    <row r="1437" spans="2:3" x14ac:dyDescent="0.3">
      <c r="B1437">
        <v>1537</v>
      </c>
      <c r="C1437">
        <v>174000</v>
      </c>
    </row>
    <row r="1438" spans="2:3" x14ac:dyDescent="0.3">
      <c r="B1438">
        <v>864</v>
      </c>
      <c r="C1438">
        <v>120500</v>
      </c>
    </row>
    <row r="1439" spans="2:3" x14ac:dyDescent="0.3">
      <c r="B1439">
        <v>1932</v>
      </c>
      <c r="C1439">
        <v>394617</v>
      </c>
    </row>
    <row r="1440" spans="2:3" x14ac:dyDescent="0.3">
      <c r="B1440">
        <v>1236</v>
      </c>
      <c r="C1440">
        <v>149700</v>
      </c>
    </row>
    <row r="1441" spans="2:3" x14ac:dyDescent="0.3">
      <c r="B1441">
        <v>1725</v>
      </c>
      <c r="C1441">
        <v>197000</v>
      </c>
    </row>
    <row r="1442" spans="2:3" x14ac:dyDescent="0.3">
      <c r="B1442">
        <v>2555</v>
      </c>
      <c r="C1442">
        <v>191000</v>
      </c>
    </row>
    <row r="1443" spans="2:3" x14ac:dyDescent="0.3">
      <c r="B1443">
        <v>848</v>
      </c>
      <c r="C1443">
        <v>149300</v>
      </c>
    </row>
    <row r="1444" spans="2:3" x14ac:dyDescent="0.3">
      <c r="B1444">
        <v>2007</v>
      </c>
      <c r="C1444">
        <v>310000</v>
      </c>
    </row>
    <row r="1445" spans="2:3" x14ac:dyDescent="0.3">
      <c r="B1445">
        <v>952</v>
      </c>
      <c r="C1445">
        <v>121000</v>
      </c>
    </row>
    <row r="1446" spans="2:3" x14ac:dyDescent="0.3">
      <c r="B1446">
        <v>1422</v>
      </c>
      <c r="C1446">
        <v>179600</v>
      </c>
    </row>
    <row r="1447" spans="2:3" x14ac:dyDescent="0.3">
      <c r="B1447">
        <v>913</v>
      </c>
      <c r="C1447">
        <v>129000</v>
      </c>
    </row>
    <row r="1448" spans="2:3" x14ac:dyDescent="0.3">
      <c r="B1448">
        <v>1188</v>
      </c>
      <c r="C1448">
        <v>157900</v>
      </c>
    </row>
    <row r="1449" spans="2:3" x14ac:dyDescent="0.3">
      <c r="B1449">
        <v>2090</v>
      </c>
      <c r="C1449">
        <v>240000</v>
      </c>
    </row>
    <row r="1450" spans="2:3" x14ac:dyDescent="0.3">
      <c r="B1450">
        <v>1346</v>
      </c>
      <c r="C1450">
        <v>112000</v>
      </c>
    </row>
    <row r="1451" spans="2:3" x14ac:dyDescent="0.3">
      <c r="B1451">
        <v>630</v>
      </c>
      <c r="C1451">
        <v>92000</v>
      </c>
    </row>
    <row r="1452" spans="2:3" x14ac:dyDescent="0.3">
      <c r="B1452">
        <v>1792</v>
      </c>
      <c r="C1452">
        <v>136000</v>
      </c>
    </row>
    <row r="1453" spans="2:3" x14ac:dyDescent="0.3">
      <c r="B1453">
        <v>1578</v>
      </c>
      <c r="C1453">
        <v>287090</v>
      </c>
    </row>
    <row r="1454" spans="2:3" x14ac:dyDescent="0.3">
      <c r="B1454">
        <v>1072</v>
      </c>
      <c r="C1454">
        <v>145000</v>
      </c>
    </row>
    <row r="1455" spans="2:3" x14ac:dyDescent="0.3">
      <c r="B1455">
        <v>1140</v>
      </c>
      <c r="C1455">
        <v>84500</v>
      </c>
    </row>
    <row r="1456" spans="2:3" x14ac:dyDescent="0.3">
      <c r="B1456">
        <v>1221</v>
      </c>
      <c r="C1456">
        <v>185000</v>
      </c>
    </row>
    <row r="1457" spans="2:3" x14ac:dyDescent="0.3">
      <c r="B1457">
        <v>1647</v>
      </c>
      <c r="C1457">
        <v>175000</v>
      </c>
    </row>
    <row r="1458" spans="2:3" x14ac:dyDescent="0.3">
      <c r="B1458">
        <v>2073</v>
      </c>
      <c r="C1458">
        <v>210000</v>
      </c>
    </row>
    <row r="1459" spans="2:3" x14ac:dyDescent="0.3">
      <c r="B1459">
        <v>2340</v>
      </c>
      <c r="C1459">
        <v>266500</v>
      </c>
    </row>
    <row r="1460" spans="2:3" x14ac:dyDescent="0.3">
      <c r="B1460">
        <v>1078</v>
      </c>
      <c r="C1460">
        <v>142125</v>
      </c>
    </row>
    <row r="1461" spans="2:3" x14ac:dyDescent="0.3">
      <c r="B1461">
        <v>1256</v>
      </c>
      <c r="C1461">
        <v>147500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D57E-FAFD-4BBB-992A-921B6687B7B0}">
  <dimension ref="A1:F1461"/>
  <sheetViews>
    <sheetView workbookViewId="0">
      <selection activeCell="F1" sqref="F1"/>
    </sheetView>
  </sheetViews>
  <sheetFormatPr defaultRowHeight="14.4" x14ac:dyDescent="0.3"/>
  <sheetData>
    <row r="1" spans="1:6" x14ac:dyDescent="0.3">
      <c r="A1" t="s">
        <v>19</v>
      </c>
      <c r="B1" t="s">
        <v>20</v>
      </c>
      <c r="C1" t="s">
        <v>80</v>
      </c>
    </row>
    <row r="2" spans="1:6" x14ac:dyDescent="0.3">
      <c r="A2">
        <v>2003</v>
      </c>
      <c r="B2">
        <v>2003</v>
      </c>
      <c r="C2">
        <v>208500</v>
      </c>
    </row>
    <row r="3" spans="1:6" x14ac:dyDescent="0.3">
      <c r="A3">
        <v>1976</v>
      </c>
      <c r="B3">
        <v>1976</v>
      </c>
      <c r="C3">
        <v>181500</v>
      </c>
      <c r="E3">
        <v>1900</v>
      </c>
      <c r="F3">
        <f>AVERAGEIFS(Data!$CC$2:$CC$1461, Data!$T$2:$T$1461, "&gt;="&amp;E3)</f>
        <v>180925.99792387543</v>
      </c>
    </row>
    <row r="4" spans="1:6" x14ac:dyDescent="0.3">
      <c r="A4">
        <v>2001</v>
      </c>
      <c r="B4">
        <v>2002</v>
      </c>
      <c r="C4">
        <v>223500</v>
      </c>
      <c r="E4">
        <v>1950</v>
      </c>
      <c r="F4">
        <f>AVERAGEIFS(Data!$CC$2:$CC$1461, Data!$T$2:$T$1461, "&gt;="&amp;E4)</f>
        <v>194468.80823117337</v>
      </c>
    </row>
    <row r="5" spans="1:6" x14ac:dyDescent="0.3">
      <c r="A5">
        <v>1915</v>
      </c>
      <c r="B5">
        <v>1970</v>
      </c>
      <c r="C5">
        <v>140000</v>
      </c>
      <c r="E5">
        <v>1980</v>
      </c>
      <c r="F5">
        <f>AVERAGEIFS(Data!$CC$2:$CC$1461, Data!$T$2:$T$1461, "&gt;="&amp;E5)</f>
        <v>233482.32516339869</v>
      </c>
    </row>
    <row r="6" spans="1:6" x14ac:dyDescent="0.3">
      <c r="A6">
        <v>2000</v>
      </c>
      <c r="B6">
        <v>2000</v>
      </c>
      <c r="C6">
        <v>250000</v>
      </c>
      <c r="E6">
        <v>2000</v>
      </c>
      <c r="F6">
        <f>AVERAGEIFS(Data!$CC$2:$CC$1461, Data!$T$2:$T$1461, "&gt;="&amp;E6)</f>
        <v>242439.16237113401</v>
      </c>
    </row>
    <row r="7" spans="1:6" x14ac:dyDescent="0.3">
      <c r="A7">
        <v>1993</v>
      </c>
      <c r="B7">
        <v>1995</v>
      </c>
      <c r="C7">
        <v>143000</v>
      </c>
    </row>
    <row r="8" spans="1:6" x14ac:dyDescent="0.3">
      <c r="A8">
        <v>2004</v>
      </c>
      <c r="B8">
        <v>2005</v>
      </c>
      <c r="C8">
        <v>307000</v>
      </c>
    </row>
    <row r="9" spans="1:6" x14ac:dyDescent="0.3">
      <c r="A9">
        <v>1973</v>
      </c>
      <c r="B9">
        <v>1973</v>
      </c>
      <c r="C9">
        <v>200000</v>
      </c>
    </row>
    <row r="10" spans="1:6" x14ac:dyDescent="0.3">
      <c r="A10">
        <v>1931</v>
      </c>
      <c r="B10">
        <v>1950</v>
      </c>
      <c r="C10">
        <v>129900</v>
      </c>
    </row>
    <row r="11" spans="1:6" x14ac:dyDescent="0.3">
      <c r="A11">
        <v>1939</v>
      </c>
      <c r="B11">
        <v>1950</v>
      </c>
      <c r="C11">
        <v>118000</v>
      </c>
    </row>
    <row r="12" spans="1:6" x14ac:dyDescent="0.3">
      <c r="A12">
        <v>1965</v>
      </c>
      <c r="B12">
        <v>1965</v>
      </c>
      <c r="C12">
        <v>129500</v>
      </c>
    </row>
    <row r="13" spans="1:6" x14ac:dyDescent="0.3">
      <c r="A13">
        <v>2005</v>
      </c>
      <c r="B13">
        <v>2006</v>
      </c>
      <c r="C13">
        <v>345000</v>
      </c>
    </row>
    <row r="14" spans="1:6" x14ac:dyDescent="0.3">
      <c r="A14">
        <v>1962</v>
      </c>
      <c r="B14">
        <v>1962</v>
      </c>
      <c r="C14">
        <v>144000</v>
      </c>
    </row>
    <row r="15" spans="1:6" x14ac:dyDescent="0.3">
      <c r="A15">
        <v>2006</v>
      </c>
      <c r="B15">
        <v>2007</v>
      </c>
      <c r="C15">
        <v>279500</v>
      </c>
    </row>
    <row r="16" spans="1:6" x14ac:dyDescent="0.3">
      <c r="A16">
        <v>1960</v>
      </c>
      <c r="B16">
        <v>1960</v>
      </c>
      <c r="C16">
        <v>157000</v>
      </c>
    </row>
    <row r="17" spans="1:3" x14ac:dyDescent="0.3">
      <c r="A17">
        <v>1929</v>
      </c>
      <c r="B17">
        <v>2001</v>
      </c>
      <c r="C17">
        <v>132000</v>
      </c>
    </row>
    <row r="18" spans="1:3" x14ac:dyDescent="0.3">
      <c r="A18">
        <v>1970</v>
      </c>
      <c r="B18">
        <v>1970</v>
      </c>
      <c r="C18">
        <v>149000</v>
      </c>
    </row>
    <row r="19" spans="1:3" x14ac:dyDescent="0.3">
      <c r="A19">
        <v>1967</v>
      </c>
      <c r="B19">
        <v>1967</v>
      </c>
      <c r="C19">
        <v>90000</v>
      </c>
    </row>
    <row r="20" spans="1:3" x14ac:dyDescent="0.3">
      <c r="A20">
        <v>2004</v>
      </c>
      <c r="B20">
        <v>2004</v>
      </c>
      <c r="C20">
        <v>159000</v>
      </c>
    </row>
    <row r="21" spans="1:3" x14ac:dyDescent="0.3">
      <c r="A21">
        <v>1958</v>
      </c>
      <c r="B21">
        <v>1965</v>
      </c>
      <c r="C21">
        <v>139000</v>
      </c>
    </row>
    <row r="22" spans="1:3" x14ac:dyDescent="0.3">
      <c r="A22">
        <v>2005</v>
      </c>
      <c r="B22">
        <v>2006</v>
      </c>
      <c r="C22">
        <v>325300</v>
      </c>
    </row>
    <row r="23" spans="1:3" x14ac:dyDescent="0.3">
      <c r="A23">
        <v>1930</v>
      </c>
      <c r="B23">
        <v>1950</v>
      </c>
      <c r="C23">
        <v>139400</v>
      </c>
    </row>
    <row r="24" spans="1:3" x14ac:dyDescent="0.3">
      <c r="A24">
        <v>2002</v>
      </c>
      <c r="B24">
        <v>2002</v>
      </c>
      <c r="C24">
        <v>230000</v>
      </c>
    </row>
    <row r="25" spans="1:3" x14ac:dyDescent="0.3">
      <c r="A25">
        <v>1976</v>
      </c>
      <c r="B25">
        <v>1976</v>
      </c>
      <c r="C25">
        <v>129900</v>
      </c>
    </row>
    <row r="26" spans="1:3" x14ac:dyDescent="0.3">
      <c r="A26">
        <v>1968</v>
      </c>
      <c r="B26">
        <v>2001</v>
      </c>
      <c r="C26">
        <v>154000</v>
      </c>
    </row>
    <row r="27" spans="1:3" x14ac:dyDescent="0.3">
      <c r="A27">
        <v>2007</v>
      </c>
      <c r="B27">
        <v>2007</v>
      </c>
      <c r="C27">
        <v>256300</v>
      </c>
    </row>
    <row r="28" spans="1:3" x14ac:dyDescent="0.3">
      <c r="A28">
        <v>1951</v>
      </c>
      <c r="B28">
        <v>2000</v>
      </c>
      <c r="C28">
        <v>134800</v>
      </c>
    </row>
    <row r="29" spans="1:3" x14ac:dyDescent="0.3">
      <c r="A29">
        <v>2007</v>
      </c>
      <c r="B29">
        <v>2008</v>
      </c>
      <c r="C29">
        <v>306000</v>
      </c>
    </row>
    <row r="30" spans="1:3" x14ac:dyDescent="0.3">
      <c r="A30">
        <v>1957</v>
      </c>
      <c r="B30">
        <v>1997</v>
      </c>
      <c r="C30">
        <v>207500</v>
      </c>
    </row>
    <row r="31" spans="1:3" x14ac:dyDescent="0.3">
      <c r="A31">
        <v>1927</v>
      </c>
      <c r="B31">
        <v>1950</v>
      </c>
      <c r="C31">
        <v>68500</v>
      </c>
    </row>
    <row r="32" spans="1:3" x14ac:dyDescent="0.3">
      <c r="A32">
        <v>1920</v>
      </c>
      <c r="B32">
        <v>1950</v>
      </c>
      <c r="C32">
        <v>40000</v>
      </c>
    </row>
    <row r="33" spans="1:3" x14ac:dyDescent="0.3">
      <c r="A33">
        <v>1966</v>
      </c>
      <c r="B33">
        <v>2006</v>
      </c>
      <c r="C33">
        <v>149350</v>
      </c>
    </row>
    <row r="34" spans="1:3" x14ac:dyDescent="0.3">
      <c r="A34">
        <v>2007</v>
      </c>
      <c r="B34">
        <v>2007</v>
      </c>
      <c r="C34">
        <v>179900</v>
      </c>
    </row>
    <row r="35" spans="1:3" x14ac:dyDescent="0.3">
      <c r="A35">
        <v>1959</v>
      </c>
      <c r="B35">
        <v>1959</v>
      </c>
      <c r="C35">
        <v>165500</v>
      </c>
    </row>
    <row r="36" spans="1:3" x14ac:dyDescent="0.3">
      <c r="A36">
        <v>2005</v>
      </c>
      <c r="B36">
        <v>2005</v>
      </c>
      <c r="C36">
        <v>277500</v>
      </c>
    </row>
    <row r="37" spans="1:3" x14ac:dyDescent="0.3">
      <c r="A37">
        <v>2004</v>
      </c>
      <c r="B37">
        <v>2005</v>
      </c>
      <c r="C37">
        <v>309000</v>
      </c>
    </row>
    <row r="38" spans="1:3" x14ac:dyDescent="0.3">
      <c r="A38">
        <v>1994</v>
      </c>
      <c r="B38">
        <v>1995</v>
      </c>
      <c r="C38">
        <v>145000</v>
      </c>
    </row>
    <row r="39" spans="1:3" x14ac:dyDescent="0.3">
      <c r="A39">
        <v>1954</v>
      </c>
      <c r="B39">
        <v>1990</v>
      </c>
      <c r="C39">
        <v>153000</v>
      </c>
    </row>
    <row r="40" spans="1:3" x14ac:dyDescent="0.3">
      <c r="A40">
        <v>1953</v>
      </c>
      <c r="B40">
        <v>2007</v>
      </c>
      <c r="C40">
        <v>109000</v>
      </c>
    </row>
    <row r="41" spans="1:3" x14ac:dyDescent="0.3">
      <c r="A41">
        <v>1955</v>
      </c>
      <c r="B41">
        <v>1955</v>
      </c>
      <c r="C41">
        <v>82000</v>
      </c>
    </row>
    <row r="42" spans="1:3" x14ac:dyDescent="0.3">
      <c r="A42">
        <v>1965</v>
      </c>
      <c r="B42">
        <v>1965</v>
      </c>
      <c r="C42">
        <v>160000</v>
      </c>
    </row>
    <row r="43" spans="1:3" x14ac:dyDescent="0.3">
      <c r="A43">
        <v>1959</v>
      </c>
      <c r="B43">
        <v>1959</v>
      </c>
      <c r="C43">
        <v>170000</v>
      </c>
    </row>
    <row r="44" spans="1:3" x14ac:dyDescent="0.3">
      <c r="A44">
        <v>1983</v>
      </c>
      <c r="B44">
        <v>1983</v>
      </c>
      <c r="C44">
        <v>144000</v>
      </c>
    </row>
    <row r="45" spans="1:3" x14ac:dyDescent="0.3">
      <c r="A45">
        <v>1975</v>
      </c>
      <c r="B45">
        <v>1980</v>
      </c>
      <c r="C45">
        <v>130250</v>
      </c>
    </row>
    <row r="46" spans="1:3" x14ac:dyDescent="0.3">
      <c r="A46">
        <v>1959</v>
      </c>
      <c r="B46">
        <v>1959</v>
      </c>
      <c r="C46">
        <v>141000</v>
      </c>
    </row>
    <row r="47" spans="1:3" x14ac:dyDescent="0.3">
      <c r="A47">
        <v>2005</v>
      </c>
      <c r="B47">
        <v>2005</v>
      </c>
      <c r="C47">
        <v>319900</v>
      </c>
    </row>
    <row r="48" spans="1:3" x14ac:dyDescent="0.3">
      <c r="A48">
        <v>2003</v>
      </c>
      <c r="B48">
        <v>2003</v>
      </c>
      <c r="C48">
        <v>239686</v>
      </c>
    </row>
    <row r="49" spans="1:3" x14ac:dyDescent="0.3">
      <c r="A49">
        <v>2006</v>
      </c>
      <c r="B49">
        <v>2006</v>
      </c>
      <c r="C49">
        <v>249700</v>
      </c>
    </row>
    <row r="50" spans="1:3" x14ac:dyDescent="0.3">
      <c r="A50">
        <v>1920</v>
      </c>
      <c r="B50">
        <v>2008</v>
      </c>
      <c r="C50">
        <v>113000</v>
      </c>
    </row>
    <row r="51" spans="1:3" x14ac:dyDescent="0.3">
      <c r="A51">
        <v>1966</v>
      </c>
      <c r="B51">
        <v>1966</v>
      </c>
      <c r="C51">
        <v>127000</v>
      </c>
    </row>
    <row r="52" spans="1:3" x14ac:dyDescent="0.3">
      <c r="A52">
        <v>1997</v>
      </c>
      <c r="B52">
        <v>1997</v>
      </c>
      <c r="C52">
        <v>177000</v>
      </c>
    </row>
    <row r="53" spans="1:3" x14ac:dyDescent="0.3">
      <c r="A53">
        <v>1934</v>
      </c>
      <c r="B53">
        <v>1950</v>
      </c>
      <c r="C53">
        <v>114500</v>
      </c>
    </row>
    <row r="54" spans="1:3" x14ac:dyDescent="0.3">
      <c r="A54">
        <v>1963</v>
      </c>
      <c r="B54">
        <v>1963</v>
      </c>
      <c r="C54">
        <v>110000</v>
      </c>
    </row>
    <row r="55" spans="1:3" x14ac:dyDescent="0.3">
      <c r="A55">
        <v>1981</v>
      </c>
      <c r="B55">
        <v>1987</v>
      </c>
      <c r="C55">
        <v>385000</v>
      </c>
    </row>
    <row r="56" spans="1:3" x14ac:dyDescent="0.3">
      <c r="A56">
        <v>1955</v>
      </c>
      <c r="B56">
        <v>1955</v>
      </c>
      <c r="C56">
        <v>130000</v>
      </c>
    </row>
    <row r="57" spans="1:3" x14ac:dyDescent="0.3">
      <c r="A57">
        <v>1964</v>
      </c>
      <c r="B57">
        <v>1964</v>
      </c>
      <c r="C57">
        <v>180500</v>
      </c>
    </row>
    <row r="58" spans="1:3" x14ac:dyDescent="0.3">
      <c r="A58">
        <v>1999</v>
      </c>
      <c r="B58">
        <v>2000</v>
      </c>
      <c r="C58">
        <v>172500</v>
      </c>
    </row>
    <row r="59" spans="1:3" x14ac:dyDescent="0.3">
      <c r="A59">
        <v>2004</v>
      </c>
      <c r="B59">
        <v>2004</v>
      </c>
      <c r="C59">
        <v>196500</v>
      </c>
    </row>
    <row r="60" spans="1:3" x14ac:dyDescent="0.3">
      <c r="A60">
        <v>2006</v>
      </c>
      <c r="B60">
        <v>2006</v>
      </c>
      <c r="C60">
        <v>438780</v>
      </c>
    </row>
    <row r="61" spans="1:3" x14ac:dyDescent="0.3">
      <c r="A61">
        <v>1972</v>
      </c>
      <c r="B61">
        <v>1972</v>
      </c>
      <c r="C61">
        <v>124900</v>
      </c>
    </row>
    <row r="62" spans="1:3" x14ac:dyDescent="0.3">
      <c r="A62">
        <v>2004</v>
      </c>
      <c r="B62">
        <v>2004</v>
      </c>
      <c r="C62">
        <v>158000</v>
      </c>
    </row>
    <row r="63" spans="1:3" x14ac:dyDescent="0.3">
      <c r="A63">
        <v>1920</v>
      </c>
      <c r="B63">
        <v>1996</v>
      </c>
      <c r="C63">
        <v>101000</v>
      </c>
    </row>
    <row r="64" spans="1:3" x14ac:dyDescent="0.3">
      <c r="A64">
        <v>2006</v>
      </c>
      <c r="B64">
        <v>2006</v>
      </c>
      <c r="C64">
        <v>202500</v>
      </c>
    </row>
    <row r="65" spans="1:3" x14ac:dyDescent="0.3">
      <c r="A65">
        <v>1921</v>
      </c>
      <c r="B65">
        <v>1950</v>
      </c>
      <c r="C65">
        <v>140000</v>
      </c>
    </row>
    <row r="66" spans="1:3" x14ac:dyDescent="0.3">
      <c r="A66">
        <v>1997</v>
      </c>
      <c r="B66">
        <v>1998</v>
      </c>
      <c r="C66">
        <v>219500</v>
      </c>
    </row>
    <row r="67" spans="1:3" x14ac:dyDescent="0.3">
      <c r="A67">
        <v>2004</v>
      </c>
      <c r="B67">
        <v>2005</v>
      </c>
      <c r="C67">
        <v>317000</v>
      </c>
    </row>
    <row r="68" spans="1:3" x14ac:dyDescent="0.3">
      <c r="A68">
        <v>1970</v>
      </c>
      <c r="B68">
        <v>1989</v>
      </c>
      <c r="C68">
        <v>180000</v>
      </c>
    </row>
    <row r="69" spans="1:3" x14ac:dyDescent="0.3">
      <c r="A69">
        <v>2003</v>
      </c>
      <c r="B69">
        <v>2003</v>
      </c>
      <c r="C69">
        <v>226000</v>
      </c>
    </row>
    <row r="70" spans="1:3" x14ac:dyDescent="0.3">
      <c r="A70">
        <v>1945</v>
      </c>
      <c r="B70">
        <v>1950</v>
      </c>
      <c r="C70">
        <v>80000</v>
      </c>
    </row>
    <row r="71" spans="1:3" x14ac:dyDescent="0.3">
      <c r="A71">
        <v>1953</v>
      </c>
      <c r="B71">
        <v>1953</v>
      </c>
      <c r="C71">
        <v>225000</v>
      </c>
    </row>
    <row r="72" spans="1:3" x14ac:dyDescent="0.3">
      <c r="A72">
        <v>1973</v>
      </c>
      <c r="B72">
        <v>1973</v>
      </c>
      <c r="C72">
        <v>244000</v>
      </c>
    </row>
    <row r="73" spans="1:3" x14ac:dyDescent="0.3">
      <c r="A73">
        <v>1982</v>
      </c>
      <c r="B73">
        <v>2006</v>
      </c>
      <c r="C73">
        <v>129500</v>
      </c>
    </row>
    <row r="74" spans="1:3" x14ac:dyDescent="0.3">
      <c r="A74">
        <v>1998</v>
      </c>
      <c r="B74">
        <v>1998</v>
      </c>
      <c r="C74">
        <v>185000</v>
      </c>
    </row>
    <row r="75" spans="1:3" x14ac:dyDescent="0.3">
      <c r="A75">
        <v>1954</v>
      </c>
      <c r="B75">
        <v>2003</v>
      </c>
      <c r="C75">
        <v>144900</v>
      </c>
    </row>
    <row r="76" spans="1:3" x14ac:dyDescent="0.3">
      <c r="A76">
        <v>1915</v>
      </c>
      <c r="B76">
        <v>1950</v>
      </c>
      <c r="C76">
        <v>107400</v>
      </c>
    </row>
    <row r="77" spans="1:3" x14ac:dyDescent="0.3">
      <c r="A77">
        <v>1973</v>
      </c>
      <c r="B77">
        <v>1973</v>
      </c>
      <c r="C77">
        <v>91000</v>
      </c>
    </row>
    <row r="78" spans="1:3" x14ac:dyDescent="0.3">
      <c r="A78">
        <v>1956</v>
      </c>
      <c r="B78">
        <v>1956</v>
      </c>
      <c r="C78">
        <v>135750</v>
      </c>
    </row>
    <row r="79" spans="1:3" x14ac:dyDescent="0.3">
      <c r="A79">
        <v>1948</v>
      </c>
      <c r="B79">
        <v>2001</v>
      </c>
      <c r="C79">
        <v>127000</v>
      </c>
    </row>
    <row r="80" spans="1:3" x14ac:dyDescent="0.3">
      <c r="A80">
        <v>1968</v>
      </c>
      <c r="B80">
        <v>1968</v>
      </c>
      <c r="C80">
        <v>136500</v>
      </c>
    </row>
    <row r="81" spans="1:3" x14ac:dyDescent="0.3">
      <c r="A81">
        <v>1910</v>
      </c>
      <c r="B81">
        <v>1981</v>
      </c>
      <c r="C81">
        <v>110000</v>
      </c>
    </row>
    <row r="82" spans="1:3" x14ac:dyDescent="0.3">
      <c r="A82">
        <v>1968</v>
      </c>
      <c r="B82">
        <v>1968</v>
      </c>
      <c r="C82">
        <v>193500</v>
      </c>
    </row>
    <row r="83" spans="1:3" x14ac:dyDescent="0.3">
      <c r="A83">
        <v>1998</v>
      </c>
      <c r="B83">
        <v>1998</v>
      </c>
      <c r="C83">
        <v>153500</v>
      </c>
    </row>
    <row r="84" spans="1:3" x14ac:dyDescent="0.3">
      <c r="A84">
        <v>2007</v>
      </c>
      <c r="B84">
        <v>2007</v>
      </c>
      <c r="C84">
        <v>245000</v>
      </c>
    </row>
    <row r="85" spans="1:3" x14ac:dyDescent="0.3">
      <c r="A85">
        <v>1960</v>
      </c>
      <c r="B85">
        <v>1960</v>
      </c>
      <c r="C85">
        <v>126500</v>
      </c>
    </row>
    <row r="86" spans="1:3" x14ac:dyDescent="0.3">
      <c r="A86">
        <v>1995</v>
      </c>
      <c r="B86">
        <v>1996</v>
      </c>
      <c r="C86">
        <v>168500</v>
      </c>
    </row>
    <row r="87" spans="1:3" x14ac:dyDescent="0.3">
      <c r="A87">
        <v>1991</v>
      </c>
      <c r="B87">
        <v>1992</v>
      </c>
      <c r="C87">
        <v>260000</v>
      </c>
    </row>
    <row r="88" spans="1:3" x14ac:dyDescent="0.3">
      <c r="A88">
        <v>2005</v>
      </c>
      <c r="B88">
        <v>2005</v>
      </c>
      <c r="C88">
        <v>174000</v>
      </c>
    </row>
    <row r="89" spans="1:3" x14ac:dyDescent="0.3">
      <c r="A89">
        <v>2009</v>
      </c>
      <c r="B89">
        <v>2009</v>
      </c>
      <c r="C89">
        <v>164500</v>
      </c>
    </row>
    <row r="90" spans="1:3" x14ac:dyDescent="0.3">
      <c r="A90">
        <v>1915</v>
      </c>
      <c r="B90">
        <v>1982</v>
      </c>
      <c r="C90">
        <v>85000</v>
      </c>
    </row>
    <row r="91" spans="1:3" x14ac:dyDescent="0.3">
      <c r="A91">
        <v>1994</v>
      </c>
      <c r="B91">
        <v>1995</v>
      </c>
      <c r="C91">
        <v>123600</v>
      </c>
    </row>
    <row r="92" spans="1:3" x14ac:dyDescent="0.3">
      <c r="A92">
        <v>1950</v>
      </c>
      <c r="B92">
        <v>1950</v>
      </c>
      <c r="C92">
        <v>109900</v>
      </c>
    </row>
    <row r="93" spans="1:3" x14ac:dyDescent="0.3">
      <c r="A93">
        <v>1961</v>
      </c>
      <c r="B93">
        <v>1961</v>
      </c>
      <c r="C93">
        <v>98600</v>
      </c>
    </row>
    <row r="94" spans="1:3" x14ac:dyDescent="0.3">
      <c r="A94">
        <v>1921</v>
      </c>
      <c r="B94">
        <v>2006</v>
      </c>
      <c r="C94">
        <v>163500</v>
      </c>
    </row>
    <row r="95" spans="1:3" x14ac:dyDescent="0.3">
      <c r="A95">
        <v>1910</v>
      </c>
      <c r="B95">
        <v>1998</v>
      </c>
      <c r="C95">
        <v>133900</v>
      </c>
    </row>
    <row r="96" spans="1:3" x14ac:dyDescent="0.3">
      <c r="A96">
        <v>1997</v>
      </c>
      <c r="B96">
        <v>1997</v>
      </c>
      <c r="C96">
        <v>204750</v>
      </c>
    </row>
    <row r="97" spans="1:3" x14ac:dyDescent="0.3">
      <c r="A97">
        <v>1993</v>
      </c>
      <c r="B97">
        <v>1993</v>
      </c>
      <c r="C97">
        <v>185000</v>
      </c>
    </row>
    <row r="98" spans="1:3" x14ac:dyDescent="0.3">
      <c r="A98">
        <v>1999</v>
      </c>
      <c r="B98">
        <v>1999</v>
      </c>
      <c r="C98">
        <v>214000</v>
      </c>
    </row>
    <row r="99" spans="1:3" x14ac:dyDescent="0.3">
      <c r="A99">
        <v>1965</v>
      </c>
      <c r="B99">
        <v>1965</v>
      </c>
      <c r="C99">
        <v>94750</v>
      </c>
    </row>
    <row r="100" spans="1:3" x14ac:dyDescent="0.3">
      <c r="A100">
        <v>1920</v>
      </c>
      <c r="B100">
        <v>1950</v>
      </c>
      <c r="C100">
        <v>83000</v>
      </c>
    </row>
    <row r="101" spans="1:3" x14ac:dyDescent="0.3">
      <c r="A101">
        <v>1959</v>
      </c>
      <c r="B101">
        <v>1959</v>
      </c>
      <c r="C101">
        <v>128950</v>
      </c>
    </row>
    <row r="102" spans="1:3" x14ac:dyDescent="0.3">
      <c r="A102">
        <v>1977</v>
      </c>
      <c r="B102">
        <v>2001</v>
      </c>
      <c r="C102">
        <v>205000</v>
      </c>
    </row>
    <row r="103" spans="1:3" x14ac:dyDescent="0.3">
      <c r="A103">
        <v>1985</v>
      </c>
      <c r="B103">
        <v>1985</v>
      </c>
      <c r="C103">
        <v>178000</v>
      </c>
    </row>
    <row r="104" spans="1:3" x14ac:dyDescent="0.3">
      <c r="A104">
        <v>1979</v>
      </c>
      <c r="B104">
        <v>1979</v>
      </c>
      <c r="C104">
        <v>118964</v>
      </c>
    </row>
    <row r="105" spans="1:3" x14ac:dyDescent="0.3">
      <c r="A105">
        <v>2009</v>
      </c>
      <c r="B105">
        <v>2009</v>
      </c>
      <c r="C105">
        <v>198900</v>
      </c>
    </row>
    <row r="106" spans="1:3" x14ac:dyDescent="0.3">
      <c r="A106">
        <v>1931</v>
      </c>
      <c r="B106">
        <v>1950</v>
      </c>
      <c r="C106">
        <v>169500</v>
      </c>
    </row>
    <row r="107" spans="1:3" x14ac:dyDescent="0.3">
      <c r="A107">
        <v>2003</v>
      </c>
      <c r="B107">
        <v>2004</v>
      </c>
      <c r="C107">
        <v>250000</v>
      </c>
    </row>
    <row r="108" spans="1:3" x14ac:dyDescent="0.3">
      <c r="A108">
        <v>1885</v>
      </c>
      <c r="B108">
        <v>1995</v>
      </c>
      <c r="C108">
        <v>100000</v>
      </c>
    </row>
    <row r="109" spans="1:3" x14ac:dyDescent="0.3">
      <c r="A109">
        <v>1948</v>
      </c>
      <c r="B109">
        <v>1950</v>
      </c>
      <c r="C109">
        <v>115000</v>
      </c>
    </row>
    <row r="110" spans="1:3" x14ac:dyDescent="0.3">
      <c r="A110">
        <v>1919</v>
      </c>
      <c r="B110">
        <v>2005</v>
      </c>
      <c r="C110">
        <v>115000</v>
      </c>
    </row>
    <row r="111" spans="1:3" x14ac:dyDescent="0.3">
      <c r="A111">
        <v>1977</v>
      </c>
      <c r="B111">
        <v>1977</v>
      </c>
      <c r="C111">
        <v>190000</v>
      </c>
    </row>
    <row r="112" spans="1:3" x14ac:dyDescent="0.3">
      <c r="A112">
        <v>1954</v>
      </c>
      <c r="B112">
        <v>1972</v>
      </c>
      <c r="C112">
        <v>136900</v>
      </c>
    </row>
    <row r="113" spans="1:3" x14ac:dyDescent="0.3">
      <c r="A113">
        <v>2000</v>
      </c>
      <c r="B113">
        <v>2000</v>
      </c>
      <c r="C113">
        <v>180000</v>
      </c>
    </row>
    <row r="114" spans="1:3" x14ac:dyDescent="0.3">
      <c r="A114">
        <v>2007</v>
      </c>
      <c r="B114">
        <v>2007</v>
      </c>
      <c r="C114">
        <v>383970</v>
      </c>
    </row>
    <row r="115" spans="1:3" x14ac:dyDescent="0.3">
      <c r="A115">
        <v>1953</v>
      </c>
      <c r="B115">
        <v>1953</v>
      </c>
      <c r="C115">
        <v>217000</v>
      </c>
    </row>
    <row r="116" spans="1:3" x14ac:dyDescent="0.3">
      <c r="A116">
        <v>1945</v>
      </c>
      <c r="B116">
        <v>2002</v>
      </c>
      <c r="C116">
        <v>259500</v>
      </c>
    </row>
    <row r="117" spans="1:3" x14ac:dyDescent="0.3">
      <c r="A117">
        <v>1999</v>
      </c>
      <c r="B117">
        <v>1999</v>
      </c>
      <c r="C117">
        <v>176000</v>
      </c>
    </row>
    <row r="118" spans="1:3" x14ac:dyDescent="0.3">
      <c r="A118">
        <v>1962</v>
      </c>
      <c r="B118">
        <v>1962</v>
      </c>
      <c r="C118">
        <v>139000</v>
      </c>
    </row>
    <row r="119" spans="1:3" x14ac:dyDescent="0.3">
      <c r="A119">
        <v>2006</v>
      </c>
      <c r="B119">
        <v>2007</v>
      </c>
      <c r="C119">
        <v>155000</v>
      </c>
    </row>
    <row r="120" spans="1:3" x14ac:dyDescent="0.3">
      <c r="A120">
        <v>1990</v>
      </c>
      <c r="B120">
        <v>1990</v>
      </c>
      <c r="C120">
        <v>320000</v>
      </c>
    </row>
    <row r="121" spans="1:3" x14ac:dyDescent="0.3">
      <c r="A121">
        <v>2005</v>
      </c>
      <c r="B121">
        <v>2006</v>
      </c>
      <c r="C121">
        <v>163990</v>
      </c>
    </row>
    <row r="122" spans="1:3" x14ac:dyDescent="0.3">
      <c r="A122">
        <v>1969</v>
      </c>
      <c r="B122">
        <v>1969</v>
      </c>
      <c r="C122">
        <v>180000</v>
      </c>
    </row>
    <row r="123" spans="1:3" x14ac:dyDescent="0.3">
      <c r="A123">
        <v>1939</v>
      </c>
      <c r="B123">
        <v>1950</v>
      </c>
      <c r="C123">
        <v>100000</v>
      </c>
    </row>
    <row r="124" spans="1:3" x14ac:dyDescent="0.3">
      <c r="A124">
        <v>1958</v>
      </c>
      <c r="B124">
        <v>1958</v>
      </c>
      <c r="C124">
        <v>136000</v>
      </c>
    </row>
    <row r="125" spans="1:3" x14ac:dyDescent="0.3">
      <c r="A125">
        <v>1993</v>
      </c>
      <c r="B125">
        <v>1993</v>
      </c>
      <c r="C125">
        <v>153900</v>
      </c>
    </row>
    <row r="126" spans="1:3" x14ac:dyDescent="0.3">
      <c r="A126">
        <v>1979</v>
      </c>
      <c r="B126">
        <v>1998</v>
      </c>
      <c r="C126">
        <v>181000</v>
      </c>
    </row>
    <row r="127" spans="1:3" x14ac:dyDescent="0.3">
      <c r="A127">
        <v>1935</v>
      </c>
      <c r="B127">
        <v>1982</v>
      </c>
      <c r="C127">
        <v>84500</v>
      </c>
    </row>
    <row r="128" spans="1:3" x14ac:dyDescent="0.3">
      <c r="A128">
        <v>1976</v>
      </c>
      <c r="B128">
        <v>1976</v>
      </c>
      <c r="C128">
        <v>128000</v>
      </c>
    </row>
    <row r="129" spans="1:3" x14ac:dyDescent="0.3">
      <c r="A129">
        <v>1930</v>
      </c>
      <c r="B129">
        <v>1950</v>
      </c>
      <c r="C129">
        <v>87000</v>
      </c>
    </row>
    <row r="130" spans="1:3" x14ac:dyDescent="0.3">
      <c r="A130">
        <v>1966</v>
      </c>
      <c r="B130">
        <v>1966</v>
      </c>
      <c r="C130">
        <v>155000</v>
      </c>
    </row>
    <row r="131" spans="1:3" x14ac:dyDescent="0.3">
      <c r="A131">
        <v>1958</v>
      </c>
      <c r="B131">
        <v>1991</v>
      </c>
      <c r="C131">
        <v>150000</v>
      </c>
    </row>
    <row r="132" spans="1:3" x14ac:dyDescent="0.3">
      <c r="A132">
        <v>1966</v>
      </c>
      <c r="B132">
        <v>1966</v>
      </c>
      <c r="C132">
        <v>226000</v>
      </c>
    </row>
    <row r="133" spans="1:3" x14ac:dyDescent="0.3">
      <c r="A133">
        <v>2000</v>
      </c>
      <c r="B133">
        <v>2000</v>
      </c>
      <c r="C133">
        <v>244000</v>
      </c>
    </row>
    <row r="134" spans="1:3" x14ac:dyDescent="0.3">
      <c r="A134">
        <v>1959</v>
      </c>
      <c r="B134">
        <v>2002</v>
      </c>
      <c r="C134">
        <v>150750</v>
      </c>
    </row>
    <row r="135" spans="1:3" x14ac:dyDescent="0.3">
      <c r="A135">
        <v>2001</v>
      </c>
      <c r="B135">
        <v>2002</v>
      </c>
      <c r="C135">
        <v>220000</v>
      </c>
    </row>
    <row r="136" spans="1:3" x14ac:dyDescent="0.3">
      <c r="A136">
        <v>1968</v>
      </c>
      <c r="B136">
        <v>1993</v>
      </c>
      <c r="C136">
        <v>180000</v>
      </c>
    </row>
    <row r="137" spans="1:3" x14ac:dyDescent="0.3">
      <c r="A137">
        <v>1970</v>
      </c>
      <c r="B137">
        <v>1970</v>
      </c>
      <c r="C137">
        <v>174000</v>
      </c>
    </row>
    <row r="138" spans="1:3" x14ac:dyDescent="0.3">
      <c r="A138">
        <v>1967</v>
      </c>
      <c r="B138">
        <v>1967</v>
      </c>
      <c r="C138">
        <v>143000</v>
      </c>
    </row>
    <row r="139" spans="1:3" x14ac:dyDescent="0.3">
      <c r="A139">
        <v>1988</v>
      </c>
      <c r="B139">
        <v>1989</v>
      </c>
      <c r="C139">
        <v>171000</v>
      </c>
    </row>
    <row r="140" spans="1:3" x14ac:dyDescent="0.3">
      <c r="A140">
        <v>1999</v>
      </c>
      <c r="B140">
        <v>2000</v>
      </c>
      <c r="C140">
        <v>230000</v>
      </c>
    </row>
    <row r="141" spans="1:3" x14ac:dyDescent="0.3">
      <c r="A141">
        <v>1997</v>
      </c>
      <c r="B141">
        <v>1997</v>
      </c>
      <c r="C141">
        <v>231500</v>
      </c>
    </row>
    <row r="142" spans="1:3" x14ac:dyDescent="0.3">
      <c r="A142">
        <v>1971</v>
      </c>
      <c r="B142">
        <v>1971</v>
      </c>
      <c r="C142">
        <v>115000</v>
      </c>
    </row>
    <row r="143" spans="1:3" x14ac:dyDescent="0.3">
      <c r="A143">
        <v>2005</v>
      </c>
      <c r="B143">
        <v>2005</v>
      </c>
      <c r="C143">
        <v>260000</v>
      </c>
    </row>
    <row r="144" spans="1:3" x14ac:dyDescent="0.3">
      <c r="A144">
        <v>1952</v>
      </c>
      <c r="B144">
        <v>1952</v>
      </c>
      <c r="C144">
        <v>166000</v>
      </c>
    </row>
    <row r="145" spans="1:3" x14ac:dyDescent="0.3">
      <c r="A145">
        <v>1999</v>
      </c>
      <c r="B145">
        <v>1999</v>
      </c>
      <c r="C145">
        <v>204000</v>
      </c>
    </row>
    <row r="146" spans="1:3" x14ac:dyDescent="0.3">
      <c r="A146">
        <v>1963</v>
      </c>
      <c r="B146">
        <v>1963</v>
      </c>
      <c r="C146">
        <v>125000</v>
      </c>
    </row>
    <row r="147" spans="1:3" x14ac:dyDescent="0.3">
      <c r="A147">
        <v>2004</v>
      </c>
      <c r="B147">
        <v>2006</v>
      </c>
      <c r="C147">
        <v>130000</v>
      </c>
    </row>
    <row r="148" spans="1:3" x14ac:dyDescent="0.3">
      <c r="A148">
        <v>1931</v>
      </c>
      <c r="B148">
        <v>1993</v>
      </c>
      <c r="C148">
        <v>105000</v>
      </c>
    </row>
    <row r="149" spans="1:3" x14ac:dyDescent="0.3">
      <c r="A149">
        <v>2001</v>
      </c>
      <c r="B149">
        <v>2001</v>
      </c>
      <c r="C149">
        <v>222500</v>
      </c>
    </row>
    <row r="150" spans="1:3" x14ac:dyDescent="0.3">
      <c r="A150">
        <v>2004</v>
      </c>
      <c r="B150">
        <v>2005</v>
      </c>
      <c r="C150">
        <v>141000</v>
      </c>
    </row>
    <row r="151" spans="1:3" x14ac:dyDescent="0.3">
      <c r="A151">
        <v>1936</v>
      </c>
      <c r="B151">
        <v>1950</v>
      </c>
      <c r="C151">
        <v>115000</v>
      </c>
    </row>
    <row r="152" spans="1:3" x14ac:dyDescent="0.3">
      <c r="A152">
        <v>1975</v>
      </c>
      <c r="B152">
        <v>1975</v>
      </c>
      <c r="C152">
        <v>122000</v>
      </c>
    </row>
    <row r="153" spans="1:3" x14ac:dyDescent="0.3">
      <c r="A153">
        <v>2007</v>
      </c>
      <c r="B153">
        <v>2008</v>
      </c>
      <c r="C153">
        <v>372402</v>
      </c>
    </row>
    <row r="154" spans="1:3" x14ac:dyDescent="0.3">
      <c r="A154">
        <v>1971</v>
      </c>
      <c r="B154">
        <v>1971</v>
      </c>
      <c r="C154">
        <v>190000</v>
      </c>
    </row>
    <row r="155" spans="1:3" x14ac:dyDescent="0.3">
      <c r="A155">
        <v>1960</v>
      </c>
      <c r="B155">
        <v>1975</v>
      </c>
      <c r="C155">
        <v>235000</v>
      </c>
    </row>
    <row r="156" spans="1:3" x14ac:dyDescent="0.3">
      <c r="A156">
        <v>1923</v>
      </c>
      <c r="B156">
        <v>1950</v>
      </c>
      <c r="C156">
        <v>125000</v>
      </c>
    </row>
    <row r="157" spans="1:3" x14ac:dyDescent="0.3">
      <c r="A157">
        <v>1924</v>
      </c>
      <c r="B157">
        <v>1950</v>
      </c>
      <c r="C157">
        <v>79000</v>
      </c>
    </row>
    <row r="158" spans="1:3" x14ac:dyDescent="0.3">
      <c r="A158">
        <v>1950</v>
      </c>
      <c r="B158">
        <v>1950</v>
      </c>
      <c r="C158">
        <v>109500</v>
      </c>
    </row>
    <row r="159" spans="1:3" x14ac:dyDescent="0.3">
      <c r="A159">
        <v>2009</v>
      </c>
      <c r="B159">
        <v>2010</v>
      </c>
      <c r="C159">
        <v>269500</v>
      </c>
    </row>
    <row r="160" spans="1:3" x14ac:dyDescent="0.3">
      <c r="A160">
        <v>2004</v>
      </c>
      <c r="B160">
        <v>2005</v>
      </c>
      <c r="C160">
        <v>254900</v>
      </c>
    </row>
    <row r="161" spans="1:3" x14ac:dyDescent="0.3">
      <c r="A161">
        <v>2005</v>
      </c>
      <c r="B161">
        <v>2006</v>
      </c>
      <c r="C161">
        <v>320000</v>
      </c>
    </row>
    <row r="162" spans="1:3" x14ac:dyDescent="0.3">
      <c r="A162">
        <v>1984</v>
      </c>
      <c r="B162">
        <v>1984</v>
      </c>
      <c r="C162">
        <v>162500</v>
      </c>
    </row>
    <row r="163" spans="1:3" x14ac:dyDescent="0.3">
      <c r="A163">
        <v>2003</v>
      </c>
      <c r="B163">
        <v>2004</v>
      </c>
      <c r="C163">
        <v>412500</v>
      </c>
    </row>
    <row r="164" spans="1:3" x14ac:dyDescent="0.3">
      <c r="A164">
        <v>2005</v>
      </c>
      <c r="B164">
        <v>2005</v>
      </c>
      <c r="C164">
        <v>220000</v>
      </c>
    </row>
    <row r="165" spans="1:3" x14ac:dyDescent="0.3">
      <c r="A165">
        <v>1956</v>
      </c>
      <c r="B165">
        <v>1956</v>
      </c>
      <c r="C165">
        <v>103200</v>
      </c>
    </row>
    <row r="166" spans="1:3" x14ac:dyDescent="0.3">
      <c r="A166">
        <v>1926</v>
      </c>
      <c r="B166">
        <v>2004</v>
      </c>
      <c r="C166">
        <v>152000</v>
      </c>
    </row>
    <row r="167" spans="1:3" x14ac:dyDescent="0.3">
      <c r="A167">
        <v>1940</v>
      </c>
      <c r="B167">
        <v>1999</v>
      </c>
      <c r="C167">
        <v>127500</v>
      </c>
    </row>
    <row r="168" spans="1:3" x14ac:dyDescent="0.3">
      <c r="A168">
        <v>1955</v>
      </c>
      <c r="B168">
        <v>1993</v>
      </c>
      <c r="C168">
        <v>190000</v>
      </c>
    </row>
    <row r="169" spans="1:3" x14ac:dyDescent="0.3">
      <c r="A169">
        <v>2007</v>
      </c>
      <c r="B169">
        <v>2007</v>
      </c>
      <c r="C169">
        <v>325624</v>
      </c>
    </row>
    <row r="170" spans="1:3" x14ac:dyDescent="0.3">
      <c r="A170">
        <v>2004</v>
      </c>
      <c r="B170">
        <v>2004</v>
      </c>
      <c r="C170">
        <v>183500</v>
      </c>
    </row>
    <row r="171" spans="1:3" x14ac:dyDescent="0.3">
      <c r="A171">
        <v>1981</v>
      </c>
      <c r="B171">
        <v>1981</v>
      </c>
      <c r="C171">
        <v>228000</v>
      </c>
    </row>
    <row r="172" spans="1:3" x14ac:dyDescent="0.3">
      <c r="A172">
        <v>1941</v>
      </c>
      <c r="B172">
        <v>1950</v>
      </c>
      <c r="C172">
        <v>128500</v>
      </c>
    </row>
    <row r="173" spans="1:3" x14ac:dyDescent="0.3">
      <c r="A173">
        <v>1960</v>
      </c>
      <c r="B173">
        <v>1960</v>
      </c>
      <c r="C173">
        <v>215000</v>
      </c>
    </row>
    <row r="174" spans="1:3" x14ac:dyDescent="0.3">
      <c r="A174">
        <v>1987</v>
      </c>
      <c r="B174">
        <v>1987</v>
      </c>
      <c r="C174">
        <v>239000</v>
      </c>
    </row>
    <row r="175" spans="1:3" x14ac:dyDescent="0.3">
      <c r="A175">
        <v>1961</v>
      </c>
      <c r="B175">
        <v>1961</v>
      </c>
      <c r="C175">
        <v>163000</v>
      </c>
    </row>
    <row r="176" spans="1:3" x14ac:dyDescent="0.3">
      <c r="A176">
        <v>1986</v>
      </c>
      <c r="B176">
        <v>1986</v>
      </c>
      <c r="C176">
        <v>184000</v>
      </c>
    </row>
    <row r="177" spans="1:3" x14ac:dyDescent="0.3">
      <c r="A177">
        <v>1950</v>
      </c>
      <c r="B177">
        <v>2001</v>
      </c>
      <c r="C177">
        <v>243000</v>
      </c>
    </row>
    <row r="178" spans="1:3" x14ac:dyDescent="0.3">
      <c r="A178">
        <v>1988</v>
      </c>
      <c r="B178">
        <v>1989</v>
      </c>
      <c r="C178">
        <v>211000</v>
      </c>
    </row>
    <row r="179" spans="1:3" x14ac:dyDescent="0.3">
      <c r="A179">
        <v>1958</v>
      </c>
      <c r="B179">
        <v>1958</v>
      </c>
      <c r="C179">
        <v>172500</v>
      </c>
    </row>
    <row r="180" spans="1:3" x14ac:dyDescent="0.3">
      <c r="A180">
        <v>2008</v>
      </c>
      <c r="B180">
        <v>2009</v>
      </c>
      <c r="C180">
        <v>501837</v>
      </c>
    </row>
    <row r="181" spans="1:3" x14ac:dyDescent="0.3">
      <c r="A181">
        <v>1923</v>
      </c>
      <c r="B181">
        <v>2006</v>
      </c>
      <c r="C181">
        <v>100000</v>
      </c>
    </row>
    <row r="182" spans="1:3" x14ac:dyDescent="0.3">
      <c r="A182">
        <v>2000</v>
      </c>
      <c r="B182">
        <v>2000</v>
      </c>
      <c r="C182">
        <v>177000</v>
      </c>
    </row>
    <row r="183" spans="1:3" x14ac:dyDescent="0.3">
      <c r="A183">
        <v>1920</v>
      </c>
      <c r="B183">
        <v>1950</v>
      </c>
      <c r="C183">
        <v>200100</v>
      </c>
    </row>
    <row r="184" spans="1:3" x14ac:dyDescent="0.3">
      <c r="A184">
        <v>1957</v>
      </c>
      <c r="B184">
        <v>2006</v>
      </c>
      <c r="C184">
        <v>120000</v>
      </c>
    </row>
    <row r="185" spans="1:3" x14ac:dyDescent="0.3">
      <c r="A185">
        <v>2003</v>
      </c>
      <c r="B185">
        <v>2003</v>
      </c>
      <c r="C185">
        <v>200000</v>
      </c>
    </row>
    <row r="186" spans="1:3" x14ac:dyDescent="0.3">
      <c r="A186">
        <v>1908</v>
      </c>
      <c r="B186">
        <v>1991</v>
      </c>
      <c r="C186">
        <v>127000</v>
      </c>
    </row>
    <row r="187" spans="1:3" x14ac:dyDescent="0.3">
      <c r="A187">
        <v>1892</v>
      </c>
      <c r="B187">
        <v>1993</v>
      </c>
      <c r="C187">
        <v>475000</v>
      </c>
    </row>
    <row r="188" spans="1:3" x14ac:dyDescent="0.3">
      <c r="A188">
        <v>1990</v>
      </c>
      <c r="B188">
        <v>1991</v>
      </c>
      <c r="C188">
        <v>173000</v>
      </c>
    </row>
    <row r="189" spans="1:3" x14ac:dyDescent="0.3">
      <c r="A189">
        <v>1916</v>
      </c>
      <c r="B189">
        <v>1987</v>
      </c>
      <c r="C189">
        <v>135000</v>
      </c>
    </row>
    <row r="190" spans="1:3" x14ac:dyDescent="0.3">
      <c r="A190">
        <v>1979</v>
      </c>
      <c r="B190">
        <v>1979</v>
      </c>
      <c r="C190">
        <v>153337</v>
      </c>
    </row>
    <row r="191" spans="1:3" x14ac:dyDescent="0.3">
      <c r="A191">
        <v>2001</v>
      </c>
      <c r="B191">
        <v>2002</v>
      </c>
      <c r="C191">
        <v>286000</v>
      </c>
    </row>
    <row r="192" spans="1:3" x14ac:dyDescent="0.3">
      <c r="A192">
        <v>1932</v>
      </c>
      <c r="B192">
        <v>1994</v>
      </c>
      <c r="C192">
        <v>315000</v>
      </c>
    </row>
    <row r="193" spans="1:3" x14ac:dyDescent="0.3">
      <c r="A193">
        <v>1972</v>
      </c>
      <c r="B193">
        <v>2004</v>
      </c>
      <c r="C193">
        <v>184000</v>
      </c>
    </row>
    <row r="194" spans="1:3" x14ac:dyDescent="0.3">
      <c r="A194">
        <v>1999</v>
      </c>
      <c r="B194">
        <v>1999</v>
      </c>
      <c r="C194">
        <v>192000</v>
      </c>
    </row>
    <row r="195" spans="1:3" x14ac:dyDescent="0.3">
      <c r="A195">
        <v>2004</v>
      </c>
      <c r="B195">
        <v>2004</v>
      </c>
      <c r="C195">
        <v>130000</v>
      </c>
    </row>
    <row r="196" spans="1:3" x14ac:dyDescent="0.3">
      <c r="A196">
        <v>1972</v>
      </c>
      <c r="B196">
        <v>1972</v>
      </c>
      <c r="C196">
        <v>127000</v>
      </c>
    </row>
    <row r="197" spans="1:3" x14ac:dyDescent="0.3">
      <c r="A197">
        <v>1976</v>
      </c>
      <c r="B197">
        <v>1976</v>
      </c>
      <c r="C197">
        <v>148500</v>
      </c>
    </row>
    <row r="198" spans="1:3" x14ac:dyDescent="0.3">
      <c r="A198">
        <v>2007</v>
      </c>
      <c r="B198">
        <v>2007</v>
      </c>
      <c r="C198">
        <v>311872</v>
      </c>
    </row>
    <row r="199" spans="1:3" x14ac:dyDescent="0.3">
      <c r="A199">
        <v>1918</v>
      </c>
      <c r="B199">
        <v>1990</v>
      </c>
      <c r="C199">
        <v>235000</v>
      </c>
    </row>
    <row r="200" spans="1:3" x14ac:dyDescent="0.3">
      <c r="A200">
        <v>1912</v>
      </c>
      <c r="B200">
        <v>1950</v>
      </c>
      <c r="C200">
        <v>104000</v>
      </c>
    </row>
    <row r="201" spans="1:3" x14ac:dyDescent="0.3">
      <c r="A201">
        <v>2004</v>
      </c>
      <c r="B201">
        <v>2005</v>
      </c>
      <c r="C201">
        <v>274900</v>
      </c>
    </row>
    <row r="202" spans="1:3" x14ac:dyDescent="0.3">
      <c r="A202">
        <v>2003</v>
      </c>
      <c r="B202">
        <v>2004</v>
      </c>
      <c r="C202">
        <v>140000</v>
      </c>
    </row>
    <row r="203" spans="1:3" x14ac:dyDescent="0.3">
      <c r="A203">
        <v>1977</v>
      </c>
      <c r="B203">
        <v>1977</v>
      </c>
      <c r="C203">
        <v>171500</v>
      </c>
    </row>
    <row r="204" spans="1:3" x14ac:dyDescent="0.3">
      <c r="A204">
        <v>1924</v>
      </c>
      <c r="B204">
        <v>1950</v>
      </c>
      <c r="C204">
        <v>112000</v>
      </c>
    </row>
    <row r="205" spans="1:3" x14ac:dyDescent="0.3">
      <c r="A205">
        <v>2004</v>
      </c>
      <c r="B205">
        <v>2004</v>
      </c>
      <c r="C205">
        <v>149000</v>
      </c>
    </row>
    <row r="206" spans="1:3" x14ac:dyDescent="0.3">
      <c r="A206">
        <v>1947</v>
      </c>
      <c r="B206">
        <v>1950</v>
      </c>
      <c r="C206">
        <v>110000</v>
      </c>
    </row>
    <row r="207" spans="1:3" x14ac:dyDescent="0.3">
      <c r="A207">
        <v>1990</v>
      </c>
      <c r="B207">
        <v>1990</v>
      </c>
      <c r="C207">
        <v>180500</v>
      </c>
    </row>
    <row r="208" spans="1:3" x14ac:dyDescent="0.3">
      <c r="A208">
        <v>1962</v>
      </c>
      <c r="B208">
        <v>1962</v>
      </c>
      <c r="C208">
        <v>143900</v>
      </c>
    </row>
    <row r="209" spans="1:3" x14ac:dyDescent="0.3">
      <c r="A209">
        <v>1960</v>
      </c>
      <c r="B209">
        <v>1960</v>
      </c>
      <c r="C209">
        <v>141000</v>
      </c>
    </row>
    <row r="210" spans="1:3" x14ac:dyDescent="0.3">
      <c r="A210">
        <v>1988</v>
      </c>
      <c r="B210">
        <v>1989</v>
      </c>
      <c r="C210">
        <v>277000</v>
      </c>
    </row>
    <row r="211" spans="1:3" x14ac:dyDescent="0.3">
      <c r="A211">
        <v>1964</v>
      </c>
      <c r="B211">
        <v>1964</v>
      </c>
      <c r="C211">
        <v>145000</v>
      </c>
    </row>
    <row r="212" spans="1:3" x14ac:dyDescent="0.3">
      <c r="A212">
        <v>1925</v>
      </c>
      <c r="B212">
        <v>1950</v>
      </c>
      <c r="C212">
        <v>98000</v>
      </c>
    </row>
    <row r="213" spans="1:3" x14ac:dyDescent="0.3">
      <c r="A213">
        <v>2009</v>
      </c>
      <c r="B213">
        <v>2009</v>
      </c>
      <c r="C213">
        <v>186000</v>
      </c>
    </row>
    <row r="214" spans="1:3" x14ac:dyDescent="0.3">
      <c r="A214">
        <v>2009</v>
      </c>
      <c r="B214">
        <v>2009</v>
      </c>
      <c r="C214">
        <v>252678</v>
      </c>
    </row>
    <row r="215" spans="1:3" x14ac:dyDescent="0.3">
      <c r="A215">
        <v>1995</v>
      </c>
      <c r="B215">
        <v>1995</v>
      </c>
      <c r="C215">
        <v>156000</v>
      </c>
    </row>
    <row r="216" spans="1:3" x14ac:dyDescent="0.3">
      <c r="A216">
        <v>1977</v>
      </c>
      <c r="B216">
        <v>1977</v>
      </c>
      <c r="C216">
        <v>161750</v>
      </c>
    </row>
    <row r="217" spans="1:3" x14ac:dyDescent="0.3">
      <c r="A217">
        <v>1957</v>
      </c>
      <c r="B217">
        <v>1996</v>
      </c>
      <c r="C217">
        <v>134450</v>
      </c>
    </row>
    <row r="218" spans="1:3" x14ac:dyDescent="0.3">
      <c r="A218">
        <v>2004</v>
      </c>
      <c r="B218">
        <v>2004</v>
      </c>
      <c r="C218">
        <v>210000</v>
      </c>
    </row>
    <row r="219" spans="1:3" x14ac:dyDescent="0.3">
      <c r="A219">
        <v>1925</v>
      </c>
      <c r="B219">
        <v>1950</v>
      </c>
      <c r="C219">
        <v>107000</v>
      </c>
    </row>
    <row r="220" spans="1:3" x14ac:dyDescent="0.3">
      <c r="A220">
        <v>1939</v>
      </c>
      <c r="B220">
        <v>2006</v>
      </c>
      <c r="C220">
        <v>311500</v>
      </c>
    </row>
    <row r="221" spans="1:3" x14ac:dyDescent="0.3">
      <c r="A221">
        <v>2005</v>
      </c>
      <c r="B221">
        <v>2006</v>
      </c>
      <c r="C221">
        <v>167240</v>
      </c>
    </row>
    <row r="222" spans="1:3" x14ac:dyDescent="0.3">
      <c r="A222">
        <v>2006</v>
      </c>
      <c r="B222">
        <v>2006</v>
      </c>
      <c r="C222">
        <v>204900</v>
      </c>
    </row>
    <row r="223" spans="1:3" x14ac:dyDescent="0.3">
      <c r="A223">
        <v>2002</v>
      </c>
      <c r="B223">
        <v>2002</v>
      </c>
      <c r="C223">
        <v>200000</v>
      </c>
    </row>
    <row r="224" spans="1:3" x14ac:dyDescent="0.3">
      <c r="A224">
        <v>1975</v>
      </c>
      <c r="B224">
        <v>1975</v>
      </c>
      <c r="C224">
        <v>179900</v>
      </c>
    </row>
    <row r="225" spans="1:3" x14ac:dyDescent="0.3">
      <c r="A225">
        <v>1971</v>
      </c>
      <c r="B225">
        <v>1971</v>
      </c>
      <c r="C225">
        <v>97000</v>
      </c>
    </row>
    <row r="226" spans="1:3" x14ac:dyDescent="0.3">
      <c r="A226">
        <v>2003</v>
      </c>
      <c r="B226">
        <v>2003</v>
      </c>
      <c r="C226">
        <v>386250</v>
      </c>
    </row>
    <row r="227" spans="1:3" x14ac:dyDescent="0.3">
      <c r="A227">
        <v>1971</v>
      </c>
      <c r="B227">
        <v>1971</v>
      </c>
      <c r="C227">
        <v>112000</v>
      </c>
    </row>
    <row r="228" spans="1:3" x14ac:dyDescent="0.3">
      <c r="A228">
        <v>1995</v>
      </c>
      <c r="B228">
        <v>1995</v>
      </c>
      <c r="C228">
        <v>290000</v>
      </c>
    </row>
    <row r="229" spans="1:3" x14ac:dyDescent="0.3">
      <c r="A229">
        <v>1970</v>
      </c>
      <c r="B229">
        <v>1970</v>
      </c>
      <c r="C229">
        <v>106000</v>
      </c>
    </row>
    <row r="230" spans="1:3" x14ac:dyDescent="0.3">
      <c r="A230">
        <v>1967</v>
      </c>
      <c r="B230">
        <v>1967</v>
      </c>
      <c r="C230">
        <v>125000</v>
      </c>
    </row>
    <row r="231" spans="1:3" x14ac:dyDescent="0.3">
      <c r="A231">
        <v>2005</v>
      </c>
      <c r="B231">
        <v>2006</v>
      </c>
      <c r="C231">
        <v>192500</v>
      </c>
    </row>
    <row r="232" spans="1:3" x14ac:dyDescent="0.3">
      <c r="A232">
        <v>1959</v>
      </c>
      <c r="B232">
        <v>1959</v>
      </c>
      <c r="C232">
        <v>148000</v>
      </c>
    </row>
    <row r="233" spans="1:3" x14ac:dyDescent="0.3">
      <c r="A233">
        <v>1995</v>
      </c>
      <c r="B233">
        <v>1996</v>
      </c>
      <c r="C233">
        <v>403000</v>
      </c>
    </row>
    <row r="234" spans="1:3" x14ac:dyDescent="0.3">
      <c r="A234">
        <v>1972</v>
      </c>
      <c r="B234">
        <v>1972</v>
      </c>
      <c r="C234">
        <v>94500</v>
      </c>
    </row>
    <row r="235" spans="1:3" x14ac:dyDescent="0.3">
      <c r="A235">
        <v>1976</v>
      </c>
      <c r="B235">
        <v>1976</v>
      </c>
      <c r="C235">
        <v>128200</v>
      </c>
    </row>
    <row r="236" spans="1:3" x14ac:dyDescent="0.3">
      <c r="A236">
        <v>2002</v>
      </c>
      <c r="B236">
        <v>2002</v>
      </c>
      <c r="C236">
        <v>216500</v>
      </c>
    </row>
    <row r="237" spans="1:3" x14ac:dyDescent="0.3">
      <c r="A237">
        <v>1971</v>
      </c>
      <c r="B237">
        <v>1971</v>
      </c>
      <c r="C237">
        <v>89500</v>
      </c>
    </row>
    <row r="238" spans="1:3" x14ac:dyDescent="0.3">
      <c r="A238">
        <v>2004</v>
      </c>
      <c r="B238">
        <v>2004</v>
      </c>
      <c r="C238">
        <v>185500</v>
      </c>
    </row>
    <row r="239" spans="1:3" x14ac:dyDescent="0.3">
      <c r="A239">
        <v>1993</v>
      </c>
      <c r="B239">
        <v>2003</v>
      </c>
      <c r="C239">
        <v>194500</v>
      </c>
    </row>
    <row r="240" spans="1:3" x14ac:dyDescent="0.3">
      <c r="A240">
        <v>2007</v>
      </c>
      <c r="B240">
        <v>2007</v>
      </c>
      <c r="C240">
        <v>318000</v>
      </c>
    </row>
    <row r="241" spans="1:3" x14ac:dyDescent="0.3">
      <c r="A241">
        <v>1945</v>
      </c>
      <c r="B241">
        <v>1950</v>
      </c>
      <c r="C241">
        <v>113000</v>
      </c>
    </row>
    <row r="242" spans="1:3" x14ac:dyDescent="0.3">
      <c r="A242">
        <v>2008</v>
      </c>
      <c r="B242">
        <v>2008</v>
      </c>
      <c r="C242">
        <v>262500</v>
      </c>
    </row>
    <row r="243" spans="1:3" x14ac:dyDescent="0.3">
      <c r="A243">
        <v>1945</v>
      </c>
      <c r="B243">
        <v>1997</v>
      </c>
      <c r="C243">
        <v>110500</v>
      </c>
    </row>
    <row r="244" spans="1:3" x14ac:dyDescent="0.3">
      <c r="A244">
        <v>1900</v>
      </c>
      <c r="B244">
        <v>1950</v>
      </c>
      <c r="C244">
        <v>79000</v>
      </c>
    </row>
    <row r="245" spans="1:3" x14ac:dyDescent="0.3">
      <c r="A245">
        <v>1980</v>
      </c>
      <c r="B245">
        <v>1980</v>
      </c>
      <c r="C245">
        <v>120000</v>
      </c>
    </row>
    <row r="246" spans="1:3" x14ac:dyDescent="0.3">
      <c r="A246">
        <v>1994</v>
      </c>
      <c r="B246">
        <v>2002</v>
      </c>
      <c r="C246">
        <v>205000</v>
      </c>
    </row>
    <row r="247" spans="1:3" x14ac:dyDescent="0.3">
      <c r="A247">
        <v>1988</v>
      </c>
      <c r="B247">
        <v>1988</v>
      </c>
      <c r="C247">
        <v>241500</v>
      </c>
    </row>
    <row r="248" spans="1:3" x14ac:dyDescent="0.3">
      <c r="A248">
        <v>1910</v>
      </c>
      <c r="B248">
        <v>1950</v>
      </c>
      <c r="C248">
        <v>137000</v>
      </c>
    </row>
    <row r="249" spans="1:3" x14ac:dyDescent="0.3">
      <c r="A249">
        <v>1954</v>
      </c>
      <c r="B249">
        <v>1954</v>
      </c>
      <c r="C249">
        <v>140000</v>
      </c>
    </row>
    <row r="250" spans="1:3" x14ac:dyDescent="0.3">
      <c r="A250">
        <v>2003</v>
      </c>
      <c r="B250">
        <v>2003</v>
      </c>
      <c r="C250">
        <v>180000</v>
      </c>
    </row>
    <row r="251" spans="1:3" x14ac:dyDescent="0.3">
      <c r="A251">
        <v>1958</v>
      </c>
      <c r="B251">
        <v>2006</v>
      </c>
      <c r="C251">
        <v>277000</v>
      </c>
    </row>
    <row r="252" spans="1:3" x14ac:dyDescent="0.3">
      <c r="A252">
        <v>1940</v>
      </c>
      <c r="B252">
        <v>1966</v>
      </c>
      <c r="C252">
        <v>76500</v>
      </c>
    </row>
    <row r="253" spans="1:3" x14ac:dyDescent="0.3">
      <c r="A253">
        <v>2006</v>
      </c>
      <c r="B253">
        <v>2007</v>
      </c>
      <c r="C253">
        <v>235000</v>
      </c>
    </row>
    <row r="254" spans="1:3" x14ac:dyDescent="0.3">
      <c r="A254">
        <v>2004</v>
      </c>
      <c r="B254">
        <v>2004</v>
      </c>
      <c r="C254">
        <v>173000</v>
      </c>
    </row>
    <row r="255" spans="1:3" x14ac:dyDescent="0.3">
      <c r="A255">
        <v>1964</v>
      </c>
      <c r="B255">
        <v>1991</v>
      </c>
      <c r="C255">
        <v>158000</v>
      </c>
    </row>
    <row r="256" spans="1:3" x14ac:dyDescent="0.3">
      <c r="A256">
        <v>1957</v>
      </c>
      <c r="B256">
        <v>1957</v>
      </c>
      <c r="C256">
        <v>145000</v>
      </c>
    </row>
    <row r="257" spans="1:3" x14ac:dyDescent="0.3">
      <c r="A257">
        <v>1999</v>
      </c>
      <c r="B257">
        <v>1999</v>
      </c>
      <c r="C257">
        <v>230000</v>
      </c>
    </row>
    <row r="258" spans="1:3" x14ac:dyDescent="0.3">
      <c r="A258">
        <v>2003</v>
      </c>
      <c r="B258">
        <v>2003</v>
      </c>
      <c r="C258">
        <v>207500</v>
      </c>
    </row>
    <row r="259" spans="1:3" x14ac:dyDescent="0.3">
      <c r="A259">
        <v>2006</v>
      </c>
      <c r="B259">
        <v>2006</v>
      </c>
      <c r="C259">
        <v>220000</v>
      </c>
    </row>
    <row r="260" spans="1:3" x14ac:dyDescent="0.3">
      <c r="A260">
        <v>2001</v>
      </c>
      <c r="B260">
        <v>2001</v>
      </c>
      <c r="C260">
        <v>231500</v>
      </c>
    </row>
    <row r="261" spans="1:3" x14ac:dyDescent="0.3">
      <c r="A261">
        <v>1956</v>
      </c>
      <c r="B261">
        <v>1956</v>
      </c>
      <c r="C261">
        <v>97000</v>
      </c>
    </row>
    <row r="262" spans="1:3" x14ac:dyDescent="0.3">
      <c r="A262">
        <v>1962</v>
      </c>
      <c r="B262">
        <v>1962</v>
      </c>
      <c r="C262">
        <v>176000</v>
      </c>
    </row>
    <row r="263" spans="1:3" x14ac:dyDescent="0.3">
      <c r="A263">
        <v>2007</v>
      </c>
      <c r="B263">
        <v>2007</v>
      </c>
      <c r="C263">
        <v>276000</v>
      </c>
    </row>
    <row r="264" spans="1:3" x14ac:dyDescent="0.3">
      <c r="A264">
        <v>1977</v>
      </c>
      <c r="B264">
        <v>1995</v>
      </c>
      <c r="C264">
        <v>151000</v>
      </c>
    </row>
    <row r="265" spans="1:3" x14ac:dyDescent="0.3">
      <c r="A265">
        <v>1929</v>
      </c>
      <c r="B265">
        <v>2001</v>
      </c>
      <c r="C265">
        <v>130000</v>
      </c>
    </row>
    <row r="266" spans="1:3" x14ac:dyDescent="0.3">
      <c r="A266">
        <v>1925</v>
      </c>
      <c r="B266">
        <v>2004</v>
      </c>
      <c r="C266">
        <v>73000</v>
      </c>
    </row>
    <row r="267" spans="1:3" x14ac:dyDescent="0.3">
      <c r="A267">
        <v>1981</v>
      </c>
      <c r="B267">
        <v>1981</v>
      </c>
      <c r="C267">
        <v>175500</v>
      </c>
    </row>
    <row r="268" spans="1:3" x14ac:dyDescent="0.3">
      <c r="A268">
        <v>1997</v>
      </c>
      <c r="B268">
        <v>1997</v>
      </c>
      <c r="C268">
        <v>185000</v>
      </c>
    </row>
    <row r="269" spans="1:3" x14ac:dyDescent="0.3">
      <c r="A269">
        <v>1939</v>
      </c>
      <c r="B269">
        <v>1997</v>
      </c>
      <c r="C269">
        <v>179500</v>
      </c>
    </row>
    <row r="270" spans="1:3" x14ac:dyDescent="0.3">
      <c r="A270">
        <v>1940</v>
      </c>
      <c r="B270">
        <v>1955</v>
      </c>
      <c r="C270">
        <v>120500</v>
      </c>
    </row>
    <row r="271" spans="1:3" x14ac:dyDescent="0.3">
      <c r="A271">
        <v>1976</v>
      </c>
      <c r="B271">
        <v>1976</v>
      </c>
      <c r="C271">
        <v>148000</v>
      </c>
    </row>
    <row r="272" spans="1:3" x14ac:dyDescent="0.3">
      <c r="A272">
        <v>2006</v>
      </c>
      <c r="B272">
        <v>2006</v>
      </c>
      <c r="C272">
        <v>266000</v>
      </c>
    </row>
    <row r="273" spans="1:3" x14ac:dyDescent="0.3">
      <c r="A273">
        <v>1954</v>
      </c>
      <c r="B273">
        <v>2005</v>
      </c>
      <c r="C273">
        <v>241500</v>
      </c>
    </row>
    <row r="274" spans="1:3" x14ac:dyDescent="0.3">
      <c r="A274">
        <v>1999</v>
      </c>
      <c r="B274">
        <v>2007</v>
      </c>
      <c r="C274">
        <v>290000</v>
      </c>
    </row>
    <row r="275" spans="1:3" x14ac:dyDescent="0.3">
      <c r="A275">
        <v>1958</v>
      </c>
      <c r="B275">
        <v>1988</v>
      </c>
      <c r="C275">
        <v>139000</v>
      </c>
    </row>
    <row r="276" spans="1:3" x14ac:dyDescent="0.3">
      <c r="A276">
        <v>1982</v>
      </c>
      <c r="B276">
        <v>1982</v>
      </c>
      <c r="C276">
        <v>124500</v>
      </c>
    </row>
    <row r="277" spans="1:3" x14ac:dyDescent="0.3">
      <c r="A277">
        <v>1925</v>
      </c>
      <c r="B277">
        <v>2007</v>
      </c>
      <c r="C277">
        <v>205000</v>
      </c>
    </row>
    <row r="278" spans="1:3" x14ac:dyDescent="0.3">
      <c r="A278">
        <v>2003</v>
      </c>
      <c r="B278">
        <v>2003</v>
      </c>
      <c r="C278">
        <v>201000</v>
      </c>
    </row>
    <row r="279" spans="1:3" x14ac:dyDescent="0.3">
      <c r="A279">
        <v>1951</v>
      </c>
      <c r="B279">
        <v>1951</v>
      </c>
      <c r="C279">
        <v>141000</v>
      </c>
    </row>
    <row r="280" spans="1:3" x14ac:dyDescent="0.3">
      <c r="A280">
        <v>2006</v>
      </c>
      <c r="B280">
        <v>2007</v>
      </c>
      <c r="C280">
        <v>415298</v>
      </c>
    </row>
    <row r="281" spans="1:3" x14ac:dyDescent="0.3">
      <c r="A281">
        <v>1977</v>
      </c>
      <c r="B281">
        <v>1977</v>
      </c>
      <c r="C281">
        <v>192000</v>
      </c>
    </row>
    <row r="282" spans="1:3" x14ac:dyDescent="0.3">
      <c r="A282">
        <v>1989</v>
      </c>
      <c r="B282">
        <v>1989</v>
      </c>
      <c r="C282">
        <v>228500</v>
      </c>
    </row>
    <row r="283" spans="1:3" x14ac:dyDescent="0.3">
      <c r="A283">
        <v>2006</v>
      </c>
      <c r="B283">
        <v>2006</v>
      </c>
      <c r="C283">
        <v>185000</v>
      </c>
    </row>
    <row r="284" spans="1:3" x14ac:dyDescent="0.3">
      <c r="A284">
        <v>2007</v>
      </c>
      <c r="B284">
        <v>2008</v>
      </c>
      <c r="C284">
        <v>207500</v>
      </c>
    </row>
    <row r="285" spans="1:3" x14ac:dyDescent="0.3">
      <c r="A285">
        <v>2008</v>
      </c>
      <c r="B285">
        <v>2009</v>
      </c>
      <c r="C285">
        <v>244600</v>
      </c>
    </row>
    <row r="286" spans="1:3" x14ac:dyDescent="0.3">
      <c r="A286">
        <v>1992</v>
      </c>
      <c r="B286">
        <v>1992</v>
      </c>
      <c r="C286">
        <v>179200</v>
      </c>
    </row>
    <row r="287" spans="1:3" x14ac:dyDescent="0.3">
      <c r="A287">
        <v>2006</v>
      </c>
      <c r="B287">
        <v>2007</v>
      </c>
      <c r="C287">
        <v>164700</v>
      </c>
    </row>
    <row r="288" spans="1:3" x14ac:dyDescent="0.3">
      <c r="A288">
        <v>1962</v>
      </c>
      <c r="B288">
        <v>1981</v>
      </c>
      <c r="C288">
        <v>159000</v>
      </c>
    </row>
    <row r="289" spans="1:3" x14ac:dyDescent="0.3">
      <c r="A289">
        <v>1971</v>
      </c>
      <c r="B289">
        <v>1971</v>
      </c>
      <c r="C289">
        <v>88000</v>
      </c>
    </row>
    <row r="290" spans="1:3" x14ac:dyDescent="0.3">
      <c r="A290">
        <v>1967</v>
      </c>
      <c r="B290">
        <v>1967</v>
      </c>
      <c r="C290">
        <v>122000</v>
      </c>
    </row>
    <row r="291" spans="1:3" x14ac:dyDescent="0.3">
      <c r="A291">
        <v>1915</v>
      </c>
      <c r="B291">
        <v>2003</v>
      </c>
      <c r="C291">
        <v>153575</v>
      </c>
    </row>
    <row r="292" spans="1:3" x14ac:dyDescent="0.3">
      <c r="A292">
        <v>2006</v>
      </c>
      <c r="B292">
        <v>2006</v>
      </c>
      <c r="C292">
        <v>233230</v>
      </c>
    </row>
    <row r="293" spans="1:3" x14ac:dyDescent="0.3">
      <c r="A293">
        <v>1912</v>
      </c>
      <c r="B293">
        <v>2000</v>
      </c>
      <c r="C293">
        <v>135900</v>
      </c>
    </row>
    <row r="294" spans="1:3" x14ac:dyDescent="0.3">
      <c r="A294">
        <v>1949</v>
      </c>
      <c r="B294">
        <v>2008</v>
      </c>
      <c r="C294">
        <v>131000</v>
      </c>
    </row>
    <row r="295" spans="1:3" x14ac:dyDescent="0.3">
      <c r="A295">
        <v>1977</v>
      </c>
      <c r="B295">
        <v>1994</v>
      </c>
      <c r="C295">
        <v>235000</v>
      </c>
    </row>
    <row r="296" spans="1:3" x14ac:dyDescent="0.3">
      <c r="A296">
        <v>1953</v>
      </c>
      <c r="B296">
        <v>1953</v>
      </c>
      <c r="C296">
        <v>167000</v>
      </c>
    </row>
    <row r="297" spans="1:3" x14ac:dyDescent="0.3">
      <c r="A297">
        <v>1984</v>
      </c>
      <c r="B297">
        <v>1984</v>
      </c>
      <c r="C297">
        <v>142500</v>
      </c>
    </row>
    <row r="298" spans="1:3" x14ac:dyDescent="0.3">
      <c r="A298">
        <v>1950</v>
      </c>
      <c r="B298">
        <v>1950</v>
      </c>
      <c r="C298">
        <v>152000</v>
      </c>
    </row>
    <row r="299" spans="1:3" x14ac:dyDescent="0.3">
      <c r="A299">
        <v>1997</v>
      </c>
      <c r="B299">
        <v>1998</v>
      </c>
      <c r="C299">
        <v>239000</v>
      </c>
    </row>
    <row r="300" spans="1:3" x14ac:dyDescent="0.3">
      <c r="A300">
        <v>1968</v>
      </c>
      <c r="B300">
        <v>1968</v>
      </c>
      <c r="C300">
        <v>175000</v>
      </c>
    </row>
    <row r="301" spans="1:3" x14ac:dyDescent="0.3">
      <c r="A301">
        <v>1950</v>
      </c>
      <c r="B301">
        <v>2004</v>
      </c>
      <c r="C301">
        <v>158500</v>
      </c>
    </row>
    <row r="302" spans="1:3" x14ac:dyDescent="0.3">
      <c r="A302">
        <v>1953</v>
      </c>
      <c r="B302">
        <v>1953</v>
      </c>
      <c r="C302">
        <v>157000</v>
      </c>
    </row>
    <row r="303" spans="1:3" x14ac:dyDescent="0.3">
      <c r="A303">
        <v>1998</v>
      </c>
      <c r="B303">
        <v>1999</v>
      </c>
      <c r="C303">
        <v>267000</v>
      </c>
    </row>
    <row r="304" spans="1:3" x14ac:dyDescent="0.3">
      <c r="A304">
        <v>2001</v>
      </c>
      <c r="B304">
        <v>2002</v>
      </c>
      <c r="C304">
        <v>205000</v>
      </c>
    </row>
    <row r="305" spans="1:3" x14ac:dyDescent="0.3">
      <c r="A305">
        <v>1972</v>
      </c>
      <c r="B305">
        <v>1972</v>
      </c>
      <c r="C305">
        <v>149900</v>
      </c>
    </row>
    <row r="306" spans="1:3" x14ac:dyDescent="0.3">
      <c r="A306">
        <v>1880</v>
      </c>
      <c r="B306">
        <v>2002</v>
      </c>
      <c r="C306">
        <v>295000</v>
      </c>
    </row>
    <row r="307" spans="1:3" x14ac:dyDescent="0.3">
      <c r="A307">
        <v>2004</v>
      </c>
      <c r="B307">
        <v>2005</v>
      </c>
      <c r="C307">
        <v>305900</v>
      </c>
    </row>
    <row r="308" spans="1:3" x14ac:dyDescent="0.3">
      <c r="A308">
        <v>1990</v>
      </c>
      <c r="B308">
        <v>1991</v>
      </c>
      <c r="C308">
        <v>225000</v>
      </c>
    </row>
    <row r="309" spans="1:3" x14ac:dyDescent="0.3">
      <c r="A309">
        <v>1920</v>
      </c>
      <c r="B309">
        <v>1950</v>
      </c>
      <c r="C309">
        <v>89500</v>
      </c>
    </row>
    <row r="310" spans="1:3" x14ac:dyDescent="0.3">
      <c r="A310">
        <v>1940</v>
      </c>
      <c r="B310">
        <v>1950</v>
      </c>
      <c r="C310">
        <v>82500</v>
      </c>
    </row>
    <row r="311" spans="1:3" x14ac:dyDescent="0.3">
      <c r="A311">
        <v>2003</v>
      </c>
      <c r="B311">
        <v>2004</v>
      </c>
      <c r="C311">
        <v>360000</v>
      </c>
    </row>
    <row r="312" spans="1:3" x14ac:dyDescent="0.3">
      <c r="A312">
        <v>1993</v>
      </c>
      <c r="B312">
        <v>1994</v>
      </c>
      <c r="C312">
        <v>165600</v>
      </c>
    </row>
    <row r="313" spans="1:3" x14ac:dyDescent="0.3">
      <c r="A313">
        <v>1948</v>
      </c>
      <c r="B313">
        <v>2002</v>
      </c>
      <c r="C313">
        <v>132000</v>
      </c>
    </row>
    <row r="314" spans="1:3" x14ac:dyDescent="0.3">
      <c r="A314">
        <v>1939</v>
      </c>
      <c r="B314">
        <v>1950</v>
      </c>
      <c r="C314">
        <v>119900</v>
      </c>
    </row>
    <row r="315" spans="1:3" x14ac:dyDescent="0.3">
      <c r="A315">
        <v>1965</v>
      </c>
      <c r="B315">
        <v>1965</v>
      </c>
      <c r="C315">
        <v>375000</v>
      </c>
    </row>
    <row r="316" spans="1:3" x14ac:dyDescent="0.3">
      <c r="A316">
        <v>1925</v>
      </c>
      <c r="B316">
        <v>1990</v>
      </c>
      <c r="C316">
        <v>178000</v>
      </c>
    </row>
    <row r="317" spans="1:3" x14ac:dyDescent="0.3">
      <c r="A317">
        <v>2004</v>
      </c>
      <c r="B317">
        <v>2005</v>
      </c>
      <c r="C317">
        <v>188500</v>
      </c>
    </row>
    <row r="318" spans="1:3" x14ac:dyDescent="0.3">
      <c r="A318">
        <v>1980</v>
      </c>
      <c r="B318">
        <v>1980</v>
      </c>
      <c r="C318">
        <v>260000</v>
      </c>
    </row>
    <row r="319" spans="1:3" x14ac:dyDescent="0.3">
      <c r="A319">
        <v>2006</v>
      </c>
      <c r="B319">
        <v>2006</v>
      </c>
      <c r="C319">
        <v>270000</v>
      </c>
    </row>
    <row r="320" spans="1:3" x14ac:dyDescent="0.3">
      <c r="A320">
        <v>1993</v>
      </c>
      <c r="B320">
        <v>1993</v>
      </c>
      <c r="C320">
        <v>260000</v>
      </c>
    </row>
    <row r="321" spans="1:3" x14ac:dyDescent="0.3">
      <c r="A321">
        <v>1980</v>
      </c>
      <c r="B321">
        <v>1980</v>
      </c>
      <c r="C321">
        <v>187500</v>
      </c>
    </row>
    <row r="322" spans="1:3" x14ac:dyDescent="0.3">
      <c r="A322">
        <v>2006</v>
      </c>
      <c r="B322">
        <v>2006</v>
      </c>
      <c r="C322">
        <v>342643</v>
      </c>
    </row>
    <row r="323" spans="1:3" x14ac:dyDescent="0.3">
      <c r="A323">
        <v>2004</v>
      </c>
      <c r="B323">
        <v>2004</v>
      </c>
      <c r="C323">
        <v>354000</v>
      </c>
    </row>
    <row r="324" spans="1:3" x14ac:dyDescent="0.3">
      <c r="A324">
        <v>1986</v>
      </c>
      <c r="B324">
        <v>1987</v>
      </c>
      <c r="C324">
        <v>301000</v>
      </c>
    </row>
    <row r="325" spans="1:3" x14ac:dyDescent="0.3">
      <c r="A325">
        <v>1955</v>
      </c>
      <c r="B325">
        <v>2005</v>
      </c>
      <c r="C325">
        <v>126175</v>
      </c>
    </row>
    <row r="326" spans="1:3" x14ac:dyDescent="0.3">
      <c r="A326">
        <v>1967</v>
      </c>
      <c r="B326">
        <v>2007</v>
      </c>
      <c r="C326">
        <v>242000</v>
      </c>
    </row>
    <row r="327" spans="1:3" x14ac:dyDescent="0.3">
      <c r="A327">
        <v>1941</v>
      </c>
      <c r="B327">
        <v>1950</v>
      </c>
      <c r="C327">
        <v>87000</v>
      </c>
    </row>
    <row r="328" spans="1:3" x14ac:dyDescent="0.3">
      <c r="A328">
        <v>1993</v>
      </c>
      <c r="B328">
        <v>1993</v>
      </c>
      <c r="C328">
        <v>324000</v>
      </c>
    </row>
    <row r="329" spans="1:3" x14ac:dyDescent="0.3">
      <c r="A329">
        <v>1960</v>
      </c>
      <c r="B329">
        <v>1960</v>
      </c>
      <c r="C329">
        <v>145250</v>
      </c>
    </row>
    <row r="330" spans="1:3" x14ac:dyDescent="0.3">
      <c r="A330">
        <v>1916</v>
      </c>
      <c r="B330">
        <v>1994</v>
      </c>
      <c r="C330">
        <v>214500</v>
      </c>
    </row>
    <row r="331" spans="1:3" x14ac:dyDescent="0.3">
      <c r="A331">
        <v>1920</v>
      </c>
      <c r="B331">
        <v>1950</v>
      </c>
      <c r="C331">
        <v>78000</v>
      </c>
    </row>
    <row r="332" spans="1:3" x14ac:dyDescent="0.3">
      <c r="A332">
        <v>1964</v>
      </c>
      <c r="B332">
        <v>1964</v>
      </c>
      <c r="C332">
        <v>119000</v>
      </c>
    </row>
    <row r="333" spans="1:3" x14ac:dyDescent="0.3">
      <c r="A333">
        <v>1958</v>
      </c>
      <c r="B333">
        <v>1992</v>
      </c>
      <c r="C333">
        <v>139000</v>
      </c>
    </row>
    <row r="334" spans="1:3" x14ac:dyDescent="0.3">
      <c r="A334">
        <v>2003</v>
      </c>
      <c r="B334">
        <v>2004</v>
      </c>
      <c r="C334">
        <v>284000</v>
      </c>
    </row>
    <row r="335" spans="1:3" x14ac:dyDescent="0.3">
      <c r="A335">
        <v>2004</v>
      </c>
      <c r="B335">
        <v>2004</v>
      </c>
      <c r="C335">
        <v>207000</v>
      </c>
    </row>
    <row r="336" spans="1:3" x14ac:dyDescent="0.3">
      <c r="A336">
        <v>1998</v>
      </c>
      <c r="B336">
        <v>1998</v>
      </c>
      <c r="C336">
        <v>192000</v>
      </c>
    </row>
    <row r="337" spans="1:3" x14ac:dyDescent="0.3">
      <c r="A337">
        <v>1965</v>
      </c>
      <c r="B337">
        <v>1965</v>
      </c>
      <c r="C337">
        <v>228950</v>
      </c>
    </row>
    <row r="338" spans="1:3" x14ac:dyDescent="0.3">
      <c r="A338">
        <v>2005</v>
      </c>
      <c r="B338">
        <v>2006</v>
      </c>
      <c r="C338">
        <v>377426</v>
      </c>
    </row>
    <row r="339" spans="1:3" x14ac:dyDescent="0.3">
      <c r="A339">
        <v>2002</v>
      </c>
      <c r="B339">
        <v>2003</v>
      </c>
      <c r="C339">
        <v>214000</v>
      </c>
    </row>
    <row r="340" spans="1:3" x14ac:dyDescent="0.3">
      <c r="A340">
        <v>1984</v>
      </c>
      <c r="B340">
        <v>1998</v>
      </c>
      <c r="C340">
        <v>202500</v>
      </c>
    </row>
    <row r="341" spans="1:3" x14ac:dyDescent="0.3">
      <c r="A341">
        <v>1958</v>
      </c>
      <c r="B341">
        <v>1998</v>
      </c>
      <c r="C341">
        <v>155000</v>
      </c>
    </row>
    <row r="342" spans="1:3" x14ac:dyDescent="0.3">
      <c r="A342">
        <v>2002</v>
      </c>
      <c r="B342">
        <v>2002</v>
      </c>
      <c r="C342">
        <v>202900</v>
      </c>
    </row>
    <row r="343" spans="1:3" x14ac:dyDescent="0.3">
      <c r="A343">
        <v>1950</v>
      </c>
      <c r="B343">
        <v>1950</v>
      </c>
      <c r="C343">
        <v>82000</v>
      </c>
    </row>
    <row r="344" spans="1:3" x14ac:dyDescent="0.3">
      <c r="A344">
        <v>1949</v>
      </c>
      <c r="B344">
        <v>1950</v>
      </c>
      <c r="C344">
        <v>87500</v>
      </c>
    </row>
    <row r="345" spans="1:3" x14ac:dyDescent="0.3">
      <c r="A345">
        <v>2005</v>
      </c>
      <c r="B345">
        <v>2005</v>
      </c>
      <c r="C345">
        <v>266000</v>
      </c>
    </row>
    <row r="346" spans="1:3" x14ac:dyDescent="0.3">
      <c r="A346">
        <v>1976</v>
      </c>
      <c r="B346">
        <v>1976</v>
      </c>
      <c r="C346">
        <v>85000</v>
      </c>
    </row>
    <row r="347" spans="1:3" x14ac:dyDescent="0.3">
      <c r="A347">
        <v>1939</v>
      </c>
      <c r="B347">
        <v>1950</v>
      </c>
      <c r="C347">
        <v>140200</v>
      </c>
    </row>
    <row r="348" spans="1:3" x14ac:dyDescent="0.3">
      <c r="A348">
        <v>1960</v>
      </c>
      <c r="B348">
        <v>1998</v>
      </c>
      <c r="C348">
        <v>151500</v>
      </c>
    </row>
    <row r="349" spans="1:3" x14ac:dyDescent="0.3">
      <c r="A349">
        <v>1960</v>
      </c>
      <c r="B349">
        <v>1960</v>
      </c>
      <c r="C349">
        <v>157500</v>
      </c>
    </row>
    <row r="350" spans="1:3" x14ac:dyDescent="0.3">
      <c r="A350">
        <v>2003</v>
      </c>
      <c r="B350">
        <v>2004</v>
      </c>
      <c r="C350">
        <v>154000</v>
      </c>
    </row>
    <row r="351" spans="1:3" x14ac:dyDescent="0.3">
      <c r="A351">
        <v>2005</v>
      </c>
      <c r="B351">
        <v>2006</v>
      </c>
      <c r="C351">
        <v>437154</v>
      </c>
    </row>
    <row r="352" spans="1:3" x14ac:dyDescent="0.3">
      <c r="A352">
        <v>2007</v>
      </c>
      <c r="B352">
        <v>2007</v>
      </c>
      <c r="C352">
        <v>318061</v>
      </c>
    </row>
    <row r="353" spans="1:3" x14ac:dyDescent="0.3">
      <c r="A353">
        <v>1986</v>
      </c>
      <c r="B353">
        <v>1986</v>
      </c>
      <c r="C353">
        <v>190000</v>
      </c>
    </row>
    <row r="354" spans="1:3" x14ac:dyDescent="0.3">
      <c r="A354">
        <v>1941</v>
      </c>
      <c r="B354">
        <v>1950</v>
      </c>
      <c r="C354">
        <v>95000</v>
      </c>
    </row>
    <row r="355" spans="1:3" x14ac:dyDescent="0.3">
      <c r="A355">
        <v>1928</v>
      </c>
      <c r="B355">
        <v>2003</v>
      </c>
      <c r="C355">
        <v>105900</v>
      </c>
    </row>
    <row r="356" spans="1:3" x14ac:dyDescent="0.3">
      <c r="A356">
        <v>1940</v>
      </c>
      <c r="B356">
        <v>2000</v>
      </c>
      <c r="C356">
        <v>140000</v>
      </c>
    </row>
    <row r="357" spans="1:3" x14ac:dyDescent="0.3">
      <c r="A357">
        <v>1995</v>
      </c>
      <c r="B357">
        <v>1995</v>
      </c>
      <c r="C357">
        <v>177500</v>
      </c>
    </row>
    <row r="358" spans="1:3" x14ac:dyDescent="0.3">
      <c r="A358">
        <v>1992</v>
      </c>
      <c r="B358">
        <v>1992</v>
      </c>
      <c r="C358">
        <v>173000</v>
      </c>
    </row>
    <row r="359" spans="1:3" x14ac:dyDescent="0.3">
      <c r="A359">
        <v>1976</v>
      </c>
      <c r="B359">
        <v>1976</v>
      </c>
      <c r="C359">
        <v>134000</v>
      </c>
    </row>
    <row r="360" spans="1:3" x14ac:dyDescent="0.3">
      <c r="A360">
        <v>1958</v>
      </c>
      <c r="B360">
        <v>1958</v>
      </c>
      <c r="C360">
        <v>130000</v>
      </c>
    </row>
    <row r="361" spans="1:3" x14ac:dyDescent="0.3">
      <c r="A361">
        <v>1998</v>
      </c>
      <c r="B361">
        <v>1998</v>
      </c>
      <c r="C361">
        <v>280000</v>
      </c>
    </row>
    <row r="362" spans="1:3" x14ac:dyDescent="0.3">
      <c r="A362">
        <v>1978</v>
      </c>
      <c r="B362">
        <v>1978</v>
      </c>
      <c r="C362">
        <v>156000</v>
      </c>
    </row>
    <row r="363" spans="1:3" x14ac:dyDescent="0.3">
      <c r="A363">
        <v>1940</v>
      </c>
      <c r="B363">
        <v>1982</v>
      </c>
      <c r="C363">
        <v>145000</v>
      </c>
    </row>
    <row r="364" spans="1:3" x14ac:dyDescent="0.3">
      <c r="A364">
        <v>2003</v>
      </c>
      <c r="B364">
        <v>2003</v>
      </c>
      <c r="C364">
        <v>198500</v>
      </c>
    </row>
    <row r="365" spans="1:3" x14ac:dyDescent="0.3">
      <c r="A365">
        <v>1972</v>
      </c>
      <c r="B365">
        <v>2007</v>
      </c>
      <c r="C365">
        <v>118000</v>
      </c>
    </row>
    <row r="366" spans="1:3" x14ac:dyDescent="0.3">
      <c r="A366">
        <v>1976</v>
      </c>
      <c r="B366">
        <v>1976</v>
      </c>
      <c r="C366">
        <v>190000</v>
      </c>
    </row>
    <row r="367" spans="1:3" x14ac:dyDescent="0.3">
      <c r="A367">
        <v>1920</v>
      </c>
      <c r="B367">
        <v>1997</v>
      </c>
      <c r="C367">
        <v>147000</v>
      </c>
    </row>
    <row r="368" spans="1:3" x14ac:dyDescent="0.3">
      <c r="A368">
        <v>1963</v>
      </c>
      <c r="B368">
        <v>1963</v>
      </c>
      <c r="C368">
        <v>159000</v>
      </c>
    </row>
    <row r="369" spans="1:3" x14ac:dyDescent="0.3">
      <c r="A369">
        <v>1962</v>
      </c>
      <c r="B369">
        <v>1962</v>
      </c>
      <c r="C369">
        <v>165000</v>
      </c>
    </row>
    <row r="370" spans="1:3" x14ac:dyDescent="0.3">
      <c r="A370">
        <v>1954</v>
      </c>
      <c r="B370">
        <v>1954</v>
      </c>
      <c r="C370">
        <v>132000</v>
      </c>
    </row>
    <row r="371" spans="1:3" x14ac:dyDescent="0.3">
      <c r="A371">
        <v>1959</v>
      </c>
      <c r="B371">
        <v>2006</v>
      </c>
      <c r="C371">
        <v>162000</v>
      </c>
    </row>
    <row r="372" spans="1:3" x14ac:dyDescent="0.3">
      <c r="A372">
        <v>2000</v>
      </c>
      <c r="B372">
        <v>2000</v>
      </c>
      <c r="C372">
        <v>172400</v>
      </c>
    </row>
    <row r="373" spans="1:3" x14ac:dyDescent="0.3">
      <c r="A373">
        <v>1959</v>
      </c>
      <c r="B373">
        <v>1959</v>
      </c>
      <c r="C373">
        <v>134432</v>
      </c>
    </row>
    <row r="374" spans="1:3" x14ac:dyDescent="0.3">
      <c r="A374">
        <v>1984</v>
      </c>
      <c r="B374">
        <v>1984</v>
      </c>
      <c r="C374">
        <v>125000</v>
      </c>
    </row>
    <row r="375" spans="1:3" x14ac:dyDescent="0.3">
      <c r="A375">
        <v>1953</v>
      </c>
      <c r="B375">
        <v>1953</v>
      </c>
      <c r="C375">
        <v>123000</v>
      </c>
    </row>
    <row r="376" spans="1:3" x14ac:dyDescent="0.3">
      <c r="A376">
        <v>2003</v>
      </c>
      <c r="B376">
        <v>2004</v>
      </c>
      <c r="C376">
        <v>219500</v>
      </c>
    </row>
    <row r="377" spans="1:3" x14ac:dyDescent="0.3">
      <c r="A377">
        <v>1922</v>
      </c>
      <c r="B377">
        <v>1950</v>
      </c>
      <c r="C377">
        <v>61000</v>
      </c>
    </row>
    <row r="378" spans="1:3" x14ac:dyDescent="0.3">
      <c r="A378">
        <v>1996</v>
      </c>
      <c r="B378">
        <v>1996</v>
      </c>
      <c r="C378">
        <v>148000</v>
      </c>
    </row>
    <row r="379" spans="1:3" x14ac:dyDescent="0.3">
      <c r="A379">
        <v>2004</v>
      </c>
      <c r="B379">
        <v>2005</v>
      </c>
      <c r="C379">
        <v>340000</v>
      </c>
    </row>
    <row r="380" spans="1:3" x14ac:dyDescent="0.3">
      <c r="A380">
        <v>2010</v>
      </c>
      <c r="B380">
        <v>2010</v>
      </c>
      <c r="C380">
        <v>394432</v>
      </c>
    </row>
    <row r="381" spans="1:3" x14ac:dyDescent="0.3">
      <c r="A381">
        <v>2000</v>
      </c>
      <c r="B381">
        <v>2000</v>
      </c>
      <c r="C381">
        <v>179000</v>
      </c>
    </row>
    <row r="382" spans="1:3" x14ac:dyDescent="0.3">
      <c r="A382">
        <v>1924</v>
      </c>
      <c r="B382">
        <v>1950</v>
      </c>
      <c r="C382">
        <v>127000</v>
      </c>
    </row>
    <row r="383" spans="1:3" x14ac:dyDescent="0.3">
      <c r="A383">
        <v>2006</v>
      </c>
      <c r="B383">
        <v>2006</v>
      </c>
      <c r="C383">
        <v>187750</v>
      </c>
    </row>
    <row r="384" spans="1:3" x14ac:dyDescent="0.3">
      <c r="A384">
        <v>2006</v>
      </c>
      <c r="B384">
        <v>2006</v>
      </c>
      <c r="C384">
        <v>213500</v>
      </c>
    </row>
    <row r="385" spans="1:3" x14ac:dyDescent="0.3">
      <c r="A385">
        <v>1928</v>
      </c>
      <c r="B385">
        <v>1950</v>
      </c>
      <c r="C385">
        <v>76000</v>
      </c>
    </row>
    <row r="386" spans="1:3" x14ac:dyDescent="0.3">
      <c r="A386">
        <v>1992</v>
      </c>
      <c r="B386">
        <v>1992</v>
      </c>
      <c r="C386">
        <v>240000</v>
      </c>
    </row>
    <row r="387" spans="1:3" x14ac:dyDescent="0.3">
      <c r="A387">
        <v>2004</v>
      </c>
      <c r="B387">
        <v>2005</v>
      </c>
      <c r="C387">
        <v>192000</v>
      </c>
    </row>
    <row r="388" spans="1:3" x14ac:dyDescent="0.3">
      <c r="A388">
        <v>1910</v>
      </c>
      <c r="B388">
        <v>1996</v>
      </c>
      <c r="C388">
        <v>81000</v>
      </c>
    </row>
    <row r="389" spans="1:3" x14ac:dyDescent="0.3">
      <c r="A389">
        <v>1976</v>
      </c>
      <c r="B389">
        <v>1976</v>
      </c>
      <c r="C389">
        <v>125000</v>
      </c>
    </row>
    <row r="390" spans="1:3" x14ac:dyDescent="0.3">
      <c r="A390">
        <v>1999</v>
      </c>
      <c r="B390">
        <v>2000</v>
      </c>
      <c r="C390">
        <v>191000</v>
      </c>
    </row>
    <row r="391" spans="1:3" x14ac:dyDescent="0.3">
      <c r="A391">
        <v>2007</v>
      </c>
      <c r="B391">
        <v>2008</v>
      </c>
      <c r="C391">
        <v>426000</v>
      </c>
    </row>
    <row r="392" spans="1:3" x14ac:dyDescent="0.3">
      <c r="A392">
        <v>1900</v>
      </c>
      <c r="B392">
        <v>1950</v>
      </c>
      <c r="C392">
        <v>119000</v>
      </c>
    </row>
    <row r="393" spans="1:3" x14ac:dyDescent="0.3">
      <c r="A393">
        <v>2001</v>
      </c>
      <c r="B393">
        <v>2002</v>
      </c>
      <c r="C393">
        <v>215000</v>
      </c>
    </row>
    <row r="394" spans="1:3" x14ac:dyDescent="0.3">
      <c r="A394">
        <v>1959</v>
      </c>
      <c r="B394">
        <v>1959</v>
      </c>
      <c r="C394">
        <v>106500</v>
      </c>
    </row>
    <row r="395" spans="1:3" x14ac:dyDescent="0.3">
      <c r="A395">
        <v>1941</v>
      </c>
      <c r="B395">
        <v>1950</v>
      </c>
      <c r="C395">
        <v>100000</v>
      </c>
    </row>
    <row r="396" spans="1:3" x14ac:dyDescent="0.3">
      <c r="A396">
        <v>1940</v>
      </c>
      <c r="B396">
        <v>1950</v>
      </c>
      <c r="C396">
        <v>109000</v>
      </c>
    </row>
    <row r="397" spans="1:3" x14ac:dyDescent="0.3">
      <c r="A397">
        <v>1956</v>
      </c>
      <c r="B397">
        <v>1956</v>
      </c>
      <c r="C397">
        <v>129000</v>
      </c>
    </row>
    <row r="398" spans="1:3" x14ac:dyDescent="0.3">
      <c r="A398">
        <v>1972</v>
      </c>
      <c r="B398">
        <v>1972</v>
      </c>
      <c r="C398">
        <v>123000</v>
      </c>
    </row>
    <row r="399" spans="1:3" x14ac:dyDescent="0.3">
      <c r="A399">
        <v>1962</v>
      </c>
      <c r="B399">
        <v>1962</v>
      </c>
      <c r="C399">
        <v>169500</v>
      </c>
    </row>
    <row r="400" spans="1:3" x14ac:dyDescent="0.3">
      <c r="A400">
        <v>1920</v>
      </c>
      <c r="B400">
        <v>1950</v>
      </c>
      <c r="C400">
        <v>67000</v>
      </c>
    </row>
    <row r="401" spans="1:3" x14ac:dyDescent="0.3">
      <c r="A401">
        <v>2006</v>
      </c>
      <c r="B401">
        <v>2007</v>
      </c>
      <c r="C401">
        <v>241000</v>
      </c>
    </row>
    <row r="402" spans="1:3" x14ac:dyDescent="0.3">
      <c r="A402">
        <v>1996</v>
      </c>
      <c r="B402">
        <v>1996</v>
      </c>
      <c r="C402">
        <v>245500</v>
      </c>
    </row>
    <row r="403" spans="1:3" x14ac:dyDescent="0.3">
      <c r="A403">
        <v>2005</v>
      </c>
      <c r="B403">
        <v>2005</v>
      </c>
      <c r="C403">
        <v>164990</v>
      </c>
    </row>
    <row r="404" spans="1:3" x14ac:dyDescent="0.3">
      <c r="A404">
        <v>1940</v>
      </c>
      <c r="B404">
        <v>1997</v>
      </c>
      <c r="C404">
        <v>108000</v>
      </c>
    </row>
    <row r="405" spans="1:3" x14ac:dyDescent="0.3">
      <c r="A405">
        <v>1998</v>
      </c>
      <c r="B405">
        <v>1998</v>
      </c>
      <c r="C405">
        <v>258000</v>
      </c>
    </row>
    <row r="406" spans="1:3" x14ac:dyDescent="0.3">
      <c r="A406">
        <v>1995</v>
      </c>
      <c r="B406">
        <v>1996</v>
      </c>
      <c r="C406">
        <v>168000</v>
      </c>
    </row>
    <row r="407" spans="1:3" x14ac:dyDescent="0.3">
      <c r="A407">
        <v>1976</v>
      </c>
      <c r="B407">
        <v>1993</v>
      </c>
      <c r="C407">
        <v>150000</v>
      </c>
    </row>
    <row r="408" spans="1:3" x14ac:dyDescent="0.3">
      <c r="A408">
        <v>1936</v>
      </c>
      <c r="B408">
        <v>1950</v>
      </c>
      <c r="C408">
        <v>115000</v>
      </c>
    </row>
    <row r="409" spans="1:3" x14ac:dyDescent="0.3">
      <c r="A409">
        <v>1915</v>
      </c>
      <c r="B409">
        <v>1976</v>
      </c>
      <c r="C409">
        <v>177000</v>
      </c>
    </row>
    <row r="410" spans="1:3" x14ac:dyDescent="0.3">
      <c r="A410">
        <v>2006</v>
      </c>
      <c r="B410">
        <v>2006</v>
      </c>
      <c r="C410">
        <v>280000</v>
      </c>
    </row>
    <row r="411" spans="1:3" x14ac:dyDescent="0.3">
      <c r="A411">
        <v>2007</v>
      </c>
      <c r="B411">
        <v>2008</v>
      </c>
      <c r="C411">
        <v>339750</v>
      </c>
    </row>
    <row r="412" spans="1:3" x14ac:dyDescent="0.3">
      <c r="A412">
        <v>1958</v>
      </c>
      <c r="B412">
        <v>1958</v>
      </c>
      <c r="C412">
        <v>60000</v>
      </c>
    </row>
    <row r="413" spans="1:3" x14ac:dyDescent="0.3">
      <c r="A413">
        <v>1955</v>
      </c>
      <c r="B413">
        <v>1955</v>
      </c>
      <c r="C413">
        <v>145000</v>
      </c>
    </row>
    <row r="414" spans="1:3" x14ac:dyDescent="0.3">
      <c r="A414">
        <v>2009</v>
      </c>
      <c r="B414">
        <v>2009</v>
      </c>
      <c r="C414">
        <v>222000</v>
      </c>
    </row>
    <row r="415" spans="1:3" x14ac:dyDescent="0.3">
      <c r="A415">
        <v>1927</v>
      </c>
      <c r="B415">
        <v>1950</v>
      </c>
      <c r="C415">
        <v>115000</v>
      </c>
    </row>
    <row r="416" spans="1:3" x14ac:dyDescent="0.3">
      <c r="A416">
        <v>1993</v>
      </c>
      <c r="B416">
        <v>1993</v>
      </c>
      <c r="C416">
        <v>228000</v>
      </c>
    </row>
    <row r="417" spans="1:3" x14ac:dyDescent="0.3">
      <c r="A417">
        <v>2007</v>
      </c>
      <c r="B417">
        <v>2007</v>
      </c>
      <c r="C417">
        <v>181134</v>
      </c>
    </row>
    <row r="418" spans="1:3" x14ac:dyDescent="0.3">
      <c r="A418">
        <v>1978</v>
      </c>
      <c r="B418">
        <v>1978</v>
      </c>
      <c r="C418">
        <v>149500</v>
      </c>
    </row>
    <row r="419" spans="1:3" x14ac:dyDescent="0.3">
      <c r="A419">
        <v>1918</v>
      </c>
      <c r="B419">
        <v>1950</v>
      </c>
      <c r="C419">
        <v>239000</v>
      </c>
    </row>
    <row r="420" spans="1:3" x14ac:dyDescent="0.3">
      <c r="A420">
        <v>1940</v>
      </c>
      <c r="B420">
        <v>1950</v>
      </c>
      <c r="C420">
        <v>126000</v>
      </c>
    </row>
    <row r="421" spans="1:3" x14ac:dyDescent="0.3">
      <c r="A421">
        <v>1968</v>
      </c>
      <c r="B421">
        <v>1968</v>
      </c>
      <c r="C421">
        <v>142000</v>
      </c>
    </row>
    <row r="422" spans="1:3" x14ac:dyDescent="0.3">
      <c r="A422">
        <v>1997</v>
      </c>
      <c r="B422">
        <v>1998</v>
      </c>
      <c r="C422">
        <v>206300</v>
      </c>
    </row>
    <row r="423" spans="1:3" x14ac:dyDescent="0.3">
      <c r="A423">
        <v>1977</v>
      </c>
      <c r="B423">
        <v>2000</v>
      </c>
      <c r="C423">
        <v>215000</v>
      </c>
    </row>
    <row r="424" spans="1:3" x14ac:dyDescent="0.3">
      <c r="A424">
        <v>1954</v>
      </c>
      <c r="B424">
        <v>1954</v>
      </c>
      <c r="C424">
        <v>113000</v>
      </c>
    </row>
    <row r="425" spans="1:3" x14ac:dyDescent="0.3">
      <c r="A425">
        <v>1998</v>
      </c>
      <c r="B425">
        <v>1998</v>
      </c>
      <c r="C425">
        <v>315000</v>
      </c>
    </row>
    <row r="426" spans="1:3" x14ac:dyDescent="0.3">
      <c r="A426">
        <v>1956</v>
      </c>
      <c r="B426">
        <v>1956</v>
      </c>
      <c r="C426">
        <v>139000</v>
      </c>
    </row>
    <row r="427" spans="1:3" x14ac:dyDescent="0.3">
      <c r="A427">
        <v>1946</v>
      </c>
      <c r="B427">
        <v>1992</v>
      </c>
      <c r="C427">
        <v>135000</v>
      </c>
    </row>
    <row r="428" spans="1:3" x14ac:dyDescent="0.3">
      <c r="A428">
        <v>1989</v>
      </c>
      <c r="B428">
        <v>1989</v>
      </c>
      <c r="C428">
        <v>275000</v>
      </c>
    </row>
    <row r="429" spans="1:3" x14ac:dyDescent="0.3">
      <c r="A429">
        <v>1957</v>
      </c>
      <c r="B429">
        <v>1957</v>
      </c>
      <c r="C429">
        <v>109008</v>
      </c>
    </row>
    <row r="430" spans="1:3" x14ac:dyDescent="0.3">
      <c r="A430">
        <v>2007</v>
      </c>
      <c r="B430">
        <v>2007</v>
      </c>
      <c r="C430">
        <v>195400</v>
      </c>
    </row>
    <row r="431" spans="1:3" x14ac:dyDescent="0.3">
      <c r="A431">
        <v>1988</v>
      </c>
      <c r="B431">
        <v>1988</v>
      </c>
      <c r="C431">
        <v>175000</v>
      </c>
    </row>
    <row r="432" spans="1:3" x14ac:dyDescent="0.3">
      <c r="A432">
        <v>1971</v>
      </c>
      <c r="B432">
        <v>1971</v>
      </c>
      <c r="C432">
        <v>85400</v>
      </c>
    </row>
    <row r="433" spans="1:3" x14ac:dyDescent="0.3">
      <c r="A433">
        <v>1920</v>
      </c>
      <c r="B433">
        <v>1998</v>
      </c>
      <c r="C433">
        <v>79900</v>
      </c>
    </row>
    <row r="434" spans="1:3" x14ac:dyDescent="0.3">
      <c r="A434">
        <v>1971</v>
      </c>
      <c r="B434">
        <v>1971</v>
      </c>
      <c r="C434">
        <v>122500</v>
      </c>
    </row>
    <row r="435" spans="1:3" x14ac:dyDescent="0.3">
      <c r="A435">
        <v>1997</v>
      </c>
      <c r="B435">
        <v>1998</v>
      </c>
      <c r="C435">
        <v>181000</v>
      </c>
    </row>
    <row r="436" spans="1:3" x14ac:dyDescent="0.3">
      <c r="A436">
        <v>1972</v>
      </c>
      <c r="B436">
        <v>1972</v>
      </c>
      <c r="C436">
        <v>81000</v>
      </c>
    </row>
    <row r="437" spans="1:3" x14ac:dyDescent="0.3">
      <c r="A437">
        <v>1996</v>
      </c>
      <c r="B437">
        <v>1996</v>
      </c>
      <c r="C437">
        <v>212000</v>
      </c>
    </row>
    <row r="438" spans="1:3" x14ac:dyDescent="0.3">
      <c r="A438">
        <v>1920</v>
      </c>
      <c r="B438">
        <v>1950</v>
      </c>
      <c r="C438">
        <v>116000</v>
      </c>
    </row>
    <row r="439" spans="1:3" x14ac:dyDescent="0.3">
      <c r="A439">
        <v>1926</v>
      </c>
      <c r="B439">
        <v>2004</v>
      </c>
      <c r="C439">
        <v>119000</v>
      </c>
    </row>
    <row r="440" spans="1:3" x14ac:dyDescent="0.3">
      <c r="A440">
        <v>1913</v>
      </c>
      <c r="B440">
        <v>2002</v>
      </c>
      <c r="C440">
        <v>90350</v>
      </c>
    </row>
    <row r="441" spans="1:3" x14ac:dyDescent="0.3">
      <c r="A441">
        <v>1920</v>
      </c>
      <c r="B441">
        <v>2000</v>
      </c>
      <c r="C441">
        <v>110000</v>
      </c>
    </row>
    <row r="442" spans="1:3" x14ac:dyDescent="0.3">
      <c r="A442">
        <v>2008</v>
      </c>
      <c r="B442">
        <v>2008</v>
      </c>
      <c r="C442">
        <v>555000</v>
      </c>
    </row>
    <row r="443" spans="1:3" x14ac:dyDescent="0.3">
      <c r="A443">
        <v>1955</v>
      </c>
      <c r="B443">
        <v>1955</v>
      </c>
      <c r="C443">
        <v>118000</v>
      </c>
    </row>
    <row r="444" spans="1:3" x14ac:dyDescent="0.3">
      <c r="A444">
        <v>1930</v>
      </c>
      <c r="B444">
        <v>1992</v>
      </c>
      <c r="C444">
        <v>162900</v>
      </c>
    </row>
    <row r="445" spans="1:3" x14ac:dyDescent="0.3">
      <c r="A445">
        <v>2006</v>
      </c>
      <c r="B445">
        <v>2007</v>
      </c>
      <c r="C445">
        <v>172500</v>
      </c>
    </row>
    <row r="446" spans="1:3" x14ac:dyDescent="0.3">
      <c r="A446">
        <v>1994</v>
      </c>
      <c r="B446">
        <v>1995</v>
      </c>
      <c r="C446">
        <v>210000</v>
      </c>
    </row>
    <row r="447" spans="1:3" x14ac:dyDescent="0.3">
      <c r="A447">
        <v>1956</v>
      </c>
      <c r="B447">
        <v>1956</v>
      </c>
      <c r="C447">
        <v>127500</v>
      </c>
    </row>
    <row r="448" spans="1:3" x14ac:dyDescent="0.3">
      <c r="A448">
        <v>1966</v>
      </c>
      <c r="B448">
        <v>2002</v>
      </c>
      <c r="C448">
        <v>190000</v>
      </c>
    </row>
    <row r="449" spans="1:3" x14ac:dyDescent="0.3">
      <c r="A449">
        <v>1998</v>
      </c>
      <c r="B449">
        <v>1999</v>
      </c>
      <c r="C449">
        <v>199900</v>
      </c>
    </row>
    <row r="450" spans="1:3" x14ac:dyDescent="0.3">
      <c r="A450">
        <v>1937</v>
      </c>
      <c r="B450">
        <v>1950</v>
      </c>
      <c r="C450">
        <v>119500</v>
      </c>
    </row>
    <row r="451" spans="1:3" x14ac:dyDescent="0.3">
      <c r="A451">
        <v>1948</v>
      </c>
      <c r="B451">
        <v>2002</v>
      </c>
      <c r="C451">
        <v>120000</v>
      </c>
    </row>
    <row r="452" spans="1:3" x14ac:dyDescent="0.3">
      <c r="A452">
        <v>1930</v>
      </c>
      <c r="B452">
        <v>2005</v>
      </c>
      <c r="C452">
        <v>110000</v>
      </c>
    </row>
    <row r="453" spans="1:3" x14ac:dyDescent="0.3">
      <c r="A453">
        <v>1975</v>
      </c>
      <c r="B453">
        <v>1975</v>
      </c>
      <c r="C453">
        <v>280000</v>
      </c>
    </row>
    <row r="454" spans="1:3" x14ac:dyDescent="0.3">
      <c r="A454">
        <v>1996</v>
      </c>
      <c r="B454">
        <v>1997</v>
      </c>
      <c r="C454">
        <v>204000</v>
      </c>
    </row>
    <row r="455" spans="1:3" x14ac:dyDescent="0.3">
      <c r="A455">
        <v>2008</v>
      </c>
      <c r="B455">
        <v>2008</v>
      </c>
      <c r="C455">
        <v>210000</v>
      </c>
    </row>
    <row r="456" spans="1:3" x14ac:dyDescent="0.3">
      <c r="A456">
        <v>1976</v>
      </c>
      <c r="B456">
        <v>1976</v>
      </c>
      <c r="C456">
        <v>188000</v>
      </c>
    </row>
    <row r="457" spans="1:3" x14ac:dyDescent="0.3">
      <c r="A457">
        <v>1973</v>
      </c>
      <c r="B457">
        <v>1973</v>
      </c>
      <c r="C457">
        <v>175500</v>
      </c>
    </row>
    <row r="458" spans="1:3" x14ac:dyDescent="0.3">
      <c r="A458">
        <v>1916</v>
      </c>
      <c r="B458">
        <v>1950</v>
      </c>
      <c r="C458">
        <v>98000</v>
      </c>
    </row>
    <row r="459" spans="1:3" x14ac:dyDescent="0.3">
      <c r="A459">
        <v>1954</v>
      </c>
      <c r="B459">
        <v>1994</v>
      </c>
      <c r="C459">
        <v>256000</v>
      </c>
    </row>
    <row r="460" spans="1:3" x14ac:dyDescent="0.3">
      <c r="A460">
        <v>1925</v>
      </c>
      <c r="B460">
        <v>1996</v>
      </c>
      <c r="C460">
        <v>161000</v>
      </c>
    </row>
    <row r="461" spans="1:3" x14ac:dyDescent="0.3">
      <c r="A461">
        <v>1950</v>
      </c>
      <c r="B461">
        <v>1950</v>
      </c>
      <c r="C461">
        <v>110000</v>
      </c>
    </row>
    <row r="462" spans="1:3" x14ac:dyDescent="0.3">
      <c r="A462">
        <v>2009</v>
      </c>
      <c r="B462">
        <v>2009</v>
      </c>
      <c r="C462">
        <v>263435</v>
      </c>
    </row>
    <row r="463" spans="1:3" x14ac:dyDescent="0.3">
      <c r="A463">
        <v>1936</v>
      </c>
      <c r="B463">
        <v>2007</v>
      </c>
      <c r="C463">
        <v>155000</v>
      </c>
    </row>
    <row r="464" spans="1:3" x14ac:dyDescent="0.3">
      <c r="A464">
        <v>1965</v>
      </c>
      <c r="B464">
        <v>1965</v>
      </c>
      <c r="C464">
        <v>62383</v>
      </c>
    </row>
    <row r="465" spans="1:3" x14ac:dyDescent="0.3">
      <c r="A465">
        <v>1934</v>
      </c>
      <c r="B465">
        <v>1995</v>
      </c>
      <c r="C465">
        <v>188700</v>
      </c>
    </row>
    <row r="466" spans="1:3" x14ac:dyDescent="0.3">
      <c r="A466">
        <v>1978</v>
      </c>
      <c r="B466">
        <v>1978</v>
      </c>
      <c r="C466">
        <v>124000</v>
      </c>
    </row>
    <row r="467" spans="1:3" x14ac:dyDescent="0.3">
      <c r="A467">
        <v>2004</v>
      </c>
      <c r="B467">
        <v>2004</v>
      </c>
      <c r="C467">
        <v>178740</v>
      </c>
    </row>
    <row r="468" spans="1:3" x14ac:dyDescent="0.3">
      <c r="A468">
        <v>1970</v>
      </c>
      <c r="B468">
        <v>1970</v>
      </c>
      <c r="C468">
        <v>167000</v>
      </c>
    </row>
    <row r="469" spans="1:3" x14ac:dyDescent="0.3">
      <c r="A469">
        <v>1942</v>
      </c>
      <c r="B469">
        <v>1995</v>
      </c>
      <c r="C469">
        <v>146500</v>
      </c>
    </row>
    <row r="470" spans="1:3" x14ac:dyDescent="0.3">
      <c r="A470">
        <v>2006</v>
      </c>
      <c r="B470">
        <v>2006</v>
      </c>
      <c r="C470">
        <v>250000</v>
      </c>
    </row>
    <row r="471" spans="1:3" x14ac:dyDescent="0.3">
      <c r="A471">
        <v>1993</v>
      </c>
      <c r="B471">
        <v>1993</v>
      </c>
      <c r="C471">
        <v>187000</v>
      </c>
    </row>
    <row r="472" spans="1:3" x14ac:dyDescent="0.3">
      <c r="A472">
        <v>1985</v>
      </c>
      <c r="B472">
        <v>1985</v>
      </c>
      <c r="C472">
        <v>212000</v>
      </c>
    </row>
    <row r="473" spans="1:3" x14ac:dyDescent="0.3">
      <c r="A473">
        <v>1977</v>
      </c>
      <c r="B473">
        <v>1977</v>
      </c>
      <c r="C473">
        <v>190000</v>
      </c>
    </row>
    <row r="474" spans="1:3" x14ac:dyDescent="0.3">
      <c r="A474">
        <v>2005</v>
      </c>
      <c r="B474">
        <v>2005</v>
      </c>
      <c r="C474">
        <v>148000</v>
      </c>
    </row>
    <row r="475" spans="1:3" x14ac:dyDescent="0.3">
      <c r="A475">
        <v>2006</v>
      </c>
      <c r="B475">
        <v>2007</v>
      </c>
      <c r="C475">
        <v>440000</v>
      </c>
    </row>
    <row r="476" spans="1:3" x14ac:dyDescent="0.3">
      <c r="A476">
        <v>2000</v>
      </c>
      <c r="B476">
        <v>2000</v>
      </c>
      <c r="C476">
        <v>251000</v>
      </c>
    </row>
    <row r="477" spans="1:3" x14ac:dyDescent="0.3">
      <c r="A477">
        <v>1963</v>
      </c>
      <c r="B477">
        <v>1963</v>
      </c>
      <c r="C477">
        <v>132500</v>
      </c>
    </row>
    <row r="478" spans="1:3" x14ac:dyDescent="0.3">
      <c r="A478">
        <v>1997</v>
      </c>
      <c r="B478">
        <v>1998</v>
      </c>
      <c r="C478">
        <v>208900</v>
      </c>
    </row>
    <row r="479" spans="1:3" x14ac:dyDescent="0.3">
      <c r="A479">
        <v>2006</v>
      </c>
      <c r="B479">
        <v>2006</v>
      </c>
      <c r="C479">
        <v>380000</v>
      </c>
    </row>
    <row r="480" spans="1:3" x14ac:dyDescent="0.3">
      <c r="A480">
        <v>2007</v>
      </c>
      <c r="B480">
        <v>2008</v>
      </c>
      <c r="C480">
        <v>297000</v>
      </c>
    </row>
    <row r="481" spans="1:3" x14ac:dyDescent="0.3">
      <c r="A481">
        <v>1937</v>
      </c>
      <c r="B481">
        <v>2000</v>
      </c>
      <c r="C481">
        <v>89471</v>
      </c>
    </row>
    <row r="482" spans="1:3" x14ac:dyDescent="0.3">
      <c r="A482">
        <v>2004</v>
      </c>
      <c r="B482">
        <v>2005</v>
      </c>
      <c r="C482">
        <v>326000</v>
      </c>
    </row>
    <row r="483" spans="1:3" x14ac:dyDescent="0.3">
      <c r="A483">
        <v>2003</v>
      </c>
      <c r="B483">
        <v>2004</v>
      </c>
      <c r="C483">
        <v>374000</v>
      </c>
    </row>
    <row r="484" spans="1:3" x14ac:dyDescent="0.3">
      <c r="A484">
        <v>1915</v>
      </c>
      <c r="B484">
        <v>2005</v>
      </c>
      <c r="C484">
        <v>155000</v>
      </c>
    </row>
    <row r="485" spans="1:3" x14ac:dyDescent="0.3">
      <c r="A485">
        <v>1998</v>
      </c>
      <c r="B485">
        <v>1998</v>
      </c>
      <c r="C485">
        <v>164000</v>
      </c>
    </row>
    <row r="486" spans="1:3" x14ac:dyDescent="0.3">
      <c r="A486">
        <v>1962</v>
      </c>
      <c r="B486">
        <v>2001</v>
      </c>
      <c r="C486">
        <v>132500</v>
      </c>
    </row>
    <row r="487" spans="1:3" x14ac:dyDescent="0.3">
      <c r="A487">
        <v>1950</v>
      </c>
      <c r="B487">
        <v>2007</v>
      </c>
      <c r="C487">
        <v>147000</v>
      </c>
    </row>
    <row r="488" spans="1:3" x14ac:dyDescent="0.3">
      <c r="A488">
        <v>1965</v>
      </c>
      <c r="B488">
        <v>1965</v>
      </c>
      <c r="C488">
        <v>156000</v>
      </c>
    </row>
    <row r="489" spans="1:3" x14ac:dyDescent="0.3">
      <c r="A489">
        <v>1971</v>
      </c>
      <c r="B489">
        <v>1971</v>
      </c>
      <c r="C489">
        <v>175000</v>
      </c>
    </row>
    <row r="490" spans="1:3" x14ac:dyDescent="0.3">
      <c r="A490">
        <v>1900</v>
      </c>
      <c r="B490">
        <v>1970</v>
      </c>
      <c r="C490">
        <v>160000</v>
      </c>
    </row>
    <row r="491" spans="1:3" x14ac:dyDescent="0.3">
      <c r="A491">
        <v>1970</v>
      </c>
      <c r="B491">
        <v>2002</v>
      </c>
      <c r="C491">
        <v>86000</v>
      </c>
    </row>
    <row r="492" spans="1:3" x14ac:dyDescent="0.3">
      <c r="A492">
        <v>1976</v>
      </c>
      <c r="B492">
        <v>1976</v>
      </c>
      <c r="C492">
        <v>115000</v>
      </c>
    </row>
    <row r="493" spans="1:3" x14ac:dyDescent="0.3">
      <c r="A493">
        <v>1941</v>
      </c>
      <c r="B493">
        <v>1950</v>
      </c>
      <c r="C493">
        <v>133000</v>
      </c>
    </row>
    <row r="494" spans="1:3" x14ac:dyDescent="0.3">
      <c r="A494">
        <v>2006</v>
      </c>
      <c r="B494">
        <v>2006</v>
      </c>
      <c r="C494">
        <v>172785</v>
      </c>
    </row>
    <row r="495" spans="1:3" x14ac:dyDescent="0.3">
      <c r="A495">
        <v>1960</v>
      </c>
      <c r="B495">
        <v>1960</v>
      </c>
      <c r="C495">
        <v>155000</v>
      </c>
    </row>
    <row r="496" spans="1:3" x14ac:dyDescent="0.3">
      <c r="A496">
        <v>1938</v>
      </c>
      <c r="B496">
        <v>1996</v>
      </c>
      <c r="C496">
        <v>91300</v>
      </c>
    </row>
    <row r="497" spans="1:3" x14ac:dyDescent="0.3">
      <c r="A497">
        <v>1920</v>
      </c>
      <c r="B497">
        <v>1950</v>
      </c>
      <c r="C497">
        <v>34900</v>
      </c>
    </row>
    <row r="498" spans="1:3" x14ac:dyDescent="0.3">
      <c r="A498">
        <v>1992</v>
      </c>
      <c r="B498">
        <v>1993</v>
      </c>
      <c r="C498">
        <v>430000</v>
      </c>
    </row>
    <row r="499" spans="1:3" x14ac:dyDescent="0.3">
      <c r="A499">
        <v>1925</v>
      </c>
      <c r="B499">
        <v>1950</v>
      </c>
      <c r="C499">
        <v>184000</v>
      </c>
    </row>
    <row r="500" spans="1:3" x14ac:dyDescent="0.3">
      <c r="A500">
        <v>1967</v>
      </c>
      <c r="B500">
        <v>2004</v>
      </c>
      <c r="C500">
        <v>130000</v>
      </c>
    </row>
    <row r="501" spans="1:3" x14ac:dyDescent="0.3">
      <c r="A501">
        <v>1958</v>
      </c>
      <c r="B501">
        <v>1985</v>
      </c>
      <c r="C501">
        <v>120000</v>
      </c>
    </row>
    <row r="502" spans="1:3" x14ac:dyDescent="0.3">
      <c r="A502">
        <v>1973</v>
      </c>
      <c r="B502">
        <v>1973</v>
      </c>
      <c r="C502">
        <v>113000</v>
      </c>
    </row>
    <row r="503" spans="1:3" x14ac:dyDescent="0.3">
      <c r="A503">
        <v>2005</v>
      </c>
      <c r="B503">
        <v>2005</v>
      </c>
      <c r="C503">
        <v>226700</v>
      </c>
    </row>
    <row r="504" spans="1:3" x14ac:dyDescent="0.3">
      <c r="A504">
        <v>1965</v>
      </c>
      <c r="B504">
        <v>1965</v>
      </c>
      <c r="C504">
        <v>140000</v>
      </c>
    </row>
    <row r="505" spans="1:3" x14ac:dyDescent="0.3">
      <c r="A505">
        <v>1959</v>
      </c>
      <c r="B505">
        <v>1997</v>
      </c>
      <c r="C505">
        <v>289000</v>
      </c>
    </row>
    <row r="506" spans="1:3" x14ac:dyDescent="0.3">
      <c r="A506">
        <v>1974</v>
      </c>
      <c r="B506">
        <v>1974</v>
      </c>
      <c r="C506">
        <v>147000</v>
      </c>
    </row>
    <row r="507" spans="1:3" x14ac:dyDescent="0.3">
      <c r="A507">
        <v>1952</v>
      </c>
      <c r="B507">
        <v>1952</v>
      </c>
      <c r="C507">
        <v>124500</v>
      </c>
    </row>
    <row r="508" spans="1:3" x14ac:dyDescent="0.3">
      <c r="A508">
        <v>1993</v>
      </c>
      <c r="B508">
        <v>1994</v>
      </c>
      <c r="C508">
        <v>215000</v>
      </c>
    </row>
    <row r="509" spans="1:3" x14ac:dyDescent="0.3">
      <c r="A509">
        <v>2009</v>
      </c>
      <c r="B509">
        <v>2009</v>
      </c>
      <c r="C509">
        <v>208300</v>
      </c>
    </row>
    <row r="510" spans="1:3" x14ac:dyDescent="0.3">
      <c r="A510">
        <v>1928</v>
      </c>
      <c r="B510">
        <v>2005</v>
      </c>
      <c r="C510">
        <v>161000</v>
      </c>
    </row>
    <row r="511" spans="1:3" x14ac:dyDescent="0.3">
      <c r="A511">
        <v>1959</v>
      </c>
      <c r="B511">
        <v>1959</v>
      </c>
      <c r="C511">
        <v>124500</v>
      </c>
    </row>
    <row r="512" spans="1:3" x14ac:dyDescent="0.3">
      <c r="A512">
        <v>1951</v>
      </c>
      <c r="B512">
        <v>2000</v>
      </c>
      <c r="C512">
        <v>164900</v>
      </c>
    </row>
    <row r="513" spans="1:3" x14ac:dyDescent="0.3">
      <c r="A513">
        <v>2005</v>
      </c>
      <c r="B513">
        <v>2006</v>
      </c>
      <c r="C513">
        <v>202665</v>
      </c>
    </row>
    <row r="514" spans="1:3" x14ac:dyDescent="0.3">
      <c r="A514">
        <v>1958</v>
      </c>
      <c r="B514">
        <v>1958</v>
      </c>
      <c r="C514">
        <v>129900</v>
      </c>
    </row>
    <row r="515" spans="1:3" x14ac:dyDescent="0.3">
      <c r="A515">
        <v>1983</v>
      </c>
      <c r="B515">
        <v>1983</v>
      </c>
      <c r="C515">
        <v>134000</v>
      </c>
    </row>
    <row r="516" spans="1:3" x14ac:dyDescent="0.3">
      <c r="A516">
        <v>1926</v>
      </c>
      <c r="B516">
        <v>1950</v>
      </c>
      <c r="C516">
        <v>96500</v>
      </c>
    </row>
    <row r="517" spans="1:3" x14ac:dyDescent="0.3">
      <c r="A517">
        <v>2009</v>
      </c>
      <c r="B517">
        <v>2009</v>
      </c>
      <c r="C517">
        <v>402861</v>
      </c>
    </row>
    <row r="518" spans="1:3" x14ac:dyDescent="0.3">
      <c r="A518">
        <v>1972</v>
      </c>
      <c r="B518">
        <v>1972</v>
      </c>
      <c r="C518">
        <v>158000</v>
      </c>
    </row>
    <row r="519" spans="1:3" x14ac:dyDescent="0.3">
      <c r="A519">
        <v>1996</v>
      </c>
      <c r="B519">
        <v>1997</v>
      </c>
      <c r="C519">
        <v>265000</v>
      </c>
    </row>
    <row r="520" spans="1:3" x14ac:dyDescent="0.3">
      <c r="A520">
        <v>1998</v>
      </c>
      <c r="B520">
        <v>1998</v>
      </c>
      <c r="C520">
        <v>211000</v>
      </c>
    </row>
    <row r="521" spans="1:3" x14ac:dyDescent="0.3">
      <c r="A521">
        <v>1926</v>
      </c>
      <c r="B521">
        <v>2004</v>
      </c>
      <c r="C521">
        <v>234000</v>
      </c>
    </row>
    <row r="522" spans="1:3" x14ac:dyDescent="0.3">
      <c r="A522">
        <v>1900</v>
      </c>
      <c r="B522">
        <v>2000</v>
      </c>
      <c r="C522">
        <v>106250</v>
      </c>
    </row>
    <row r="523" spans="1:3" x14ac:dyDescent="0.3">
      <c r="A523">
        <v>1957</v>
      </c>
      <c r="B523">
        <v>1957</v>
      </c>
      <c r="C523">
        <v>150000</v>
      </c>
    </row>
    <row r="524" spans="1:3" x14ac:dyDescent="0.3">
      <c r="A524">
        <v>1947</v>
      </c>
      <c r="B524">
        <v>1950</v>
      </c>
      <c r="C524">
        <v>159000</v>
      </c>
    </row>
    <row r="525" spans="1:3" x14ac:dyDescent="0.3">
      <c r="A525">
        <v>2007</v>
      </c>
      <c r="B525">
        <v>2008</v>
      </c>
      <c r="C525">
        <v>184750</v>
      </c>
    </row>
    <row r="526" spans="1:3" x14ac:dyDescent="0.3">
      <c r="A526">
        <v>1996</v>
      </c>
      <c r="B526">
        <v>1997</v>
      </c>
      <c r="C526">
        <v>315750</v>
      </c>
    </row>
    <row r="527" spans="1:3" x14ac:dyDescent="0.3">
      <c r="A527">
        <v>2005</v>
      </c>
      <c r="B527">
        <v>2005</v>
      </c>
      <c r="C527">
        <v>176000</v>
      </c>
    </row>
    <row r="528" spans="1:3" x14ac:dyDescent="0.3">
      <c r="A528">
        <v>1956</v>
      </c>
      <c r="B528">
        <v>2000</v>
      </c>
      <c r="C528">
        <v>132000</v>
      </c>
    </row>
    <row r="529" spans="1:3" x14ac:dyDescent="0.3">
      <c r="A529">
        <v>2008</v>
      </c>
      <c r="B529">
        <v>2008</v>
      </c>
      <c r="C529">
        <v>446261</v>
      </c>
    </row>
    <row r="530" spans="1:3" x14ac:dyDescent="0.3">
      <c r="A530">
        <v>1920</v>
      </c>
      <c r="B530">
        <v>2002</v>
      </c>
      <c r="C530">
        <v>86000</v>
      </c>
    </row>
    <row r="531" spans="1:3" x14ac:dyDescent="0.3">
      <c r="A531">
        <v>1957</v>
      </c>
      <c r="B531">
        <v>1975</v>
      </c>
      <c r="C531">
        <v>200624</v>
      </c>
    </row>
    <row r="532" spans="1:3" x14ac:dyDescent="0.3">
      <c r="A532">
        <v>1988</v>
      </c>
      <c r="B532">
        <v>1989</v>
      </c>
      <c r="C532">
        <v>175000</v>
      </c>
    </row>
    <row r="533" spans="1:3" x14ac:dyDescent="0.3">
      <c r="A533">
        <v>1920</v>
      </c>
      <c r="B533">
        <v>1999</v>
      </c>
      <c r="C533">
        <v>128000</v>
      </c>
    </row>
    <row r="534" spans="1:3" x14ac:dyDescent="0.3">
      <c r="A534">
        <v>1955</v>
      </c>
      <c r="B534">
        <v>2007</v>
      </c>
      <c r="C534">
        <v>107500</v>
      </c>
    </row>
    <row r="535" spans="1:3" x14ac:dyDescent="0.3">
      <c r="A535">
        <v>1946</v>
      </c>
      <c r="B535">
        <v>1950</v>
      </c>
      <c r="C535">
        <v>39300</v>
      </c>
    </row>
    <row r="536" spans="1:3" x14ac:dyDescent="0.3">
      <c r="A536">
        <v>2004</v>
      </c>
      <c r="B536">
        <v>2004</v>
      </c>
      <c r="C536">
        <v>178000</v>
      </c>
    </row>
    <row r="537" spans="1:3" x14ac:dyDescent="0.3">
      <c r="A537">
        <v>1910</v>
      </c>
      <c r="B537">
        <v>1991</v>
      </c>
      <c r="C537">
        <v>107500</v>
      </c>
    </row>
    <row r="538" spans="1:3" x14ac:dyDescent="0.3">
      <c r="A538">
        <v>1998</v>
      </c>
      <c r="B538">
        <v>1999</v>
      </c>
      <c r="C538">
        <v>188000</v>
      </c>
    </row>
    <row r="539" spans="1:3" x14ac:dyDescent="0.3">
      <c r="A539">
        <v>1972</v>
      </c>
      <c r="B539">
        <v>1972</v>
      </c>
      <c r="C539">
        <v>111250</v>
      </c>
    </row>
    <row r="540" spans="1:3" x14ac:dyDescent="0.3">
      <c r="A540">
        <v>1968</v>
      </c>
      <c r="B540">
        <v>1968</v>
      </c>
      <c r="C540">
        <v>158000</v>
      </c>
    </row>
    <row r="541" spans="1:3" x14ac:dyDescent="0.3">
      <c r="A541">
        <v>2001</v>
      </c>
      <c r="B541">
        <v>2002</v>
      </c>
      <c r="C541">
        <v>272000</v>
      </c>
    </row>
    <row r="542" spans="1:3" x14ac:dyDescent="0.3">
      <c r="A542">
        <v>2006</v>
      </c>
      <c r="B542">
        <v>2006</v>
      </c>
      <c r="C542">
        <v>315000</v>
      </c>
    </row>
    <row r="543" spans="1:3" x14ac:dyDescent="0.3">
      <c r="A543">
        <v>2000</v>
      </c>
      <c r="B543">
        <v>2000</v>
      </c>
      <c r="C543">
        <v>248000</v>
      </c>
    </row>
    <row r="544" spans="1:3" x14ac:dyDescent="0.3">
      <c r="A544">
        <v>1998</v>
      </c>
      <c r="B544">
        <v>1999</v>
      </c>
      <c r="C544">
        <v>213250</v>
      </c>
    </row>
    <row r="545" spans="1:3" x14ac:dyDescent="0.3">
      <c r="A545">
        <v>1998</v>
      </c>
      <c r="B545">
        <v>1998</v>
      </c>
      <c r="C545">
        <v>133000</v>
      </c>
    </row>
    <row r="546" spans="1:3" x14ac:dyDescent="0.3">
      <c r="A546">
        <v>2006</v>
      </c>
      <c r="B546">
        <v>2006</v>
      </c>
      <c r="C546">
        <v>179665</v>
      </c>
    </row>
    <row r="547" spans="1:3" x14ac:dyDescent="0.3">
      <c r="A547">
        <v>1988</v>
      </c>
      <c r="B547">
        <v>1988</v>
      </c>
      <c r="C547">
        <v>229000</v>
      </c>
    </row>
    <row r="548" spans="1:3" x14ac:dyDescent="0.3">
      <c r="A548">
        <v>1923</v>
      </c>
      <c r="B548">
        <v>1950</v>
      </c>
      <c r="C548">
        <v>210000</v>
      </c>
    </row>
    <row r="549" spans="1:3" x14ac:dyDescent="0.3">
      <c r="A549">
        <v>1970</v>
      </c>
      <c r="B549">
        <v>1970</v>
      </c>
      <c r="C549">
        <v>129500</v>
      </c>
    </row>
    <row r="550" spans="1:3" x14ac:dyDescent="0.3">
      <c r="A550">
        <v>1955</v>
      </c>
      <c r="B550">
        <v>1995</v>
      </c>
      <c r="C550">
        <v>125000</v>
      </c>
    </row>
    <row r="551" spans="1:3" x14ac:dyDescent="0.3">
      <c r="A551">
        <v>2003</v>
      </c>
      <c r="B551">
        <v>2004</v>
      </c>
      <c r="C551">
        <v>263000</v>
      </c>
    </row>
    <row r="552" spans="1:3" x14ac:dyDescent="0.3">
      <c r="A552">
        <v>1977</v>
      </c>
      <c r="B552">
        <v>1977</v>
      </c>
      <c r="C552">
        <v>140000</v>
      </c>
    </row>
    <row r="553" spans="1:3" x14ac:dyDescent="0.3">
      <c r="A553">
        <v>1957</v>
      </c>
      <c r="B553">
        <v>1957</v>
      </c>
      <c r="C553">
        <v>112500</v>
      </c>
    </row>
    <row r="554" spans="1:3" x14ac:dyDescent="0.3">
      <c r="A554">
        <v>2006</v>
      </c>
      <c r="B554">
        <v>2006</v>
      </c>
      <c r="C554">
        <v>255500</v>
      </c>
    </row>
    <row r="555" spans="1:3" x14ac:dyDescent="0.3">
      <c r="A555">
        <v>1949</v>
      </c>
      <c r="B555">
        <v>2003</v>
      </c>
      <c r="C555">
        <v>108000</v>
      </c>
    </row>
    <row r="556" spans="1:3" x14ac:dyDescent="0.3">
      <c r="A556">
        <v>2003</v>
      </c>
      <c r="B556">
        <v>2004</v>
      </c>
      <c r="C556">
        <v>284000</v>
      </c>
    </row>
    <row r="557" spans="1:3" x14ac:dyDescent="0.3">
      <c r="A557">
        <v>1922</v>
      </c>
      <c r="B557">
        <v>1950</v>
      </c>
      <c r="C557">
        <v>113000</v>
      </c>
    </row>
    <row r="558" spans="1:3" x14ac:dyDescent="0.3">
      <c r="A558">
        <v>1957</v>
      </c>
      <c r="B558">
        <v>1957</v>
      </c>
      <c r="C558">
        <v>141000</v>
      </c>
    </row>
    <row r="559" spans="1:3" x14ac:dyDescent="0.3">
      <c r="A559">
        <v>1920</v>
      </c>
      <c r="B559">
        <v>1950</v>
      </c>
      <c r="C559">
        <v>108000</v>
      </c>
    </row>
    <row r="560" spans="1:3" x14ac:dyDescent="0.3">
      <c r="A560">
        <v>1996</v>
      </c>
      <c r="B560">
        <v>1997</v>
      </c>
      <c r="C560">
        <v>175000</v>
      </c>
    </row>
    <row r="561" spans="1:3" x14ac:dyDescent="0.3">
      <c r="A561">
        <v>2003</v>
      </c>
      <c r="B561">
        <v>2004</v>
      </c>
      <c r="C561">
        <v>234000</v>
      </c>
    </row>
    <row r="562" spans="1:3" x14ac:dyDescent="0.3">
      <c r="A562">
        <v>1957</v>
      </c>
      <c r="B562">
        <v>1996</v>
      </c>
      <c r="C562">
        <v>121500</v>
      </c>
    </row>
    <row r="563" spans="1:3" x14ac:dyDescent="0.3">
      <c r="A563">
        <v>1974</v>
      </c>
      <c r="B563">
        <v>1975</v>
      </c>
      <c r="C563">
        <v>170000</v>
      </c>
    </row>
    <row r="564" spans="1:3" x14ac:dyDescent="0.3">
      <c r="A564">
        <v>1940</v>
      </c>
      <c r="B564">
        <v>1969</v>
      </c>
      <c r="C564">
        <v>108000</v>
      </c>
    </row>
    <row r="565" spans="1:3" x14ac:dyDescent="0.3">
      <c r="A565">
        <v>1918</v>
      </c>
      <c r="B565">
        <v>1950</v>
      </c>
      <c r="C565">
        <v>185000</v>
      </c>
    </row>
    <row r="566" spans="1:3" x14ac:dyDescent="0.3">
      <c r="A566">
        <v>1992</v>
      </c>
      <c r="B566">
        <v>2000</v>
      </c>
      <c r="C566">
        <v>268000</v>
      </c>
    </row>
    <row r="567" spans="1:3" x14ac:dyDescent="0.3">
      <c r="A567">
        <v>1915</v>
      </c>
      <c r="B567">
        <v>1950</v>
      </c>
      <c r="C567">
        <v>128000</v>
      </c>
    </row>
    <row r="568" spans="1:3" x14ac:dyDescent="0.3">
      <c r="A568">
        <v>2005</v>
      </c>
      <c r="B568">
        <v>2007</v>
      </c>
      <c r="C568">
        <v>325000</v>
      </c>
    </row>
    <row r="569" spans="1:3" x14ac:dyDescent="0.3">
      <c r="A569">
        <v>2004</v>
      </c>
      <c r="B569">
        <v>2004</v>
      </c>
      <c r="C569">
        <v>214000</v>
      </c>
    </row>
    <row r="570" spans="1:3" x14ac:dyDescent="0.3">
      <c r="A570">
        <v>1983</v>
      </c>
      <c r="B570">
        <v>2009</v>
      </c>
      <c r="C570">
        <v>316600</v>
      </c>
    </row>
    <row r="571" spans="1:3" x14ac:dyDescent="0.3">
      <c r="A571">
        <v>1979</v>
      </c>
      <c r="B571">
        <v>1979</v>
      </c>
      <c r="C571">
        <v>135960</v>
      </c>
    </row>
    <row r="572" spans="1:3" x14ac:dyDescent="0.3">
      <c r="A572">
        <v>1965</v>
      </c>
      <c r="B572">
        <v>1965</v>
      </c>
      <c r="C572">
        <v>142600</v>
      </c>
    </row>
    <row r="573" spans="1:3" x14ac:dyDescent="0.3">
      <c r="A573">
        <v>1959</v>
      </c>
      <c r="B573">
        <v>1959</v>
      </c>
      <c r="C573">
        <v>120000</v>
      </c>
    </row>
    <row r="574" spans="1:3" x14ac:dyDescent="0.3">
      <c r="A574">
        <v>2009</v>
      </c>
      <c r="B574">
        <v>2009</v>
      </c>
      <c r="C574">
        <v>224500</v>
      </c>
    </row>
    <row r="575" spans="1:3" x14ac:dyDescent="0.3">
      <c r="A575">
        <v>2000</v>
      </c>
      <c r="B575">
        <v>2000</v>
      </c>
      <c r="C575">
        <v>170000</v>
      </c>
    </row>
    <row r="576" spans="1:3" x14ac:dyDescent="0.3">
      <c r="A576">
        <v>1971</v>
      </c>
      <c r="B576">
        <v>2005</v>
      </c>
      <c r="C576">
        <v>139000</v>
      </c>
    </row>
    <row r="577" spans="1:3" x14ac:dyDescent="0.3">
      <c r="A577">
        <v>1947</v>
      </c>
      <c r="B577">
        <v>1950</v>
      </c>
      <c r="C577">
        <v>118500</v>
      </c>
    </row>
    <row r="578" spans="1:3" x14ac:dyDescent="0.3">
      <c r="A578">
        <v>1928</v>
      </c>
      <c r="B578">
        <v>1950</v>
      </c>
      <c r="C578">
        <v>145000</v>
      </c>
    </row>
    <row r="579" spans="1:3" x14ac:dyDescent="0.3">
      <c r="A579">
        <v>1966</v>
      </c>
      <c r="B579">
        <v>1966</v>
      </c>
      <c r="C579">
        <v>164500</v>
      </c>
    </row>
    <row r="580" spans="1:3" x14ac:dyDescent="0.3">
      <c r="A580">
        <v>2007</v>
      </c>
      <c r="B580">
        <v>2007</v>
      </c>
      <c r="C580">
        <v>146000</v>
      </c>
    </row>
    <row r="581" spans="1:3" x14ac:dyDescent="0.3">
      <c r="A581">
        <v>1954</v>
      </c>
      <c r="B581">
        <v>1954</v>
      </c>
      <c r="C581">
        <v>131500</v>
      </c>
    </row>
    <row r="582" spans="1:3" x14ac:dyDescent="0.3">
      <c r="A582">
        <v>1960</v>
      </c>
      <c r="B582">
        <v>1987</v>
      </c>
      <c r="C582">
        <v>181900</v>
      </c>
    </row>
    <row r="583" spans="1:3" x14ac:dyDescent="0.3">
      <c r="A583">
        <v>2008</v>
      </c>
      <c r="B583">
        <v>2009</v>
      </c>
      <c r="C583">
        <v>253293</v>
      </c>
    </row>
    <row r="584" spans="1:3" x14ac:dyDescent="0.3">
      <c r="A584">
        <v>1990</v>
      </c>
      <c r="B584">
        <v>1990</v>
      </c>
      <c r="C584">
        <v>118500</v>
      </c>
    </row>
    <row r="585" spans="1:3" x14ac:dyDescent="0.3">
      <c r="A585">
        <v>1893</v>
      </c>
      <c r="B585">
        <v>2000</v>
      </c>
      <c r="C585">
        <v>325000</v>
      </c>
    </row>
    <row r="586" spans="1:3" x14ac:dyDescent="0.3">
      <c r="A586">
        <v>1935</v>
      </c>
      <c r="B586">
        <v>1995</v>
      </c>
      <c r="C586">
        <v>133000</v>
      </c>
    </row>
    <row r="587" spans="1:3" x14ac:dyDescent="0.3">
      <c r="A587">
        <v>2005</v>
      </c>
      <c r="B587">
        <v>2006</v>
      </c>
      <c r="C587">
        <v>369900</v>
      </c>
    </row>
    <row r="588" spans="1:3" x14ac:dyDescent="0.3">
      <c r="A588">
        <v>1918</v>
      </c>
      <c r="B588">
        <v>2000</v>
      </c>
      <c r="C588">
        <v>130000</v>
      </c>
    </row>
    <row r="589" spans="1:3" x14ac:dyDescent="0.3">
      <c r="A589">
        <v>1982</v>
      </c>
      <c r="B589">
        <v>1982</v>
      </c>
      <c r="C589">
        <v>137000</v>
      </c>
    </row>
    <row r="590" spans="1:3" x14ac:dyDescent="0.3">
      <c r="A590">
        <v>1968</v>
      </c>
      <c r="B590">
        <v>2003</v>
      </c>
      <c r="C590">
        <v>143000</v>
      </c>
    </row>
    <row r="591" spans="1:3" x14ac:dyDescent="0.3">
      <c r="A591">
        <v>1930</v>
      </c>
      <c r="B591">
        <v>1960</v>
      </c>
      <c r="C591">
        <v>79500</v>
      </c>
    </row>
    <row r="592" spans="1:3" x14ac:dyDescent="0.3">
      <c r="A592">
        <v>2004</v>
      </c>
      <c r="B592">
        <v>2004</v>
      </c>
      <c r="C592">
        <v>185900</v>
      </c>
    </row>
    <row r="593" spans="1:3" x14ac:dyDescent="0.3">
      <c r="A593">
        <v>2008</v>
      </c>
      <c r="B593">
        <v>2008</v>
      </c>
      <c r="C593">
        <v>451950</v>
      </c>
    </row>
    <row r="594" spans="1:3" x14ac:dyDescent="0.3">
      <c r="A594">
        <v>1982</v>
      </c>
      <c r="B594">
        <v>2003</v>
      </c>
      <c r="C594">
        <v>138000</v>
      </c>
    </row>
    <row r="595" spans="1:3" x14ac:dyDescent="0.3">
      <c r="A595">
        <v>2003</v>
      </c>
      <c r="B595">
        <v>2003</v>
      </c>
      <c r="C595">
        <v>140000</v>
      </c>
    </row>
    <row r="596" spans="1:3" x14ac:dyDescent="0.3">
      <c r="A596">
        <v>1975</v>
      </c>
      <c r="B596">
        <v>1975</v>
      </c>
      <c r="C596">
        <v>110000</v>
      </c>
    </row>
    <row r="597" spans="1:3" x14ac:dyDescent="0.3">
      <c r="A597">
        <v>2005</v>
      </c>
      <c r="B597">
        <v>2006</v>
      </c>
      <c r="C597">
        <v>319000</v>
      </c>
    </row>
    <row r="598" spans="1:3" x14ac:dyDescent="0.3">
      <c r="A598">
        <v>1910</v>
      </c>
      <c r="B598">
        <v>1993</v>
      </c>
      <c r="C598">
        <v>114504</v>
      </c>
    </row>
    <row r="599" spans="1:3" x14ac:dyDescent="0.3">
      <c r="A599">
        <v>2006</v>
      </c>
      <c r="B599">
        <v>2007</v>
      </c>
      <c r="C599">
        <v>194201</v>
      </c>
    </row>
    <row r="600" spans="1:3" x14ac:dyDescent="0.3">
      <c r="A600">
        <v>1977</v>
      </c>
      <c r="B600">
        <v>1977</v>
      </c>
      <c r="C600">
        <v>217500</v>
      </c>
    </row>
    <row r="601" spans="1:3" x14ac:dyDescent="0.3">
      <c r="A601">
        <v>1980</v>
      </c>
      <c r="B601">
        <v>1980</v>
      </c>
      <c r="C601">
        <v>151000</v>
      </c>
    </row>
    <row r="602" spans="1:3" x14ac:dyDescent="0.3">
      <c r="A602">
        <v>2005</v>
      </c>
      <c r="B602">
        <v>2005</v>
      </c>
      <c r="C602">
        <v>275000</v>
      </c>
    </row>
    <row r="603" spans="1:3" x14ac:dyDescent="0.3">
      <c r="A603">
        <v>1937</v>
      </c>
      <c r="B603">
        <v>1950</v>
      </c>
      <c r="C603">
        <v>141000</v>
      </c>
    </row>
    <row r="604" spans="1:3" x14ac:dyDescent="0.3">
      <c r="A604">
        <v>1992</v>
      </c>
      <c r="B604">
        <v>1992</v>
      </c>
      <c r="C604">
        <v>220000</v>
      </c>
    </row>
    <row r="605" spans="1:3" x14ac:dyDescent="0.3">
      <c r="A605">
        <v>2004</v>
      </c>
      <c r="B605">
        <v>2005</v>
      </c>
      <c r="C605">
        <v>151000</v>
      </c>
    </row>
    <row r="606" spans="1:3" x14ac:dyDescent="0.3">
      <c r="A606">
        <v>2002</v>
      </c>
      <c r="B606">
        <v>2002</v>
      </c>
      <c r="C606">
        <v>221000</v>
      </c>
    </row>
    <row r="607" spans="1:3" x14ac:dyDescent="0.3">
      <c r="A607">
        <v>1965</v>
      </c>
      <c r="B607">
        <v>1990</v>
      </c>
      <c r="C607">
        <v>205000</v>
      </c>
    </row>
    <row r="608" spans="1:3" x14ac:dyDescent="0.3">
      <c r="A608">
        <v>1996</v>
      </c>
      <c r="B608">
        <v>1996</v>
      </c>
      <c r="C608">
        <v>152000</v>
      </c>
    </row>
    <row r="609" spans="1:3" x14ac:dyDescent="0.3">
      <c r="A609">
        <v>1948</v>
      </c>
      <c r="B609">
        <v>2002</v>
      </c>
      <c r="C609">
        <v>225000</v>
      </c>
    </row>
    <row r="610" spans="1:3" x14ac:dyDescent="0.3">
      <c r="A610">
        <v>1934</v>
      </c>
      <c r="B610">
        <v>1998</v>
      </c>
      <c r="C610">
        <v>359100</v>
      </c>
    </row>
    <row r="611" spans="1:3" x14ac:dyDescent="0.3">
      <c r="A611">
        <v>1961</v>
      </c>
      <c r="B611">
        <v>1961</v>
      </c>
      <c r="C611">
        <v>118500</v>
      </c>
    </row>
    <row r="612" spans="1:3" x14ac:dyDescent="0.3">
      <c r="A612">
        <v>2000</v>
      </c>
      <c r="B612">
        <v>2000</v>
      </c>
      <c r="C612">
        <v>313000</v>
      </c>
    </row>
    <row r="613" spans="1:3" x14ac:dyDescent="0.3">
      <c r="A613">
        <v>1978</v>
      </c>
      <c r="B613">
        <v>1978</v>
      </c>
      <c r="C613">
        <v>148000</v>
      </c>
    </row>
    <row r="614" spans="1:3" x14ac:dyDescent="0.3">
      <c r="A614">
        <v>2001</v>
      </c>
      <c r="B614">
        <v>2001</v>
      </c>
      <c r="C614">
        <v>261500</v>
      </c>
    </row>
    <row r="615" spans="1:3" x14ac:dyDescent="0.3">
      <c r="A615">
        <v>2007</v>
      </c>
      <c r="B615">
        <v>2007</v>
      </c>
      <c r="C615">
        <v>147000</v>
      </c>
    </row>
    <row r="616" spans="1:3" x14ac:dyDescent="0.3">
      <c r="A616">
        <v>1972</v>
      </c>
      <c r="B616">
        <v>1972</v>
      </c>
      <c r="C616">
        <v>75500</v>
      </c>
    </row>
    <row r="617" spans="1:3" x14ac:dyDescent="0.3">
      <c r="A617">
        <v>1963</v>
      </c>
      <c r="B617">
        <v>1963</v>
      </c>
      <c r="C617">
        <v>137500</v>
      </c>
    </row>
    <row r="618" spans="1:3" x14ac:dyDescent="0.3">
      <c r="A618">
        <v>2002</v>
      </c>
      <c r="B618">
        <v>2003</v>
      </c>
      <c r="C618">
        <v>183200</v>
      </c>
    </row>
    <row r="619" spans="1:3" x14ac:dyDescent="0.3">
      <c r="A619">
        <v>1954</v>
      </c>
      <c r="B619">
        <v>1954</v>
      </c>
      <c r="C619">
        <v>105500</v>
      </c>
    </row>
    <row r="620" spans="1:3" x14ac:dyDescent="0.3">
      <c r="A620">
        <v>2007</v>
      </c>
      <c r="B620">
        <v>2007</v>
      </c>
      <c r="C620">
        <v>314813</v>
      </c>
    </row>
    <row r="621" spans="1:3" x14ac:dyDescent="0.3">
      <c r="A621">
        <v>2003</v>
      </c>
      <c r="B621">
        <v>2003</v>
      </c>
      <c r="C621">
        <v>305000</v>
      </c>
    </row>
    <row r="622" spans="1:3" x14ac:dyDescent="0.3">
      <c r="A622">
        <v>1914</v>
      </c>
      <c r="B622">
        <v>1950</v>
      </c>
      <c r="C622">
        <v>67000</v>
      </c>
    </row>
    <row r="623" spans="1:3" x14ac:dyDescent="0.3">
      <c r="A623">
        <v>1974</v>
      </c>
      <c r="B623">
        <v>1997</v>
      </c>
      <c r="C623">
        <v>240000</v>
      </c>
    </row>
    <row r="624" spans="1:3" x14ac:dyDescent="0.3">
      <c r="A624">
        <v>1977</v>
      </c>
      <c r="B624">
        <v>1977</v>
      </c>
      <c r="C624">
        <v>135000</v>
      </c>
    </row>
    <row r="625" spans="1:3" x14ac:dyDescent="0.3">
      <c r="A625">
        <v>2000</v>
      </c>
      <c r="B625">
        <v>2000</v>
      </c>
      <c r="C625">
        <v>168500</v>
      </c>
    </row>
    <row r="626" spans="1:3" x14ac:dyDescent="0.3">
      <c r="A626">
        <v>1972</v>
      </c>
      <c r="B626">
        <v>1972</v>
      </c>
      <c r="C626">
        <v>165150</v>
      </c>
    </row>
    <row r="627" spans="1:3" x14ac:dyDescent="0.3">
      <c r="A627">
        <v>1962</v>
      </c>
      <c r="B627">
        <v>1962</v>
      </c>
      <c r="C627">
        <v>160000</v>
      </c>
    </row>
    <row r="628" spans="1:3" x14ac:dyDescent="0.3">
      <c r="A628">
        <v>1960</v>
      </c>
      <c r="B628">
        <v>1978</v>
      </c>
      <c r="C628">
        <v>139900</v>
      </c>
    </row>
    <row r="629" spans="1:3" x14ac:dyDescent="0.3">
      <c r="A629">
        <v>1955</v>
      </c>
      <c r="B629">
        <v>1972</v>
      </c>
      <c r="C629">
        <v>153000</v>
      </c>
    </row>
    <row r="630" spans="1:3" x14ac:dyDescent="0.3">
      <c r="A630">
        <v>1969</v>
      </c>
      <c r="B630">
        <v>1969</v>
      </c>
      <c r="C630">
        <v>135000</v>
      </c>
    </row>
    <row r="631" spans="1:3" x14ac:dyDescent="0.3">
      <c r="A631">
        <v>1964</v>
      </c>
      <c r="B631">
        <v>1964</v>
      </c>
      <c r="C631">
        <v>168500</v>
      </c>
    </row>
    <row r="632" spans="1:3" x14ac:dyDescent="0.3">
      <c r="A632">
        <v>1880</v>
      </c>
      <c r="B632">
        <v>1991</v>
      </c>
      <c r="C632">
        <v>124000</v>
      </c>
    </row>
    <row r="633" spans="1:3" x14ac:dyDescent="0.3">
      <c r="A633">
        <v>2006</v>
      </c>
      <c r="B633">
        <v>2006</v>
      </c>
      <c r="C633">
        <v>209500</v>
      </c>
    </row>
    <row r="634" spans="1:3" x14ac:dyDescent="0.3">
      <c r="A634">
        <v>1977</v>
      </c>
      <c r="B634">
        <v>1977</v>
      </c>
      <c r="C634">
        <v>82500</v>
      </c>
    </row>
    <row r="635" spans="1:3" x14ac:dyDescent="0.3">
      <c r="A635">
        <v>1954</v>
      </c>
      <c r="B635">
        <v>2005</v>
      </c>
      <c r="C635">
        <v>139400</v>
      </c>
    </row>
    <row r="636" spans="1:3" x14ac:dyDescent="0.3">
      <c r="A636">
        <v>1980</v>
      </c>
      <c r="B636">
        <v>1980</v>
      </c>
      <c r="C636">
        <v>144000</v>
      </c>
    </row>
    <row r="637" spans="1:3" x14ac:dyDescent="0.3">
      <c r="A637">
        <v>1914</v>
      </c>
      <c r="B637">
        <v>1995</v>
      </c>
      <c r="C637">
        <v>200000</v>
      </c>
    </row>
    <row r="638" spans="1:3" x14ac:dyDescent="0.3">
      <c r="A638">
        <v>1936</v>
      </c>
      <c r="B638">
        <v>1950</v>
      </c>
      <c r="C638">
        <v>60000</v>
      </c>
    </row>
    <row r="639" spans="1:3" x14ac:dyDescent="0.3">
      <c r="A639">
        <v>1954</v>
      </c>
      <c r="B639">
        <v>1954</v>
      </c>
      <c r="C639">
        <v>93000</v>
      </c>
    </row>
    <row r="640" spans="1:3" x14ac:dyDescent="0.3">
      <c r="A640">
        <v>1910</v>
      </c>
      <c r="B640">
        <v>1950</v>
      </c>
      <c r="C640">
        <v>85000</v>
      </c>
    </row>
    <row r="641" spans="1:3" x14ac:dyDescent="0.3">
      <c r="A641">
        <v>2006</v>
      </c>
      <c r="B641">
        <v>2006</v>
      </c>
      <c r="C641">
        <v>264561</v>
      </c>
    </row>
    <row r="642" spans="1:3" x14ac:dyDescent="0.3">
      <c r="A642">
        <v>2003</v>
      </c>
      <c r="B642">
        <v>2004</v>
      </c>
      <c r="C642">
        <v>274000</v>
      </c>
    </row>
    <row r="643" spans="1:3" x14ac:dyDescent="0.3">
      <c r="A643">
        <v>2001</v>
      </c>
      <c r="B643">
        <v>2001</v>
      </c>
      <c r="C643">
        <v>226000</v>
      </c>
    </row>
    <row r="644" spans="1:3" x14ac:dyDescent="0.3">
      <c r="A644">
        <v>1972</v>
      </c>
      <c r="B644">
        <v>1995</v>
      </c>
      <c r="C644">
        <v>345000</v>
      </c>
    </row>
    <row r="645" spans="1:3" x14ac:dyDescent="0.3">
      <c r="A645">
        <v>1969</v>
      </c>
      <c r="B645">
        <v>1969</v>
      </c>
      <c r="C645">
        <v>152000</v>
      </c>
    </row>
    <row r="646" spans="1:3" x14ac:dyDescent="0.3">
      <c r="A646">
        <v>2009</v>
      </c>
      <c r="B646">
        <v>2009</v>
      </c>
      <c r="C646">
        <v>370878</v>
      </c>
    </row>
    <row r="647" spans="1:3" x14ac:dyDescent="0.3">
      <c r="A647">
        <v>1971</v>
      </c>
      <c r="B647">
        <v>1971</v>
      </c>
      <c r="C647">
        <v>143250</v>
      </c>
    </row>
    <row r="648" spans="1:3" x14ac:dyDescent="0.3">
      <c r="A648">
        <v>1950</v>
      </c>
      <c r="B648">
        <v>1950</v>
      </c>
      <c r="C648">
        <v>98300</v>
      </c>
    </row>
    <row r="649" spans="1:3" x14ac:dyDescent="0.3">
      <c r="A649">
        <v>1953</v>
      </c>
      <c r="B649">
        <v>1953</v>
      </c>
      <c r="C649">
        <v>155000</v>
      </c>
    </row>
    <row r="650" spans="1:3" x14ac:dyDescent="0.3">
      <c r="A650">
        <v>1966</v>
      </c>
      <c r="B650">
        <v>1966</v>
      </c>
      <c r="C650">
        <v>155000</v>
      </c>
    </row>
    <row r="651" spans="1:3" x14ac:dyDescent="0.3">
      <c r="A651">
        <v>1970</v>
      </c>
      <c r="B651">
        <v>1970</v>
      </c>
      <c r="C651">
        <v>84500</v>
      </c>
    </row>
    <row r="652" spans="1:3" x14ac:dyDescent="0.3">
      <c r="A652">
        <v>2007</v>
      </c>
      <c r="B652">
        <v>2007</v>
      </c>
      <c r="C652">
        <v>205950</v>
      </c>
    </row>
    <row r="653" spans="1:3" x14ac:dyDescent="0.3">
      <c r="A653">
        <v>1940</v>
      </c>
      <c r="B653">
        <v>1950</v>
      </c>
      <c r="C653">
        <v>108000</v>
      </c>
    </row>
    <row r="654" spans="1:3" x14ac:dyDescent="0.3">
      <c r="A654">
        <v>1996</v>
      </c>
      <c r="B654">
        <v>1996</v>
      </c>
      <c r="C654">
        <v>191000</v>
      </c>
    </row>
    <row r="655" spans="1:3" x14ac:dyDescent="0.3">
      <c r="A655">
        <v>1906</v>
      </c>
      <c r="B655">
        <v>1995</v>
      </c>
      <c r="C655">
        <v>135000</v>
      </c>
    </row>
    <row r="656" spans="1:3" x14ac:dyDescent="0.3">
      <c r="A656">
        <v>1995</v>
      </c>
      <c r="B656">
        <v>1995</v>
      </c>
      <c r="C656">
        <v>350000</v>
      </c>
    </row>
    <row r="657" spans="1:3" x14ac:dyDescent="0.3">
      <c r="A657">
        <v>1971</v>
      </c>
      <c r="B657">
        <v>1971</v>
      </c>
      <c r="C657">
        <v>88000</v>
      </c>
    </row>
    <row r="658" spans="1:3" x14ac:dyDescent="0.3">
      <c r="A658">
        <v>1959</v>
      </c>
      <c r="B658">
        <v>2006</v>
      </c>
      <c r="C658">
        <v>145500</v>
      </c>
    </row>
    <row r="659" spans="1:3" x14ac:dyDescent="0.3">
      <c r="A659">
        <v>1931</v>
      </c>
      <c r="B659">
        <v>2000</v>
      </c>
      <c r="C659">
        <v>149000</v>
      </c>
    </row>
    <row r="660" spans="1:3" x14ac:dyDescent="0.3">
      <c r="A660">
        <v>1948</v>
      </c>
      <c r="B660">
        <v>1950</v>
      </c>
      <c r="C660">
        <v>97500</v>
      </c>
    </row>
    <row r="661" spans="1:3" x14ac:dyDescent="0.3">
      <c r="A661">
        <v>1964</v>
      </c>
      <c r="B661">
        <v>1999</v>
      </c>
      <c r="C661">
        <v>167000</v>
      </c>
    </row>
    <row r="662" spans="1:3" x14ac:dyDescent="0.3">
      <c r="A662">
        <v>1976</v>
      </c>
      <c r="B662">
        <v>1976</v>
      </c>
      <c r="C662">
        <v>197900</v>
      </c>
    </row>
    <row r="663" spans="1:3" x14ac:dyDescent="0.3">
      <c r="A663">
        <v>1994</v>
      </c>
      <c r="B663">
        <v>2005</v>
      </c>
      <c r="C663">
        <v>402000</v>
      </c>
    </row>
    <row r="664" spans="1:3" x14ac:dyDescent="0.3">
      <c r="A664">
        <v>1968</v>
      </c>
      <c r="B664">
        <v>1968</v>
      </c>
      <c r="C664">
        <v>110000</v>
      </c>
    </row>
    <row r="665" spans="1:3" x14ac:dyDescent="0.3">
      <c r="A665">
        <v>1972</v>
      </c>
      <c r="B665">
        <v>1972</v>
      </c>
      <c r="C665">
        <v>137500</v>
      </c>
    </row>
    <row r="666" spans="1:3" x14ac:dyDescent="0.3">
      <c r="A666">
        <v>2005</v>
      </c>
      <c r="B666">
        <v>2006</v>
      </c>
      <c r="C666">
        <v>423000</v>
      </c>
    </row>
    <row r="667" spans="1:3" x14ac:dyDescent="0.3">
      <c r="A667">
        <v>2000</v>
      </c>
      <c r="B667">
        <v>2000</v>
      </c>
      <c r="C667">
        <v>230500</v>
      </c>
    </row>
    <row r="668" spans="1:3" x14ac:dyDescent="0.3">
      <c r="A668">
        <v>1965</v>
      </c>
      <c r="B668">
        <v>1979</v>
      </c>
      <c r="C668">
        <v>129000</v>
      </c>
    </row>
    <row r="669" spans="1:3" x14ac:dyDescent="0.3">
      <c r="A669">
        <v>1994</v>
      </c>
      <c r="B669">
        <v>1998</v>
      </c>
      <c r="C669">
        <v>193500</v>
      </c>
    </row>
    <row r="670" spans="1:3" x14ac:dyDescent="0.3">
      <c r="A670">
        <v>1956</v>
      </c>
      <c r="B670">
        <v>1987</v>
      </c>
      <c r="C670">
        <v>168000</v>
      </c>
    </row>
    <row r="671" spans="1:3" x14ac:dyDescent="0.3">
      <c r="A671">
        <v>1922</v>
      </c>
      <c r="B671">
        <v>1950</v>
      </c>
      <c r="C671">
        <v>137500</v>
      </c>
    </row>
    <row r="672" spans="1:3" x14ac:dyDescent="0.3">
      <c r="A672">
        <v>2005</v>
      </c>
      <c r="B672">
        <v>2005</v>
      </c>
      <c r="C672">
        <v>173500</v>
      </c>
    </row>
    <row r="673" spans="1:3" x14ac:dyDescent="0.3">
      <c r="A673">
        <v>1925</v>
      </c>
      <c r="B673">
        <v>1950</v>
      </c>
      <c r="C673">
        <v>103600</v>
      </c>
    </row>
    <row r="674" spans="1:3" x14ac:dyDescent="0.3">
      <c r="A674">
        <v>1977</v>
      </c>
      <c r="B674">
        <v>1977</v>
      </c>
      <c r="C674">
        <v>165000</v>
      </c>
    </row>
    <row r="675" spans="1:3" x14ac:dyDescent="0.3">
      <c r="A675">
        <v>1957</v>
      </c>
      <c r="B675">
        <v>2004</v>
      </c>
      <c r="C675">
        <v>257500</v>
      </c>
    </row>
    <row r="676" spans="1:3" x14ac:dyDescent="0.3">
      <c r="A676">
        <v>1965</v>
      </c>
      <c r="B676">
        <v>1965</v>
      </c>
      <c r="C676">
        <v>140000</v>
      </c>
    </row>
    <row r="677" spans="1:3" x14ac:dyDescent="0.3">
      <c r="A677">
        <v>1978</v>
      </c>
      <c r="B677">
        <v>1978</v>
      </c>
      <c r="C677">
        <v>148500</v>
      </c>
    </row>
    <row r="678" spans="1:3" x14ac:dyDescent="0.3">
      <c r="A678">
        <v>1900</v>
      </c>
      <c r="B678">
        <v>1950</v>
      </c>
      <c r="C678">
        <v>87000</v>
      </c>
    </row>
    <row r="679" spans="1:3" x14ac:dyDescent="0.3">
      <c r="A679">
        <v>1924</v>
      </c>
      <c r="B679">
        <v>2006</v>
      </c>
      <c r="C679">
        <v>109500</v>
      </c>
    </row>
    <row r="680" spans="1:3" x14ac:dyDescent="0.3">
      <c r="A680">
        <v>2008</v>
      </c>
      <c r="B680">
        <v>2008</v>
      </c>
      <c r="C680">
        <v>372500</v>
      </c>
    </row>
    <row r="681" spans="1:3" x14ac:dyDescent="0.3">
      <c r="A681">
        <v>1961</v>
      </c>
      <c r="B681">
        <v>1961</v>
      </c>
      <c r="C681">
        <v>128500</v>
      </c>
    </row>
    <row r="682" spans="1:3" x14ac:dyDescent="0.3">
      <c r="A682">
        <v>1980</v>
      </c>
      <c r="B682">
        <v>1980</v>
      </c>
      <c r="C682">
        <v>143000</v>
      </c>
    </row>
    <row r="683" spans="1:3" x14ac:dyDescent="0.3">
      <c r="A683">
        <v>1932</v>
      </c>
      <c r="B683">
        <v>2000</v>
      </c>
      <c r="C683">
        <v>159434</v>
      </c>
    </row>
    <row r="684" spans="1:3" x14ac:dyDescent="0.3">
      <c r="A684">
        <v>1996</v>
      </c>
      <c r="B684">
        <v>1997</v>
      </c>
      <c r="C684">
        <v>173000</v>
      </c>
    </row>
    <row r="685" spans="1:3" x14ac:dyDescent="0.3">
      <c r="A685">
        <v>2002</v>
      </c>
      <c r="B685">
        <v>2002</v>
      </c>
      <c r="C685">
        <v>285000</v>
      </c>
    </row>
    <row r="686" spans="1:3" x14ac:dyDescent="0.3">
      <c r="A686">
        <v>1998</v>
      </c>
      <c r="B686">
        <v>1998</v>
      </c>
      <c r="C686">
        <v>221000</v>
      </c>
    </row>
    <row r="687" spans="1:3" x14ac:dyDescent="0.3">
      <c r="A687">
        <v>1984</v>
      </c>
      <c r="B687">
        <v>1984</v>
      </c>
      <c r="C687">
        <v>207500</v>
      </c>
    </row>
    <row r="688" spans="1:3" x14ac:dyDescent="0.3">
      <c r="A688">
        <v>2007</v>
      </c>
      <c r="B688">
        <v>2007</v>
      </c>
      <c r="C688">
        <v>227875</v>
      </c>
    </row>
    <row r="689" spans="1:3" x14ac:dyDescent="0.3">
      <c r="A689">
        <v>2004</v>
      </c>
      <c r="B689">
        <v>2004</v>
      </c>
      <c r="C689">
        <v>148800</v>
      </c>
    </row>
    <row r="690" spans="1:3" x14ac:dyDescent="0.3">
      <c r="A690">
        <v>2007</v>
      </c>
      <c r="B690">
        <v>2007</v>
      </c>
      <c r="C690">
        <v>392000</v>
      </c>
    </row>
    <row r="691" spans="1:3" x14ac:dyDescent="0.3">
      <c r="A691">
        <v>2005</v>
      </c>
      <c r="B691">
        <v>2006</v>
      </c>
      <c r="C691">
        <v>194700</v>
      </c>
    </row>
    <row r="692" spans="1:3" x14ac:dyDescent="0.3">
      <c r="A692">
        <v>2004</v>
      </c>
      <c r="B692">
        <v>2004</v>
      </c>
      <c r="C692">
        <v>141000</v>
      </c>
    </row>
    <row r="693" spans="1:3" x14ac:dyDescent="0.3">
      <c r="A693">
        <v>1994</v>
      </c>
      <c r="B693">
        <v>1995</v>
      </c>
      <c r="C693">
        <v>755000</v>
      </c>
    </row>
    <row r="694" spans="1:3" x14ac:dyDescent="0.3">
      <c r="A694">
        <v>1989</v>
      </c>
      <c r="B694">
        <v>1990</v>
      </c>
      <c r="C694">
        <v>335000</v>
      </c>
    </row>
    <row r="695" spans="1:3" x14ac:dyDescent="0.3">
      <c r="A695">
        <v>1921</v>
      </c>
      <c r="B695">
        <v>1968</v>
      </c>
      <c r="C695">
        <v>108480</v>
      </c>
    </row>
    <row r="696" spans="1:3" x14ac:dyDescent="0.3">
      <c r="A696">
        <v>1936</v>
      </c>
      <c r="B696">
        <v>1950</v>
      </c>
      <c r="C696">
        <v>141500</v>
      </c>
    </row>
    <row r="697" spans="1:3" x14ac:dyDescent="0.3">
      <c r="A697">
        <v>1987</v>
      </c>
      <c r="B697">
        <v>1987</v>
      </c>
      <c r="C697">
        <v>176000</v>
      </c>
    </row>
    <row r="698" spans="1:3" x14ac:dyDescent="0.3">
      <c r="A698">
        <v>1921</v>
      </c>
      <c r="B698">
        <v>1950</v>
      </c>
      <c r="C698">
        <v>89000</v>
      </c>
    </row>
    <row r="699" spans="1:3" x14ac:dyDescent="0.3">
      <c r="A699">
        <v>1952</v>
      </c>
      <c r="B699">
        <v>1952</v>
      </c>
      <c r="C699">
        <v>123500</v>
      </c>
    </row>
    <row r="700" spans="1:3" x14ac:dyDescent="0.3">
      <c r="A700">
        <v>1965</v>
      </c>
      <c r="B700">
        <v>2009</v>
      </c>
      <c r="C700">
        <v>138500</v>
      </c>
    </row>
    <row r="701" spans="1:3" x14ac:dyDescent="0.3">
      <c r="A701">
        <v>2004</v>
      </c>
      <c r="B701">
        <v>2004</v>
      </c>
      <c r="C701">
        <v>196000</v>
      </c>
    </row>
    <row r="702" spans="1:3" x14ac:dyDescent="0.3">
      <c r="A702">
        <v>2002</v>
      </c>
      <c r="B702">
        <v>2002</v>
      </c>
      <c r="C702">
        <v>312500</v>
      </c>
    </row>
    <row r="703" spans="1:3" x14ac:dyDescent="0.3">
      <c r="A703">
        <v>1969</v>
      </c>
      <c r="B703">
        <v>1969</v>
      </c>
      <c r="C703">
        <v>140000</v>
      </c>
    </row>
    <row r="704" spans="1:3" x14ac:dyDescent="0.3">
      <c r="A704">
        <v>2006</v>
      </c>
      <c r="B704">
        <v>2006</v>
      </c>
      <c r="C704">
        <v>361919</v>
      </c>
    </row>
    <row r="705" spans="1:3" x14ac:dyDescent="0.3">
      <c r="A705">
        <v>1900</v>
      </c>
      <c r="B705">
        <v>1996</v>
      </c>
      <c r="C705">
        <v>140000</v>
      </c>
    </row>
    <row r="706" spans="1:3" x14ac:dyDescent="0.3">
      <c r="A706">
        <v>2004</v>
      </c>
      <c r="B706">
        <v>2005</v>
      </c>
      <c r="C706">
        <v>213000</v>
      </c>
    </row>
    <row r="707" spans="1:3" x14ac:dyDescent="0.3">
      <c r="A707">
        <v>1930</v>
      </c>
      <c r="B707">
        <v>1950</v>
      </c>
      <c r="C707">
        <v>55000</v>
      </c>
    </row>
    <row r="708" spans="1:3" x14ac:dyDescent="0.3">
      <c r="A708">
        <v>1971</v>
      </c>
      <c r="B708">
        <v>2002</v>
      </c>
      <c r="C708">
        <v>302000</v>
      </c>
    </row>
    <row r="709" spans="1:3" x14ac:dyDescent="0.3">
      <c r="A709">
        <v>2006</v>
      </c>
      <c r="B709">
        <v>2006</v>
      </c>
      <c r="C709">
        <v>254000</v>
      </c>
    </row>
    <row r="710" spans="1:3" x14ac:dyDescent="0.3">
      <c r="A710">
        <v>2007</v>
      </c>
      <c r="B710">
        <v>2007</v>
      </c>
      <c r="C710">
        <v>179540</v>
      </c>
    </row>
    <row r="711" spans="1:3" x14ac:dyDescent="0.3">
      <c r="A711">
        <v>1966</v>
      </c>
      <c r="B711">
        <v>1966</v>
      </c>
      <c r="C711">
        <v>109900</v>
      </c>
    </row>
    <row r="712" spans="1:3" x14ac:dyDescent="0.3">
      <c r="A712">
        <v>1935</v>
      </c>
      <c r="B712">
        <v>2003</v>
      </c>
      <c r="C712">
        <v>52000</v>
      </c>
    </row>
    <row r="713" spans="1:3" x14ac:dyDescent="0.3">
      <c r="A713">
        <v>1900</v>
      </c>
      <c r="B713">
        <v>1950</v>
      </c>
      <c r="C713">
        <v>102776</v>
      </c>
    </row>
    <row r="714" spans="1:3" x14ac:dyDescent="0.3">
      <c r="A714">
        <v>1988</v>
      </c>
      <c r="B714">
        <v>1989</v>
      </c>
      <c r="C714">
        <v>189000</v>
      </c>
    </row>
    <row r="715" spans="1:3" x14ac:dyDescent="0.3">
      <c r="A715">
        <v>1970</v>
      </c>
      <c r="B715">
        <v>1970</v>
      </c>
      <c r="C715">
        <v>129000</v>
      </c>
    </row>
    <row r="716" spans="1:3" x14ac:dyDescent="0.3">
      <c r="A716">
        <v>1976</v>
      </c>
      <c r="B716">
        <v>2005</v>
      </c>
      <c r="C716">
        <v>130500</v>
      </c>
    </row>
    <row r="717" spans="1:3" x14ac:dyDescent="0.3">
      <c r="A717">
        <v>1974</v>
      </c>
      <c r="B717">
        <v>1974</v>
      </c>
      <c r="C717">
        <v>165000</v>
      </c>
    </row>
    <row r="718" spans="1:3" x14ac:dyDescent="0.3">
      <c r="A718">
        <v>1890</v>
      </c>
      <c r="B718">
        <v>1998</v>
      </c>
      <c r="C718">
        <v>159500</v>
      </c>
    </row>
    <row r="719" spans="1:3" x14ac:dyDescent="0.3">
      <c r="A719">
        <v>1973</v>
      </c>
      <c r="B719">
        <v>2000</v>
      </c>
      <c r="C719">
        <v>157000</v>
      </c>
    </row>
    <row r="720" spans="1:3" x14ac:dyDescent="0.3">
      <c r="A720">
        <v>1993</v>
      </c>
      <c r="B720">
        <v>1994</v>
      </c>
      <c r="C720">
        <v>341000</v>
      </c>
    </row>
    <row r="721" spans="1:3" x14ac:dyDescent="0.3">
      <c r="A721">
        <v>1969</v>
      </c>
      <c r="B721">
        <v>1969</v>
      </c>
      <c r="C721">
        <v>128500</v>
      </c>
    </row>
    <row r="722" spans="1:3" x14ac:dyDescent="0.3">
      <c r="A722">
        <v>1985</v>
      </c>
      <c r="B722">
        <v>1985</v>
      </c>
      <c r="C722">
        <v>275000</v>
      </c>
    </row>
    <row r="723" spans="1:3" x14ac:dyDescent="0.3">
      <c r="A723">
        <v>2004</v>
      </c>
      <c r="B723">
        <v>2004</v>
      </c>
      <c r="C723">
        <v>143000</v>
      </c>
    </row>
    <row r="724" spans="1:3" x14ac:dyDescent="0.3">
      <c r="A724">
        <v>1970</v>
      </c>
      <c r="B724">
        <v>1970</v>
      </c>
      <c r="C724">
        <v>124500</v>
      </c>
    </row>
    <row r="725" spans="1:3" x14ac:dyDescent="0.3">
      <c r="A725">
        <v>1954</v>
      </c>
      <c r="B725">
        <v>1972</v>
      </c>
      <c r="C725">
        <v>135000</v>
      </c>
    </row>
    <row r="726" spans="1:3" x14ac:dyDescent="0.3">
      <c r="A726">
        <v>2007</v>
      </c>
      <c r="B726">
        <v>2008</v>
      </c>
      <c r="C726">
        <v>320000</v>
      </c>
    </row>
    <row r="727" spans="1:3" x14ac:dyDescent="0.3">
      <c r="A727">
        <v>1970</v>
      </c>
      <c r="B727">
        <v>1970</v>
      </c>
      <c r="C727">
        <v>120500</v>
      </c>
    </row>
    <row r="728" spans="1:3" x14ac:dyDescent="0.3">
      <c r="A728">
        <v>1988</v>
      </c>
      <c r="B728">
        <v>2007</v>
      </c>
      <c r="C728">
        <v>222000</v>
      </c>
    </row>
    <row r="729" spans="1:3" x14ac:dyDescent="0.3">
      <c r="A729">
        <v>2007</v>
      </c>
      <c r="B729">
        <v>2007</v>
      </c>
      <c r="C729">
        <v>194500</v>
      </c>
    </row>
    <row r="730" spans="1:3" x14ac:dyDescent="0.3">
      <c r="A730">
        <v>1958</v>
      </c>
      <c r="B730">
        <v>1958</v>
      </c>
      <c r="C730">
        <v>110000</v>
      </c>
    </row>
    <row r="731" spans="1:3" x14ac:dyDescent="0.3">
      <c r="A731">
        <v>1925</v>
      </c>
      <c r="B731">
        <v>1950</v>
      </c>
      <c r="C731">
        <v>103000</v>
      </c>
    </row>
    <row r="732" spans="1:3" x14ac:dyDescent="0.3">
      <c r="A732">
        <v>1995</v>
      </c>
      <c r="B732">
        <v>1996</v>
      </c>
      <c r="C732">
        <v>236500</v>
      </c>
    </row>
    <row r="733" spans="1:3" x14ac:dyDescent="0.3">
      <c r="A733">
        <v>2003</v>
      </c>
      <c r="B733">
        <v>2003</v>
      </c>
      <c r="C733">
        <v>187500</v>
      </c>
    </row>
    <row r="734" spans="1:3" x14ac:dyDescent="0.3">
      <c r="A734">
        <v>1998</v>
      </c>
      <c r="B734">
        <v>1999</v>
      </c>
      <c r="C734">
        <v>222500</v>
      </c>
    </row>
    <row r="735" spans="1:3" x14ac:dyDescent="0.3">
      <c r="A735">
        <v>1961</v>
      </c>
      <c r="B735">
        <v>1983</v>
      </c>
      <c r="C735">
        <v>131400</v>
      </c>
    </row>
    <row r="736" spans="1:3" x14ac:dyDescent="0.3">
      <c r="A736">
        <v>1968</v>
      </c>
      <c r="B736">
        <v>1968</v>
      </c>
      <c r="C736">
        <v>108000</v>
      </c>
    </row>
    <row r="737" spans="1:3" x14ac:dyDescent="0.3">
      <c r="A737">
        <v>1914</v>
      </c>
      <c r="B737">
        <v>1970</v>
      </c>
      <c r="C737">
        <v>163000</v>
      </c>
    </row>
    <row r="738" spans="1:3" x14ac:dyDescent="0.3">
      <c r="A738">
        <v>1950</v>
      </c>
      <c r="B738">
        <v>1950</v>
      </c>
      <c r="C738">
        <v>93500</v>
      </c>
    </row>
    <row r="739" spans="1:3" x14ac:dyDescent="0.3">
      <c r="A739">
        <v>2005</v>
      </c>
      <c r="B739">
        <v>2005</v>
      </c>
      <c r="C739">
        <v>239900</v>
      </c>
    </row>
    <row r="740" spans="1:3" x14ac:dyDescent="0.3">
      <c r="A740">
        <v>1987</v>
      </c>
      <c r="B740">
        <v>1988</v>
      </c>
      <c r="C740">
        <v>179000</v>
      </c>
    </row>
    <row r="741" spans="1:3" x14ac:dyDescent="0.3">
      <c r="A741">
        <v>2004</v>
      </c>
      <c r="B741">
        <v>2004</v>
      </c>
      <c r="C741">
        <v>190000</v>
      </c>
    </row>
    <row r="742" spans="1:3" x14ac:dyDescent="0.3">
      <c r="A742">
        <v>1910</v>
      </c>
      <c r="B742">
        <v>2002</v>
      </c>
      <c r="C742">
        <v>132000</v>
      </c>
    </row>
    <row r="743" spans="1:3" x14ac:dyDescent="0.3">
      <c r="A743">
        <v>1961</v>
      </c>
      <c r="B743">
        <v>1996</v>
      </c>
      <c r="C743">
        <v>142000</v>
      </c>
    </row>
    <row r="744" spans="1:3" x14ac:dyDescent="0.3">
      <c r="A744">
        <v>2000</v>
      </c>
      <c r="B744">
        <v>2001</v>
      </c>
      <c r="C744">
        <v>179000</v>
      </c>
    </row>
    <row r="745" spans="1:3" x14ac:dyDescent="0.3">
      <c r="A745">
        <v>1963</v>
      </c>
      <c r="B745">
        <v>1999</v>
      </c>
      <c r="C745">
        <v>175000</v>
      </c>
    </row>
    <row r="746" spans="1:3" x14ac:dyDescent="0.3">
      <c r="A746">
        <v>1993</v>
      </c>
      <c r="B746">
        <v>1993</v>
      </c>
      <c r="C746">
        <v>180000</v>
      </c>
    </row>
    <row r="747" spans="1:3" x14ac:dyDescent="0.3">
      <c r="A747">
        <v>1976</v>
      </c>
      <c r="B747">
        <v>1996</v>
      </c>
      <c r="C747">
        <v>299800</v>
      </c>
    </row>
    <row r="748" spans="1:3" x14ac:dyDescent="0.3">
      <c r="A748">
        <v>2000</v>
      </c>
      <c r="B748">
        <v>2000</v>
      </c>
      <c r="C748">
        <v>236000</v>
      </c>
    </row>
    <row r="749" spans="1:3" x14ac:dyDescent="0.3">
      <c r="A749">
        <v>1880</v>
      </c>
      <c r="B749">
        <v>2003</v>
      </c>
      <c r="C749">
        <v>265979</v>
      </c>
    </row>
    <row r="750" spans="1:3" x14ac:dyDescent="0.3">
      <c r="A750">
        <v>1996</v>
      </c>
      <c r="B750">
        <v>1996</v>
      </c>
      <c r="C750">
        <v>260400</v>
      </c>
    </row>
    <row r="751" spans="1:3" x14ac:dyDescent="0.3">
      <c r="A751">
        <v>1945</v>
      </c>
      <c r="B751">
        <v>1950</v>
      </c>
      <c r="C751">
        <v>98000</v>
      </c>
    </row>
    <row r="752" spans="1:3" x14ac:dyDescent="0.3">
      <c r="A752">
        <v>1910</v>
      </c>
      <c r="B752">
        <v>2004</v>
      </c>
      <c r="C752">
        <v>96500</v>
      </c>
    </row>
    <row r="753" spans="1:3" x14ac:dyDescent="0.3">
      <c r="A753">
        <v>2003</v>
      </c>
      <c r="B753">
        <v>2003</v>
      </c>
      <c r="C753">
        <v>162000</v>
      </c>
    </row>
    <row r="754" spans="1:3" x14ac:dyDescent="0.3">
      <c r="A754">
        <v>1997</v>
      </c>
      <c r="B754">
        <v>1997</v>
      </c>
      <c r="C754">
        <v>217000</v>
      </c>
    </row>
    <row r="755" spans="1:3" x14ac:dyDescent="0.3">
      <c r="A755">
        <v>2005</v>
      </c>
      <c r="B755">
        <v>2005</v>
      </c>
      <c r="C755">
        <v>275500</v>
      </c>
    </row>
    <row r="756" spans="1:3" x14ac:dyDescent="0.3">
      <c r="A756">
        <v>1969</v>
      </c>
      <c r="B756">
        <v>2005</v>
      </c>
      <c r="C756">
        <v>156000</v>
      </c>
    </row>
    <row r="757" spans="1:3" x14ac:dyDescent="0.3">
      <c r="A757">
        <v>1999</v>
      </c>
      <c r="B757">
        <v>1999</v>
      </c>
      <c r="C757">
        <v>172500</v>
      </c>
    </row>
    <row r="758" spans="1:3" x14ac:dyDescent="0.3">
      <c r="A758">
        <v>2007</v>
      </c>
      <c r="B758">
        <v>2007</v>
      </c>
      <c r="C758">
        <v>212000</v>
      </c>
    </row>
    <row r="759" spans="1:3" x14ac:dyDescent="0.3">
      <c r="A759">
        <v>1978</v>
      </c>
      <c r="B759">
        <v>1978</v>
      </c>
      <c r="C759">
        <v>158900</v>
      </c>
    </row>
    <row r="760" spans="1:3" x14ac:dyDescent="0.3">
      <c r="A760">
        <v>1999</v>
      </c>
      <c r="B760">
        <v>1999</v>
      </c>
      <c r="C760">
        <v>179400</v>
      </c>
    </row>
    <row r="761" spans="1:3" x14ac:dyDescent="0.3">
      <c r="A761">
        <v>1995</v>
      </c>
      <c r="B761">
        <v>1995</v>
      </c>
      <c r="C761">
        <v>290000</v>
      </c>
    </row>
    <row r="762" spans="1:3" x14ac:dyDescent="0.3">
      <c r="A762">
        <v>1959</v>
      </c>
      <c r="B762">
        <v>1959</v>
      </c>
      <c r="C762">
        <v>127500</v>
      </c>
    </row>
    <row r="763" spans="1:3" x14ac:dyDescent="0.3">
      <c r="A763">
        <v>1924</v>
      </c>
      <c r="B763">
        <v>1950</v>
      </c>
      <c r="C763">
        <v>100000</v>
      </c>
    </row>
    <row r="764" spans="1:3" x14ac:dyDescent="0.3">
      <c r="A764">
        <v>2009</v>
      </c>
      <c r="B764">
        <v>2009</v>
      </c>
      <c r="C764">
        <v>215200</v>
      </c>
    </row>
    <row r="765" spans="1:3" x14ac:dyDescent="0.3">
      <c r="A765">
        <v>1999</v>
      </c>
      <c r="B765">
        <v>1999</v>
      </c>
      <c r="C765">
        <v>337000</v>
      </c>
    </row>
    <row r="766" spans="1:3" x14ac:dyDescent="0.3">
      <c r="A766">
        <v>1995</v>
      </c>
      <c r="B766">
        <v>1996</v>
      </c>
      <c r="C766">
        <v>270000</v>
      </c>
    </row>
    <row r="767" spans="1:3" x14ac:dyDescent="0.3">
      <c r="A767">
        <v>2008</v>
      </c>
      <c r="B767">
        <v>2008</v>
      </c>
      <c r="C767">
        <v>264132</v>
      </c>
    </row>
    <row r="768" spans="1:3" x14ac:dyDescent="0.3">
      <c r="A768">
        <v>1988</v>
      </c>
      <c r="B768">
        <v>1988</v>
      </c>
      <c r="C768">
        <v>196500</v>
      </c>
    </row>
    <row r="769" spans="1:3" x14ac:dyDescent="0.3">
      <c r="A769">
        <v>1940</v>
      </c>
      <c r="B769">
        <v>1985</v>
      </c>
      <c r="C769">
        <v>160000</v>
      </c>
    </row>
    <row r="770" spans="1:3" x14ac:dyDescent="0.3">
      <c r="A770">
        <v>2004</v>
      </c>
      <c r="B770">
        <v>2005</v>
      </c>
      <c r="C770">
        <v>216837</v>
      </c>
    </row>
    <row r="771" spans="1:3" x14ac:dyDescent="0.3">
      <c r="A771">
        <v>2003</v>
      </c>
      <c r="B771">
        <v>2003</v>
      </c>
      <c r="C771">
        <v>538000</v>
      </c>
    </row>
    <row r="772" spans="1:3" x14ac:dyDescent="0.3">
      <c r="A772">
        <v>1982</v>
      </c>
      <c r="B772">
        <v>1982</v>
      </c>
      <c r="C772">
        <v>134900</v>
      </c>
    </row>
    <row r="773" spans="1:3" x14ac:dyDescent="0.3">
      <c r="A773">
        <v>1951</v>
      </c>
      <c r="B773">
        <v>1951</v>
      </c>
      <c r="C773">
        <v>102000</v>
      </c>
    </row>
    <row r="774" spans="1:3" x14ac:dyDescent="0.3">
      <c r="A774">
        <v>1976</v>
      </c>
      <c r="B774">
        <v>1976</v>
      </c>
      <c r="C774">
        <v>107000</v>
      </c>
    </row>
    <row r="775" spans="1:3" x14ac:dyDescent="0.3">
      <c r="A775">
        <v>1958</v>
      </c>
      <c r="B775">
        <v>1958</v>
      </c>
      <c r="C775">
        <v>114500</v>
      </c>
    </row>
    <row r="776" spans="1:3" x14ac:dyDescent="0.3">
      <c r="A776">
        <v>2006</v>
      </c>
      <c r="B776">
        <v>2006</v>
      </c>
      <c r="C776">
        <v>395000</v>
      </c>
    </row>
    <row r="777" spans="1:3" x14ac:dyDescent="0.3">
      <c r="A777">
        <v>1998</v>
      </c>
      <c r="B777">
        <v>1998</v>
      </c>
      <c r="C777">
        <v>162000</v>
      </c>
    </row>
    <row r="778" spans="1:3" x14ac:dyDescent="0.3">
      <c r="A778">
        <v>2005</v>
      </c>
      <c r="B778">
        <v>2006</v>
      </c>
      <c r="C778">
        <v>221500</v>
      </c>
    </row>
    <row r="779" spans="1:3" x14ac:dyDescent="0.3">
      <c r="A779">
        <v>1974</v>
      </c>
      <c r="B779">
        <v>1974</v>
      </c>
      <c r="C779">
        <v>142500</v>
      </c>
    </row>
    <row r="780" spans="1:3" x14ac:dyDescent="0.3">
      <c r="A780">
        <v>1977</v>
      </c>
      <c r="B780">
        <v>1977</v>
      </c>
      <c r="C780">
        <v>144000</v>
      </c>
    </row>
    <row r="781" spans="1:3" x14ac:dyDescent="0.3">
      <c r="A781">
        <v>1977</v>
      </c>
      <c r="B781">
        <v>1977</v>
      </c>
      <c r="C781">
        <v>135000</v>
      </c>
    </row>
    <row r="782" spans="1:3" x14ac:dyDescent="0.3">
      <c r="A782">
        <v>1995</v>
      </c>
      <c r="B782">
        <v>1996</v>
      </c>
      <c r="C782">
        <v>176000</v>
      </c>
    </row>
    <row r="783" spans="1:3" x14ac:dyDescent="0.3">
      <c r="A783">
        <v>1992</v>
      </c>
      <c r="B783">
        <v>1992</v>
      </c>
      <c r="C783">
        <v>175900</v>
      </c>
    </row>
    <row r="784" spans="1:3" x14ac:dyDescent="0.3">
      <c r="A784">
        <v>2001</v>
      </c>
      <c r="B784">
        <v>2002</v>
      </c>
      <c r="C784">
        <v>187100</v>
      </c>
    </row>
    <row r="785" spans="1:3" x14ac:dyDescent="0.3">
      <c r="A785">
        <v>1978</v>
      </c>
      <c r="B785">
        <v>1978</v>
      </c>
      <c r="C785">
        <v>165500</v>
      </c>
    </row>
    <row r="786" spans="1:3" x14ac:dyDescent="0.3">
      <c r="A786">
        <v>1914</v>
      </c>
      <c r="B786">
        <v>2001</v>
      </c>
      <c r="C786">
        <v>128000</v>
      </c>
    </row>
    <row r="787" spans="1:3" x14ac:dyDescent="0.3">
      <c r="A787">
        <v>1967</v>
      </c>
      <c r="B787">
        <v>1967</v>
      </c>
      <c r="C787">
        <v>161500</v>
      </c>
    </row>
    <row r="788" spans="1:3" x14ac:dyDescent="0.3">
      <c r="A788">
        <v>1915</v>
      </c>
      <c r="B788">
        <v>1950</v>
      </c>
      <c r="C788">
        <v>139000</v>
      </c>
    </row>
    <row r="789" spans="1:3" x14ac:dyDescent="0.3">
      <c r="A789">
        <v>2004</v>
      </c>
      <c r="B789">
        <v>2004</v>
      </c>
      <c r="C789">
        <v>233000</v>
      </c>
    </row>
    <row r="790" spans="1:3" x14ac:dyDescent="0.3">
      <c r="A790">
        <v>1954</v>
      </c>
      <c r="B790">
        <v>2000</v>
      </c>
      <c r="C790">
        <v>107900</v>
      </c>
    </row>
    <row r="791" spans="1:3" x14ac:dyDescent="0.3">
      <c r="A791">
        <v>1966</v>
      </c>
      <c r="B791">
        <v>2007</v>
      </c>
      <c r="C791">
        <v>187500</v>
      </c>
    </row>
    <row r="792" spans="1:3" x14ac:dyDescent="0.3">
      <c r="A792">
        <v>2005</v>
      </c>
      <c r="B792">
        <v>2006</v>
      </c>
      <c r="C792">
        <v>160200</v>
      </c>
    </row>
    <row r="793" spans="1:3" x14ac:dyDescent="0.3">
      <c r="A793">
        <v>1976</v>
      </c>
      <c r="B793">
        <v>1976</v>
      </c>
      <c r="C793">
        <v>146800</v>
      </c>
    </row>
    <row r="794" spans="1:3" x14ac:dyDescent="0.3">
      <c r="A794">
        <v>1996</v>
      </c>
      <c r="B794">
        <v>1997</v>
      </c>
      <c r="C794">
        <v>269790</v>
      </c>
    </row>
    <row r="795" spans="1:3" x14ac:dyDescent="0.3">
      <c r="A795">
        <v>2007</v>
      </c>
      <c r="B795">
        <v>2007</v>
      </c>
      <c r="C795">
        <v>225000</v>
      </c>
    </row>
    <row r="796" spans="1:3" x14ac:dyDescent="0.3">
      <c r="A796">
        <v>1994</v>
      </c>
      <c r="B796">
        <v>1996</v>
      </c>
      <c r="C796">
        <v>194500</v>
      </c>
    </row>
    <row r="797" spans="1:3" x14ac:dyDescent="0.3">
      <c r="A797">
        <v>1980</v>
      </c>
      <c r="B797">
        <v>1981</v>
      </c>
      <c r="C797">
        <v>171000</v>
      </c>
    </row>
    <row r="798" spans="1:3" x14ac:dyDescent="0.3">
      <c r="A798">
        <v>1977</v>
      </c>
      <c r="B798">
        <v>1977</v>
      </c>
      <c r="C798">
        <v>143500</v>
      </c>
    </row>
    <row r="799" spans="1:3" x14ac:dyDescent="0.3">
      <c r="A799">
        <v>1953</v>
      </c>
      <c r="B799">
        <v>1953</v>
      </c>
      <c r="C799">
        <v>110000</v>
      </c>
    </row>
    <row r="800" spans="1:3" x14ac:dyDescent="0.3">
      <c r="A800">
        <v>2008</v>
      </c>
      <c r="B800">
        <v>2009</v>
      </c>
      <c r="C800">
        <v>485000</v>
      </c>
    </row>
    <row r="801" spans="1:3" x14ac:dyDescent="0.3">
      <c r="A801">
        <v>1937</v>
      </c>
      <c r="B801">
        <v>1950</v>
      </c>
      <c r="C801">
        <v>175000</v>
      </c>
    </row>
    <row r="802" spans="1:3" x14ac:dyDescent="0.3">
      <c r="A802">
        <v>1997</v>
      </c>
      <c r="B802">
        <v>1997</v>
      </c>
      <c r="C802">
        <v>200000</v>
      </c>
    </row>
    <row r="803" spans="1:3" x14ac:dyDescent="0.3">
      <c r="A803">
        <v>1916</v>
      </c>
      <c r="B803">
        <v>1990</v>
      </c>
      <c r="C803">
        <v>109900</v>
      </c>
    </row>
    <row r="804" spans="1:3" x14ac:dyDescent="0.3">
      <c r="A804">
        <v>2005</v>
      </c>
      <c r="B804">
        <v>2005</v>
      </c>
      <c r="C804">
        <v>189000</v>
      </c>
    </row>
    <row r="805" spans="1:3" x14ac:dyDescent="0.3">
      <c r="A805">
        <v>2008</v>
      </c>
      <c r="B805">
        <v>2009</v>
      </c>
      <c r="C805">
        <v>582933</v>
      </c>
    </row>
    <row r="806" spans="1:3" x14ac:dyDescent="0.3">
      <c r="A806">
        <v>1954</v>
      </c>
      <c r="B806">
        <v>1954</v>
      </c>
      <c r="C806">
        <v>118000</v>
      </c>
    </row>
    <row r="807" spans="1:3" x14ac:dyDescent="0.3">
      <c r="A807">
        <v>2008</v>
      </c>
      <c r="B807">
        <v>2008</v>
      </c>
      <c r="C807">
        <v>227680</v>
      </c>
    </row>
    <row r="808" spans="1:3" x14ac:dyDescent="0.3">
      <c r="A808">
        <v>1967</v>
      </c>
      <c r="B808">
        <v>1967</v>
      </c>
      <c r="C808">
        <v>135500</v>
      </c>
    </row>
    <row r="809" spans="1:3" x14ac:dyDescent="0.3">
      <c r="A809">
        <v>1923</v>
      </c>
      <c r="B809">
        <v>2004</v>
      </c>
      <c r="C809">
        <v>223500</v>
      </c>
    </row>
    <row r="810" spans="1:3" x14ac:dyDescent="0.3">
      <c r="A810">
        <v>1966</v>
      </c>
      <c r="B810">
        <v>1966</v>
      </c>
      <c r="C810">
        <v>159950</v>
      </c>
    </row>
    <row r="811" spans="1:3" x14ac:dyDescent="0.3">
      <c r="A811">
        <v>1898</v>
      </c>
      <c r="B811">
        <v>1965</v>
      </c>
      <c r="C811">
        <v>106000</v>
      </c>
    </row>
    <row r="812" spans="1:3" x14ac:dyDescent="0.3">
      <c r="A812">
        <v>1974</v>
      </c>
      <c r="B812">
        <v>1999</v>
      </c>
      <c r="C812">
        <v>181000</v>
      </c>
    </row>
    <row r="813" spans="1:3" x14ac:dyDescent="0.3">
      <c r="A813">
        <v>2004</v>
      </c>
      <c r="B813">
        <v>2004</v>
      </c>
      <c r="C813">
        <v>144500</v>
      </c>
    </row>
    <row r="814" spans="1:3" x14ac:dyDescent="0.3">
      <c r="A814">
        <v>1952</v>
      </c>
      <c r="B814">
        <v>1952</v>
      </c>
      <c r="C814">
        <v>55993</v>
      </c>
    </row>
    <row r="815" spans="1:3" x14ac:dyDescent="0.3">
      <c r="A815">
        <v>1958</v>
      </c>
      <c r="B815">
        <v>1958</v>
      </c>
      <c r="C815">
        <v>157900</v>
      </c>
    </row>
    <row r="816" spans="1:3" x14ac:dyDescent="0.3">
      <c r="A816">
        <v>1918</v>
      </c>
      <c r="B816">
        <v>1950</v>
      </c>
      <c r="C816">
        <v>116000</v>
      </c>
    </row>
    <row r="817" spans="1:3" x14ac:dyDescent="0.3">
      <c r="A817">
        <v>1998</v>
      </c>
      <c r="B817">
        <v>1998</v>
      </c>
      <c r="C817">
        <v>224900</v>
      </c>
    </row>
    <row r="818" spans="1:3" x14ac:dyDescent="0.3">
      <c r="A818">
        <v>1954</v>
      </c>
      <c r="B818">
        <v>1954</v>
      </c>
      <c r="C818">
        <v>137000</v>
      </c>
    </row>
    <row r="819" spans="1:3" x14ac:dyDescent="0.3">
      <c r="A819">
        <v>2002</v>
      </c>
      <c r="B819">
        <v>2002</v>
      </c>
      <c r="C819">
        <v>271000</v>
      </c>
    </row>
    <row r="820" spans="1:3" x14ac:dyDescent="0.3">
      <c r="A820">
        <v>1971</v>
      </c>
      <c r="B820">
        <v>1971</v>
      </c>
      <c r="C820">
        <v>155000</v>
      </c>
    </row>
    <row r="821" spans="1:3" x14ac:dyDescent="0.3">
      <c r="A821">
        <v>2009</v>
      </c>
      <c r="B821">
        <v>2010</v>
      </c>
      <c r="C821">
        <v>224000</v>
      </c>
    </row>
    <row r="822" spans="1:3" x14ac:dyDescent="0.3">
      <c r="A822">
        <v>2003</v>
      </c>
      <c r="B822">
        <v>2003</v>
      </c>
      <c r="C822">
        <v>183000</v>
      </c>
    </row>
    <row r="823" spans="1:3" x14ac:dyDescent="0.3">
      <c r="A823">
        <v>1953</v>
      </c>
      <c r="B823">
        <v>1953</v>
      </c>
      <c r="C823">
        <v>93000</v>
      </c>
    </row>
    <row r="824" spans="1:3" x14ac:dyDescent="0.3">
      <c r="A824">
        <v>2003</v>
      </c>
      <c r="B824">
        <v>2003</v>
      </c>
      <c r="C824">
        <v>225000</v>
      </c>
    </row>
    <row r="825" spans="1:3" x14ac:dyDescent="0.3">
      <c r="A825">
        <v>1940</v>
      </c>
      <c r="B825">
        <v>1950</v>
      </c>
      <c r="C825">
        <v>139500</v>
      </c>
    </row>
    <row r="826" spans="1:3" x14ac:dyDescent="0.3">
      <c r="A826">
        <v>2006</v>
      </c>
      <c r="B826">
        <v>2006</v>
      </c>
      <c r="C826">
        <v>232600</v>
      </c>
    </row>
    <row r="827" spans="1:3" x14ac:dyDescent="0.3">
      <c r="A827">
        <v>2007</v>
      </c>
      <c r="B827">
        <v>2008</v>
      </c>
      <c r="C827">
        <v>385000</v>
      </c>
    </row>
    <row r="828" spans="1:3" x14ac:dyDescent="0.3">
      <c r="A828">
        <v>1924</v>
      </c>
      <c r="B828">
        <v>1950</v>
      </c>
      <c r="C828">
        <v>109500</v>
      </c>
    </row>
    <row r="829" spans="1:3" x14ac:dyDescent="0.3">
      <c r="A829">
        <v>2001</v>
      </c>
      <c r="B829">
        <v>2001</v>
      </c>
      <c r="C829">
        <v>189000</v>
      </c>
    </row>
    <row r="830" spans="1:3" x14ac:dyDescent="0.3">
      <c r="A830">
        <v>1967</v>
      </c>
      <c r="B830">
        <v>1967</v>
      </c>
      <c r="C830">
        <v>185000</v>
      </c>
    </row>
    <row r="831" spans="1:3" x14ac:dyDescent="0.3">
      <c r="A831">
        <v>2005</v>
      </c>
      <c r="B831">
        <v>2005</v>
      </c>
      <c r="C831">
        <v>147400</v>
      </c>
    </row>
    <row r="832" spans="1:3" x14ac:dyDescent="0.3">
      <c r="A832">
        <v>1957</v>
      </c>
      <c r="B832">
        <v>1957</v>
      </c>
      <c r="C832">
        <v>166000</v>
      </c>
    </row>
    <row r="833" spans="1:3" x14ac:dyDescent="0.3">
      <c r="A833">
        <v>2005</v>
      </c>
      <c r="B833">
        <v>2005</v>
      </c>
      <c r="C833">
        <v>151000</v>
      </c>
    </row>
    <row r="834" spans="1:3" x14ac:dyDescent="0.3">
      <c r="A834">
        <v>2003</v>
      </c>
      <c r="B834">
        <v>2003</v>
      </c>
      <c r="C834">
        <v>237000</v>
      </c>
    </row>
    <row r="835" spans="1:3" x14ac:dyDescent="0.3">
      <c r="A835">
        <v>1964</v>
      </c>
      <c r="B835">
        <v>1964</v>
      </c>
      <c r="C835">
        <v>167000</v>
      </c>
    </row>
    <row r="836" spans="1:3" x14ac:dyDescent="0.3">
      <c r="A836">
        <v>1961</v>
      </c>
      <c r="B836">
        <v>1961</v>
      </c>
      <c r="C836">
        <v>139950</v>
      </c>
    </row>
    <row r="837" spans="1:3" x14ac:dyDescent="0.3">
      <c r="A837">
        <v>1950</v>
      </c>
      <c r="B837">
        <v>1995</v>
      </c>
      <c r="C837">
        <v>128000</v>
      </c>
    </row>
    <row r="838" spans="1:3" x14ac:dyDescent="0.3">
      <c r="A838">
        <v>1948</v>
      </c>
      <c r="B838">
        <v>1973</v>
      </c>
      <c r="C838">
        <v>153500</v>
      </c>
    </row>
    <row r="839" spans="1:3" x14ac:dyDescent="0.3">
      <c r="A839">
        <v>1973</v>
      </c>
      <c r="B839">
        <v>1973</v>
      </c>
      <c r="C839">
        <v>100000</v>
      </c>
    </row>
    <row r="840" spans="1:3" x14ac:dyDescent="0.3">
      <c r="A840">
        <v>1995</v>
      </c>
      <c r="B840">
        <v>2006</v>
      </c>
      <c r="C840">
        <v>144000</v>
      </c>
    </row>
    <row r="841" spans="1:3" x14ac:dyDescent="0.3">
      <c r="A841">
        <v>1946</v>
      </c>
      <c r="B841">
        <v>1995</v>
      </c>
      <c r="C841">
        <v>130500</v>
      </c>
    </row>
    <row r="842" spans="1:3" x14ac:dyDescent="0.3">
      <c r="A842">
        <v>1925</v>
      </c>
      <c r="B842">
        <v>1950</v>
      </c>
      <c r="C842">
        <v>140000</v>
      </c>
    </row>
    <row r="843" spans="1:3" x14ac:dyDescent="0.3">
      <c r="A843">
        <v>1904</v>
      </c>
      <c r="B843">
        <v>2002</v>
      </c>
      <c r="C843">
        <v>157500</v>
      </c>
    </row>
    <row r="844" spans="1:3" x14ac:dyDescent="0.3">
      <c r="A844">
        <v>1966</v>
      </c>
      <c r="B844">
        <v>1966</v>
      </c>
      <c r="C844">
        <v>174900</v>
      </c>
    </row>
    <row r="845" spans="1:3" x14ac:dyDescent="0.3">
      <c r="A845">
        <v>1961</v>
      </c>
      <c r="B845">
        <v>1961</v>
      </c>
      <c r="C845">
        <v>141000</v>
      </c>
    </row>
    <row r="846" spans="1:3" x14ac:dyDescent="0.3">
      <c r="A846">
        <v>1915</v>
      </c>
      <c r="B846">
        <v>1950</v>
      </c>
      <c r="C846">
        <v>153900</v>
      </c>
    </row>
    <row r="847" spans="1:3" x14ac:dyDescent="0.3">
      <c r="A847">
        <v>1975</v>
      </c>
      <c r="B847">
        <v>1981</v>
      </c>
      <c r="C847">
        <v>171000</v>
      </c>
    </row>
    <row r="848" spans="1:3" x14ac:dyDescent="0.3">
      <c r="A848">
        <v>1993</v>
      </c>
      <c r="B848">
        <v>1993</v>
      </c>
      <c r="C848">
        <v>213000</v>
      </c>
    </row>
    <row r="849" spans="1:3" x14ac:dyDescent="0.3">
      <c r="A849">
        <v>1972</v>
      </c>
      <c r="B849">
        <v>1972</v>
      </c>
      <c r="C849">
        <v>133500</v>
      </c>
    </row>
    <row r="850" spans="1:3" x14ac:dyDescent="0.3">
      <c r="A850">
        <v>1908</v>
      </c>
      <c r="B850">
        <v>1997</v>
      </c>
      <c r="C850">
        <v>240000</v>
      </c>
    </row>
    <row r="851" spans="1:3" x14ac:dyDescent="0.3">
      <c r="A851">
        <v>1976</v>
      </c>
      <c r="B851">
        <v>1994</v>
      </c>
      <c r="C851">
        <v>187000</v>
      </c>
    </row>
    <row r="852" spans="1:3" x14ac:dyDescent="0.3">
      <c r="A852">
        <v>2003</v>
      </c>
      <c r="B852">
        <v>2003</v>
      </c>
      <c r="C852">
        <v>131500</v>
      </c>
    </row>
    <row r="853" spans="1:3" x14ac:dyDescent="0.3">
      <c r="A853">
        <v>2003</v>
      </c>
      <c r="B853">
        <v>2003</v>
      </c>
      <c r="C853">
        <v>215000</v>
      </c>
    </row>
    <row r="854" spans="1:3" x14ac:dyDescent="0.3">
      <c r="A854">
        <v>1941</v>
      </c>
      <c r="B854">
        <v>1950</v>
      </c>
      <c r="C854">
        <v>164000</v>
      </c>
    </row>
    <row r="855" spans="1:3" x14ac:dyDescent="0.3">
      <c r="A855">
        <v>1964</v>
      </c>
      <c r="B855">
        <v>1964</v>
      </c>
      <c r="C855">
        <v>158000</v>
      </c>
    </row>
    <row r="856" spans="1:3" x14ac:dyDescent="0.3">
      <c r="A856">
        <v>1955</v>
      </c>
      <c r="B856">
        <v>1974</v>
      </c>
      <c r="C856">
        <v>170000</v>
      </c>
    </row>
    <row r="857" spans="1:3" x14ac:dyDescent="0.3">
      <c r="A857">
        <v>1962</v>
      </c>
      <c r="B857">
        <v>2010</v>
      </c>
      <c r="C857">
        <v>127000</v>
      </c>
    </row>
    <row r="858" spans="1:3" x14ac:dyDescent="0.3">
      <c r="A858">
        <v>1978</v>
      </c>
      <c r="B858">
        <v>1978</v>
      </c>
      <c r="C858">
        <v>147000</v>
      </c>
    </row>
    <row r="859" spans="1:3" x14ac:dyDescent="0.3">
      <c r="A859">
        <v>1994</v>
      </c>
      <c r="B859">
        <v>1995</v>
      </c>
      <c r="C859">
        <v>174000</v>
      </c>
    </row>
    <row r="860" spans="1:3" x14ac:dyDescent="0.3">
      <c r="A860">
        <v>1976</v>
      </c>
      <c r="B860">
        <v>1976</v>
      </c>
      <c r="C860">
        <v>152000</v>
      </c>
    </row>
    <row r="861" spans="1:3" x14ac:dyDescent="0.3">
      <c r="A861">
        <v>1968</v>
      </c>
      <c r="B861">
        <v>1984</v>
      </c>
      <c r="C861">
        <v>250000</v>
      </c>
    </row>
    <row r="862" spans="1:3" x14ac:dyDescent="0.3">
      <c r="A862">
        <v>1918</v>
      </c>
      <c r="B862">
        <v>1998</v>
      </c>
      <c r="C862">
        <v>189950</v>
      </c>
    </row>
    <row r="863" spans="1:3" x14ac:dyDescent="0.3">
      <c r="A863">
        <v>1965</v>
      </c>
      <c r="B863">
        <v>1965</v>
      </c>
      <c r="C863">
        <v>131500</v>
      </c>
    </row>
    <row r="864" spans="1:3" x14ac:dyDescent="0.3">
      <c r="A864">
        <v>1984</v>
      </c>
      <c r="B864">
        <v>1985</v>
      </c>
      <c r="C864">
        <v>152000</v>
      </c>
    </row>
    <row r="865" spans="1:3" x14ac:dyDescent="0.3">
      <c r="A865">
        <v>1959</v>
      </c>
      <c r="B865">
        <v>1959</v>
      </c>
      <c r="C865">
        <v>132500</v>
      </c>
    </row>
    <row r="866" spans="1:3" x14ac:dyDescent="0.3">
      <c r="A866">
        <v>2007</v>
      </c>
      <c r="B866">
        <v>2008</v>
      </c>
      <c r="C866">
        <v>250580</v>
      </c>
    </row>
    <row r="867" spans="1:3" x14ac:dyDescent="0.3">
      <c r="A867">
        <v>1970</v>
      </c>
      <c r="B867">
        <v>1970</v>
      </c>
      <c r="C867">
        <v>148500</v>
      </c>
    </row>
    <row r="868" spans="1:3" x14ac:dyDescent="0.3">
      <c r="A868">
        <v>2006</v>
      </c>
      <c r="B868">
        <v>2007</v>
      </c>
      <c r="C868">
        <v>248900</v>
      </c>
    </row>
    <row r="869" spans="1:3" x14ac:dyDescent="0.3">
      <c r="A869">
        <v>1961</v>
      </c>
      <c r="B869">
        <v>1961</v>
      </c>
      <c r="C869">
        <v>129000</v>
      </c>
    </row>
    <row r="870" spans="1:3" x14ac:dyDescent="0.3">
      <c r="A870">
        <v>1948</v>
      </c>
      <c r="B870">
        <v>1950</v>
      </c>
      <c r="C870">
        <v>169000</v>
      </c>
    </row>
    <row r="871" spans="1:3" x14ac:dyDescent="0.3">
      <c r="A871">
        <v>1993</v>
      </c>
      <c r="B871">
        <v>1994</v>
      </c>
      <c r="C871">
        <v>236000</v>
      </c>
    </row>
    <row r="872" spans="1:3" x14ac:dyDescent="0.3">
      <c r="A872">
        <v>1962</v>
      </c>
      <c r="B872">
        <v>1962</v>
      </c>
      <c r="C872">
        <v>109500</v>
      </c>
    </row>
    <row r="873" spans="1:3" x14ac:dyDescent="0.3">
      <c r="A873">
        <v>1998</v>
      </c>
      <c r="B873">
        <v>1998</v>
      </c>
      <c r="C873">
        <v>200500</v>
      </c>
    </row>
    <row r="874" spans="1:3" x14ac:dyDescent="0.3">
      <c r="A874">
        <v>1953</v>
      </c>
      <c r="B874">
        <v>1996</v>
      </c>
      <c r="C874">
        <v>116000</v>
      </c>
    </row>
    <row r="875" spans="1:3" x14ac:dyDescent="0.3">
      <c r="A875">
        <v>1949</v>
      </c>
      <c r="B875">
        <v>1950</v>
      </c>
      <c r="C875">
        <v>133000</v>
      </c>
    </row>
    <row r="876" spans="1:3" x14ac:dyDescent="0.3">
      <c r="A876">
        <v>1941</v>
      </c>
      <c r="B876">
        <v>1950</v>
      </c>
      <c r="C876">
        <v>66500</v>
      </c>
    </row>
    <row r="877" spans="1:3" x14ac:dyDescent="0.3">
      <c r="A877">
        <v>2007</v>
      </c>
      <c r="B877">
        <v>2007</v>
      </c>
      <c r="C877">
        <v>303477</v>
      </c>
    </row>
    <row r="878" spans="1:3" x14ac:dyDescent="0.3">
      <c r="A878">
        <v>1963</v>
      </c>
      <c r="B878">
        <v>1963</v>
      </c>
      <c r="C878">
        <v>132250</v>
      </c>
    </row>
    <row r="879" spans="1:3" x14ac:dyDescent="0.3">
      <c r="A879">
        <v>2004</v>
      </c>
      <c r="B879">
        <v>2005</v>
      </c>
      <c r="C879">
        <v>350000</v>
      </c>
    </row>
    <row r="880" spans="1:3" x14ac:dyDescent="0.3">
      <c r="A880">
        <v>1961</v>
      </c>
      <c r="B880">
        <v>1995</v>
      </c>
      <c r="C880">
        <v>148000</v>
      </c>
    </row>
    <row r="881" spans="1:3" x14ac:dyDescent="0.3">
      <c r="A881">
        <v>1978</v>
      </c>
      <c r="B881">
        <v>2005</v>
      </c>
      <c r="C881">
        <v>136500</v>
      </c>
    </row>
    <row r="882" spans="1:3" x14ac:dyDescent="0.3">
      <c r="A882">
        <v>2005</v>
      </c>
      <c r="B882">
        <v>2006</v>
      </c>
      <c r="C882">
        <v>157000</v>
      </c>
    </row>
    <row r="883" spans="1:3" x14ac:dyDescent="0.3">
      <c r="A883">
        <v>1990</v>
      </c>
      <c r="B883">
        <v>1991</v>
      </c>
      <c r="C883">
        <v>187500</v>
      </c>
    </row>
    <row r="884" spans="1:3" x14ac:dyDescent="0.3">
      <c r="A884">
        <v>1992</v>
      </c>
      <c r="B884">
        <v>1993</v>
      </c>
      <c r="C884">
        <v>178000</v>
      </c>
    </row>
    <row r="885" spans="1:3" x14ac:dyDescent="0.3">
      <c r="A885">
        <v>1912</v>
      </c>
      <c r="B885">
        <v>1950</v>
      </c>
      <c r="C885">
        <v>118500</v>
      </c>
    </row>
    <row r="886" spans="1:3" x14ac:dyDescent="0.3">
      <c r="A886">
        <v>1967</v>
      </c>
      <c r="B886">
        <v>1967</v>
      </c>
      <c r="C886">
        <v>100000</v>
      </c>
    </row>
    <row r="887" spans="1:3" x14ac:dyDescent="0.3">
      <c r="A887">
        <v>1999</v>
      </c>
      <c r="B887">
        <v>2000</v>
      </c>
      <c r="C887">
        <v>328900</v>
      </c>
    </row>
    <row r="888" spans="1:3" x14ac:dyDescent="0.3">
      <c r="A888">
        <v>1959</v>
      </c>
      <c r="B888">
        <v>2005</v>
      </c>
      <c r="C888">
        <v>145000</v>
      </c>
    </row>
    <row r="889" spans="1:3" x14ac:dyDescent="0.3">
      <c r="A889">
        <v>1955</v>
      </c>
      <c r="B889">
        <v>1955</v>
      </c>
      <c r="C889">
        <v>135500</v>
      </c>
    </row>
    <row r="890" spans="1:3" x14ac:dyDescent="0.3">
      <c r="A890">
        <v>1970</v>
      </c>
      <c r="B890">
        <v>1970</v>
      </c>
      <c r="C890">
        <v>268000</v>
      </c>
    </row>
    <row r="891" spans="1:3" x14ac:dyDescent="0.3">
      <c r="A891">
        <v>1953</v>
      </c>
      <c r="B891">
        <v>1953</v>
      </c>
      <c r="C891">
        <v>149500</v>
      </c>
    </row>
    <row r="892" spans="1:3" x14ac:dyDescent="0.3">
      <c r="A892">
        <v>1949</v>
      </c>
      <c r="B892">
        <v>2006</v>
      </c>
      <c r="C892">
        <v>122900</v>
      </c>
    </row>
    <row r="893" spans="1:3" x14ac:dyDescent="0.3">
      <c r="A893">
        <v>1978</v>
      </c>
      <c r="B893">
        <v>1978</v>
      </c>
      <c r="C893">
        <v>172500</v>
      </c>
    </row>
    <row r="894" spans="1:3" x14ac:dyDescent="0.3">
      <c r="A894">
        <v>1963</v>
      </c>
      <c r="B894">
        <v>2003</v>
      </c>
      <c r="C894">
        <v>154500</v>
      </c>
    </row>
    <row r="895" spans="1:3" x14ac:dyDescent="0.3">
      <c r="A895">
        <v>1954</v>
      </c>
      <c r="B895">
        <v>1954</v>
      </c>
      <c r="C895">
        <v>165000</v>
      </c>
    </row>
    <row r="896" spans="1:3" x14ac:dyDescent="0.3">
      <c r="A896">
        <v>1979</v>
      </c>
      <c r="B896">
        <v>1979</v>
      </c>
      <c r="C896">
        <v>118858</v>
      </c>
    </row>
    <row r="897" spans="1:3" x14ac:dyDescent="0.3">
      <c r="A897">
        <v>1963</v>
      </c>
      <c r="B897">
        <v>1963</v>
      </c>
      <c r="C897">
        <v>140000</v>
      </c>
    </row>
    <row r="898" spans="1:3" x14ac:dyDescent="0.3">
      <c r="A898">
        <v>1936</v>
      </c>
      <c r="B898">
        <v>1950</v>
      </c>
      <c r="C898">
        <v>106500</v>
      </c>
    </row>
    <row r="899" spans="1:3" x14ac:dyDescent="0.3">
      <c r="A899">
        <v>1979</v>
      </c>
      <c r="B899">
        <v>1979</v>
      </c>
      <c r="C899">
        <v>142953</v>
      </c>
    </row>
    <row r="900" spans="1:3" x14ac:dyDescent="0.3">
      <c r="A900">
        <v>2009</v>
      </c>
      <c r="B900">
        <v>2010</v>
      </c>
      <c r="C900">
        <v>611657</v>
      </c>
    </row>
    <row r="901" spans="1:3" x14ac:dyDescent="0.3">
      <c r="A901">
        <v>1961</v>
      </c>
      <c r="B901">
        <v>1994</v>
      </c>
      <c r="C901">
        <v>135000</v>
      </c>
    </row>
    <row r="902" spans="1:3" x14ac:dyDescent="0.3">
      <c r="A902">
        <v>1971</v>
      </c>
      <c r="B902">
        <v>1971</v>
      </c>
      <c r="C902">
        <v>110000</v>
      </c>
    </row>
    <row r="903" spans="1:3" x14ac:dyDescent="0.3">
      <c r="A903">
        <v>1957</v>
      </c>
      <c r="B903">
        <v>2000</v>
      </c>
      <c r="C903">
        <v>153000</v>
      </c>
    </row>
    <row r="904" spans="1:3" x14ac:dyDescent="0.3">
      <c r="A904">
        <v>2003</v>
      </c>
      <c r="B904">
        <v>2003</v>
      </c>
      <c r="C904">
        <v>180000</v>
      </c>
    </row>
    <row r="905" spans="1:3" x14ac:dyDescent="0.3">
      <c r="A905">
        <v>2006</v>
      </c>
      <c r="B905">
        <v>2006</v>
      </c>
      <c r="C905">
        <v>240000</v>
      </c>
    </row>
    <row r="906" spans="1:3" x14ac:dyDescent="0.3">
      <c r="A906">
        <v>1967</v>
      </c>
      <c r="B906">
        <v>1967</v>
      </c>
      <c r="C906">
        <v>125500</v>
      </c>
    </row>
    <row r="907" spans="1:3" x14ac:dyDescent="0.3">
      <c r="A907">
        <v>1954</v>
      </c>
      <c r="B907">
        <v>1954</v>
      </c>
      <c r="C907">
        <v>128000</v>
      </c>
    </row>
    <row r="908" spans="1:3" x14ac:dyDescent="0.3">
      <c r="A908">
        <v>2006</v>
      </c>
      <c r="B908">
        <v>2006</v>
      </c>
      <c r="C908">
        <v>255000</v>
      </c>
    </row>
    <row r="909" spans="1:3" x14ac:dyDescent="0.3">
      <c r="A909">
        <v>1936</v>
      </c>
      <c r="B909">
        <v>1987</v>
      </c>
      <c r="C909">
        <v>250000</v>
      </c>
    </row>
    <row r="910" spans="1:3" x14ac:dyDescent="0.3">
      <c r="A910">
        <v>1983</v>
      </c>
      <c r="B910">
        <v>1983</v>
      </c>
      <c r="C910">
        <v>131000</v>
      </c>
    </row>
    <row r="911" spans="1:3" x14ac:dyDescent="0.3">
      <c r="A911">
        <v>2005</v>
      </c>
      <c r="B911">
        <v>2005</v>
      </c>
      <c r="C911">
        <v>174000</v>
      </c>
    </row>
    <row r="912" spans="1:3" x14ac:dyDescent="0.3">
      <c r="A912">
        <v>1960</v>
      </c>
      <c r="B912">
        <v>1960</v>
      </c>
      <c r="C912">
        <v>154300</v>
      </c>
    </row>
    <row r="913" spans="1:3" x14ac:dyDescent="0.3">
      <c r="A913">
        <v>1977</v>
      </c>
      <c r="B913">
        <v>1989</v>
      </c>
      <c r="C913">
        <v>143500</v>
      </c>
    </row>
    <row r="914" spans="1:3" x14ac:dyDescent="0.3">
      <c r="A914">
        <v>1925</v>
      </c>
      <c r="B914">
        <v>1950</v>
      </c>
      <c r="C914">
        <v>88000</v>
      </c>
    </row>
    <row r="915" spans="1:3" x14ac:dyDescent="0.3">
      <c r="A915">
        <v>1949</v>
      </c>
      <c r="B915">
        <v>1950</v>
      </c>
      <c r="C915">
        <v>145000</v>
      </c>
    </row>
    <row r="916" spans="1:3" x14ac:dyDescent="0.3">
      <c r="A916">
        <v>2009</v>
      </c>
      <c r="B916">
        <v>2009</v>
      </c>
      <c r="C916">
        <v>173733</v>
      </c>
    </row>
    <row r="917" spans="1:3" x14ac:dyDescent="0.3">
      <c r="A917">
        <v>1970</v>
      </c>
      <c r="B917">
        <v>1970</v>
      </c>
      <c r="C917">
        <v>75000</v>
      </c>
    </row>
    <row r="918" spans="1:3" x14ac:dyDescent="0.3">
      <c r="A918">
        <v>1949</v>
      </c>
      <c r="B918">
        <v>1950</v>
      </c>
      <c r="C918">
        <v>35311</v>
      </c>
    </row>
    <row r="919" spans="1:3" x14ac:dyDescent="0.3">
      <c r="A919">
        <v>1956</v>
      </c>
      <c r="B919">
        <v>1956</v>
      </c>
      <c r="C919">
        <v>135000</v>
      </c>
    </row>
    <row r="920" spans="1:3" x14ac:dyDescent="0.3">
      <c r="A920">
        <v>1991</v>
      </c>
      <c r="B920">
        <v>1991</v>
      </c>
      <c r="C920">
        <v>238000</v>
      </c>
    </row>
    <row r="921" spans="1:3" x14ac:dyDescent="0.3">
      <c r="A921">
        <v>1958</v>
      </c>
      <c r="B921">
        <v>2002</v>
      </c>
      <c r="C921">
        <v>176500</v>
      </c>
    </row>
    <row r="922" spans="1:3" x14ac:dyDescent="0.3">
      <c r="A922">
        <v>1994</v>
      </c>
      <c r="B922">
        <v>1994</v>
      </c>
      <c r="C922">
        <v>201000</v>
      </c>
    </row>
    <row r="923" spans="1:3" x14ac:dyDescent="0.3">
      <c r="A923">
        <v>1900</v>
      </c>
      <c r="B923">
        <v>2003</v>
      </c>
      <c r="C923">
        <v>145900</v>
      </c>
    </row>
    <row r="924" spans="1:3" x14ac:dyDescent="0.3">
      <c r="A924">
        <v>2005</v>
      </c>
      <c r="B924">
        <v>2006</v>
      </c>
      <c r="C924">
        <v>169990</v>
      </c>
    </row>
    <row r="925" spans="1:3" x14ac:dyDescent="0.3">
      <c r="A925">
        <v>1993</v>
      </c>
      <c r="B925">
        <v>1994</v>
      </c>
      <c r="C925">
        <v>193000</v>
      </c>
    </row>
    <row r="926" spans="1:3" x14ac:dyDescent="0.3">
      <c r="A926">
        <v>1980</v>
      </c>
      <c r="B926">
        <v>1980</v>
      </c>
      <c r="C926">
        <v>207500</v>
      </c>
    </row>
    <row r="927" spans="1:3" x14ac:dyDescent="0.3">
      <c r="A927">
        <v>1977</v>
      </c>
      <c r="B927">
        <v>1977</v>
      </c>
      <c r="C927">
        <v>175000</v>
      </c>
    </row>
    <row r="928" spans="1:3" x14ac:dyDescent="0.3">
      <c r="A928">
        <v>2003</v>
      </c>
      <c r="B928">
        <v>2004</v>
      </c>
      <c r="C928">
        <v>285000</v>
      </c>
    </row>
    <row r="929" spans="1:3" x14ac:dyDescent="0.3">
      <c r="A929">
        <v>1968</v>
      </c>
      <c r="B929">
        <v>1968</v>
      </c>
      <c r="C929">
        <v>176000</v>
      </c>
    </row>
    <row r="930" spans="1:3" x14ac:dyDescent="0.3">
      <c r="A930">
        <v>2001</v>
      </c>
      <c r="B930">
        <v>2001</v>
      </c>
      <c r="C930">
        <v>236500</v>
      </c>
    </row>
    <row r="931" spans="1:3" x14ac:dyDescent="0.3">
      <c r="A931">
        <v>1997</v>
      </c>
      <c r="B931">
        <v>1997</v>
      </c>
      <c r="C931">
        <v>222000</v>
      </c>
    </row>
    <row r="932" spans="1:3" x14ac:dyDescent="0.3">
      <c r="A932">
        <v>2007</v>
      </c>
      <c r="B932">
        <v>2007</v>
      </c>
      <c r="C932">
        <v>201000</v>
      </c>
    </row>
    <row r="933" spans="1:3" x14ac:dyDescent="0.3">
      <c r="A933">
        <v>1965</v>
      </c>
      <c r="B933">
        <v>1965</v>
      </c>
      <c r="C933">
        <v>117500</v>
      </c>
    </row>
    <row r="934" spans="1:3" x14ac:dyDescent="0.3">
      <c r="A934">
        <v>2006</v>
      </c>
      <c r="B934">
        <v>2006</v>
      </c>
      <c r="C934">
        <v>320000</v>
      </c>
    </row>
    <row r="935" spans="1:3" x14ac:dyDescent="0.3">
      <c r="A935">
        <v>2004</v>
      </c>
      <c r="B935">
        <v>2004</v>
      </c>
      <c r="C935">
        <v>190000</v>
      </c>
    </row>
    <row r="936" spans="1:3" x14ac:dyDescent="0.3">
      <c r="A936">
        <v>1960</v>
      </c>
      <c r="B936">
        <v>2007</v>
      </c>
      <c r="C936">
        <v>242000</v>
      </c>
    </row>
    <row r="937" spans="1:3" x14ac:dyDescent="0.3">
      <c r="A937">
        <v>1926</v>
      </c>
      <c r="B937">
        <v>1953</v>
      </c>
      <c r="C937">
        <v>79900</v>
      </c>
    </row>
    <row r="938" spans="1:3" x14ac:dyDescent="0.3">
      <c r="A938">
        <v>2003</v>
      </c>
      <c r="B938">
        <v>2003</v>
      </c>
      <c r="C938">
        <v>184900</v>
      </c>
    </row>
    <row r="939" spans="1:3" x14ac:dyDescent="0.3">
      <c r="A939">
        <v>2005</v>
      </c>
      <c r="B939">
        <v>2005</v>
      </c>
      <c r="C939">
        <v>253000</v>
      </c>
    </row>
    <row r="940" spans="1:3" x14ac:dyDescent="0.3">
      <c r="A940">
        <v>2006</v>
      </c>
      <c r="B940">
        <v>2006</v>
      </c>
      <c r="C940">
        <v>239799</v>
      </c>
    </row>
    <row r="941" spans="1:3" x14ac:dyDescent="0.3">
      <c r="A941">
        <v>1940</v>
      </c>
      <c r="B941">
        <v>1950</v>
      </c>
      <c r="C941">
        <v>244400</v>
      </c>
    </row>
    <row r="942" spans="1:3" x14ac:dyDescent="0.3">
      <c r="A942">
        <v>1976</v>
      </c>
      <c r="B942">
        <v>1976</v>
      </c>
      <c r="C942">
        <v>150900</v>
      </c>
    </row>
    <row r="943" spans="1:3" x14ac:dyDescent="0.3">
      <c r="A943">
        <v>1999</v>
      </c>
      <c r="B943">
        <v>1999</v>
      </c>
      <c r="C943">
        <v>214000</v>
      </c>
    </row>
    <row r="944" spans="1:3" x14ac:dyDescent="0.3">
      <c r="A944">
        <v>1977</v>
      </c>
      <c r="B944">
        <v>1977</v>
      </c>
      <c r="C944">
        <v>150000</v>
      </c>
    </row>
    <row r="945" spans="1:3" x14ac:dyDescent="0.3">
      <c r="A945">
        <v>1967</v>
      </c>
      <c r="B945">
        <v>1967</v>
      </c>
      <c r="C945">
        <v>143000</v>
      </c>
    </row>
    <row r="946" spans="1:3" x14ac:dyDescent="0.3">
      <c r="A946">
        <v>1958</v>
      </c>
      <c r="B946">
        <v>1958</v>
      </c>
      <c r="C946">
        <v>137500</v>
      </c>
    </row>
    <row r="947" spans="1:3" x14ac:dyDescent="0.3">
      <c r="A947">
        <v>1890</v>
      </c>
      <c r="B947">
        <v>1996</v>
      </c>
      <c r="C947">
        <v>124900</v>
      </c>
    </row>
    <row r="948" spans="1:3" x14ac:dyDescent="0.3">
      <c r="A948">
        <v>1959</v>
      </c>
      <c r="B948">
        <v>1959</v>
      </c>
      <c r="C948">
        <v>143000</v>
      </c>
    </row>
    <row r="949" spans="1:3" x14ac:dyDescent="0.3">
      <c r="A949">
        <v>2002</v>
      </c>
      <c r="B949">
        <v>2003</v>
      </c>
      <c r="C949">
        <v>270000</v>
      </c>
    </row>
    <row r="950" spans="1:3" x14ac:dyDescent="0.3">
      <c r="A950">
        <v>2002</v>
      </c>
      <c r="B950">
        <v>2002</v>
      </c>
      <c r="C950">
        <v>192500</v>
      </c>
    </row>
    <row r="951" spans="1:3" x14ac:dyDescent="0.3">
      <c r="A951">
        <v>1972</v>
      </c>
      <c r="B951">
        <v>2006</v>
      </c>
      <c r="C951">
        <v>197500</v>
      </c>
    </row>
    <row r="952" spans="1:3" x14ac:dyDescent="0.3">
      <c r="A952">
        <v>1950</v>
      </c>
      <c r="B952">
        <v>2002</v>
      </c>
      <c r="C952">
        <v>129000</v>
      </c>
    </row>
    <row r="953" spans="1:3" x14ac:dyDescent="0.3">
      <c r="A953">
        <v>1965</v>
      </c>
      <c r="B953">
        <v>1965</v>
      </c>
      <c r="C953">
        <v>119900</v>
      </c>
    </row>
    <row r="954" spans="1:3" x14ac:dyDescent="0.3">
      <c r="A954">
        <v>1972</v>
      </c>
      <c r="B954">
        <v>2003</v>
      </c>
      <c r="C954">
        <v>133900</v>
      </c>
    </row>
    <row r="955" spans="1:3" x14ac:dyDescent="0.3">
      <c r="A955">
        <v>1969</v>
      </c>
      <c r="B955">
        <v>1969</v>
      </c>
      <c r="C955">
        <v>172000</v>
      </c>
    </row>
    <row r="956" spans="1:3" x14ac:dyDescent="0.3">
      <c r="A956">
        <v>1975</v>
      </c>
      <c r="B956">
        <v>1975</v>
      </c>
      <c r="C956">
        <v>127500</v>
      </c>
    </row>
    <row r="957" spans="1:3" x14ac:dyDescent="0.3">
      <c r="A957">
        <v>1946</v>
      </c>
      <c r="B957">
        <v>1950</v>
      </c>
      <c r="C957">
        <v>145000</v>
      </c>
    </row>
    <row r="958" spans="1:3" x14ac:dyDescent="0.3">
      <c r="A958">
        <v>1980</v>
      </c>
      <c r="B958">
        <v>1980</v>
      </c>
      <c r="C958">
        <v>124000</v>
      </c>
    </row>
    <row r="959" spans="1:3" x14ac:dyDescent="0.3">
      <c r="A959">
        <v>1962</v>
      </c>
      <c r="B959">
        <v>1962</v>
      </c>
      <c r="C959">
        <v>132000</v>
      </c>
    </row>
    <row r="960" spans="1:3" x14ac:dyDescent="0.3">
      <c r="A960">
        <v>2003</v>
      </c>
      <c r="B960">
        <v>2003</v>
      </c>
      <c r="C960">
        <v>185000</v>
      </c>
    </row>
    <row r="961" spans="1:3" x14ac:dyDescent="0.3">
      <c r="A961">
        <v>1999</v>
      </c>
      <c r="B961">
        <v>1999</v>
      </c>
      <c r="C961">
        <v>155000</v>
      </c>
    </row>
    <row r="962" spans="1:3" x14ac:dyDescent="0.3">
      <c r="A962">
        <v>1958</v>
      </c>
      <c r="B962">
        <v>2008</v>
      </c>
      <c r="C962">
        <v>116500</v>
      </c>
    </row>
    <row r="963" spans="1:3" x14ac:dyDescent="0.3">
      <c r="A963">
        <v>1977</v>
      </c>
      <c r="B963">
        <v>1995</v>
      </c>
      <c r="C963">
        <v>272000</v>
      </c>
    </row>
    <row r="964" spans="1:3" x14ac:dyDescent="0.3">
      <c r="A964">
        <v>1976</v>
      </c>
      <c r="B964">
        <v>1976</v>
      </c>
      <c r="C964">
        <v>155000</v>
      </c>
    </row>
    <row r="965" spans="1:3" x14ac:dyDescent="0.3">
      <c r="A965">
        <v>2007</v>
      </c>
      <c r="B965">
        <v>2007</v>
      </c>
      <c r="C965">
        <v>239000</v>
      </c>
    </row>
    <row r="966" spans="1:3" x14ac:dyDescent="0.3">
      <c r="A966">
        <v>2002</v>
      </c>
      <c r="B966">
        <v>2003</v>
      </c>
      <c r="C966">
        <v>214900</v>
      </c>
    </row>
    <row r="967" spans="1:3" x14ac:dyDescent="0.3">
      <c r="A967">
        <v>2005</v>
      </c>
      <c r="B967">
        <v>2007</v>
      </c>
      <c r="C967">
        <v>178900</v>
      </c>
    </row>
    <row r="968" spans="1:3" x14ac:dyDescent="0.3">
      <c r="A968">
        <v>1940</v>
      </c>
      <c r="B968">
        <v>1950</v>
      </c>
      <c r="C968">
        <v>160000</v>
      </c>
    </row>
    <row r="969" spans="1:3" x14ac:dyDescent="0.3">
      <c r="A969">
        <v>1955</v>
      </c>
      <c r="B969">
        <v>1955</v>
      </c>
      <c r="C969">
        <v>135000</v>
      </c>
    </row>
    <row r="970" spans="1:3" x14ac:dyDescent="0.3">
      <c r="A970">
        <v>1910</v>
      </c>
      <c r="B970">
        <v>1950</v>
      </c>
      <c r="C970">
        <v>37900</v>
      </c>
    </row>
    <row r="971" spans="1:3" x14ac:dyDescent="0.3">
      <c r="A971">
        <v>1958</v>
      </c>
      <c r="B971">
        <v>1958</v>
      </c>
      <c r="C971">
        <v>140000</v>
      </c>
    </row>
    <row r="972" spans="1:3" x14ac:dyDescent="0.3">
      <c r="A972">
        <v>1949</v>
      </c>
      <c r="B972">
        <v>1950</v>
      </c>
      <c r="C972">
        <v>135000</v>
      </c>
    </row>
    <row r="973" spans="1:3" x14ac:dyDescent="0.3">
      <c r="A973">
        <v>2003</v>
      </c>
      <c r="B973">
        <v>2004</v>
      </c>
      <c r="C973">
        <v>173000</v>
      </c>
    </row>
    <row r="974" spans="1:3" x14ac:dyDescent="0.3">
      <c r="A974">
        <v>1979</v>
      </c>
      <c r="B974">
        <v>1979</v>
      </c>
      <c r="C974">
        <v>99500</v>
      </c>
    </row>
    <row r="975" spans="1:3" x14ac:dyDescent="0.3">
      <c r="A975">
        <v>2007</v>
      </c>
      <c r="B975">
        <v>2008</v>
      </c>
      <c r="C975">
        <v>182000</v>
      </c>
    </row>
    <row r="976" spans="1:3" x14ac:dyDescent="0.3">
      <c r="A976">
        <v>1910</v>
      </c>
      <c r="B976">
        <v>1993</v>
      </c>
      <c r="C976">
        <v>167500</v>
      </c>
    </row>
    <row r="977" spans="1:3" x14ac:dyDescent="0.3">
      <c r="A977">
        <v>2000</v>
      </c>
      <c r="B977">
        <v>2000</v>
      </c>
      <c r="C977">
        <v>165000</v>
      </c>
    </row>
    <row r="978" spans="1:3" x14ac:dyDescent="0.3">
      <c r="A978">
        <v>1923</v>
      </c>
      <c r="B978">
        <v>1958</v>
      </c>
      <c r="C978">
        <v>85500</v>
      </c>
    </row>
    <row r="979" spans="1:3" x14ac:dyDescent="0.3">
      <c r="A979">
        <v>2006</v>
      </c>
      <c r="B979">
        <v>2007</v>
      </c>
      <c r="C979">
        <v>199900</v>
      </c>
    </row>
    <row r="980" spans="1:3" x14ac:dyDescent="0.3">
      <c r="A980">
        <v>1954</v>
      </c>
      <c r="B980">
        <v>1954</v>
      </c>
      <c r="C980">
        <v>110000</v>
      </c>
    </row>
    <row r="981" spans="1:3" x14ac:dyDescent="0.3">
      <c r="A981">
        <v>1963</v>
      </c>
      <c r="B981">
        <v>1963</v>
      </c>
      <c r="C981">
        <v>139000</v>
      </c>
    </row>
    <row r="982" spans="1:3" x14ac:dyDescent="0.3">
      <c r="A982">
        <v>1961</v>
      </c>
      <c r="B982">
        <v>2007</v>
      </c>
      <c r="C982">
        <v>178400</v>
      </c>
    </row>
    <row r="983" spans="1:3" x14ac:dyDescent="0.3">
      <c r="A983">
        <v>1998</v>
      </c>
      <c r="B983">
        <v>1999</v>
      </c>
      <c r="C983">
        <v>336000</v>
      </c>
    </row>
    <row r="984" spans="1:3" x14ac:dyDescent="0.3">
      <c r="A984">
        <v>2007</v>
      </c>
      <c r="B984">
        <v>2007</v>
      </c>
      <c r="C984">
        <v>159895</v>
      </c>
    </row>
    <row r="985" spans="1:3" x14ac:dyDescent="0.3">
      <c r="A985">
        <v>2002</v>
      </c>
      <c r="B985">
        <v>2002</v>
      </c>
      <c r="C985">
        <v>255900</v>
      </c>
    </row>
    <row r="986" spans="1:3" x14ac:dyDescent="0.3">
      <c r="A986">
        <v>1977</v>
      </c>
      <c r="B986">
        <v>1977</v>
      </c>
      <c r="C986">
        <v>126000</v>
      </c>
    </row>
    <row r="987" spans="1:3" x14ac:dyDescent="0.3">
      <c r="A987">
        <v>1950</v>
      </c>
      <c r="B987">
        <v>1950</v>
      </c>
      <c r="C987">
        <v>125000</v>
      </c>
    </row>
    <row r="988" spans="1:3" x14ac:dyDescent="0.3">
      <c r="A988">
        <v>1910</v>
      </c>
      <c r="B988">
        <v>2003</v>
      </c>
      <c r="C988">
        <v>117000</v>
      </c>
    </row>
    <row r="989" spans="1:3" x14ac:dyDescent="0.3">
      <c r="A989">
        <v>2009</v>
      </c>
      <c r="B989">
        <v>2010</v>
      </c>
      <c r="C989">
        <v>395192</v>
      </c>
    </row>
    <row r="990" spans="1:3" x14ac:dyDescent="0.3">
      <c r="A990">
        <v>1976</v>
      </c>
      <c r="B990">
        <v>1976</v>
      </c>
      <c r="C990">
        <v>195000</v>
      </c>
    </row>
    <row r="991" spans="1:3" x14ac:dyDescent="0.3">
      <c r="A991">
        <v>2006</v>
      </c>
      <c r="B991">
        <v>2006</v>
      </c>
      <c r="C991">
        <v>197000</v>
      </c>
    </row>
    <row r="992" spans="1:3" x14ac:dyDescent="0.3">
      <c r="A992">
        <v>1997</v>
      </c>
      <c r="B992">
        <v>1998</v>
      </c>
      <c r="C992">
        <v>348000</v>
      </c>
    </row>
    <row r="993" spans="1:3" x14ac:dyDescent="0.3">
      <c r="A993">
        <v>1882</v>
      </c>
      <c r="B993">
        <v>1986</v>
      </c>
      <c r="C993">
        <v>168000</v>
      </c>
    </row>
    <row r="994" spans="1:3" x14ac:dyDescent="0.3">
      <c r="A994">
        <v>1964</v>
      </c>
      <c r="B994">
        <v>1993</v>
      </c>
      <c r="C994">
        <v>187000</v>
      </c>
    </row>
    <row r="995" spans="1:3" x14ac:dyDescent="0.3">
      <c r="A995">
        <v>2005</v>
      </c>
      <c r="B995">
        <v>2006</v>
      </c>
      <c r="C995">
        <v>173900</v>
      </c>
    </row>
    <row r="996" spans="1:3" x14ac:dyDescent="0.3">
      <c r="A996">
        <v>2006</v>
      </c>
      <c r="B996">
        <v>2007</v>
      </c>
      <c r="C996">
        <v>337500</v>
      </c>
    </row>
    <row r="997" spans="1:3" x14ac:dyDescent="0.3">
      <c r="A997">
        <v>1946</v>
      </c>
      <c r="B997">
        <v>1950</v>
      </c>
      <c r="C997">
        <v>121600</v>
      </c>
    </row>
    <row r="998" spans="1:3" x14ac:dyDescent="0.3">
      <c r="A998">
        <v>1961</v>
      </c>
      <c r="B998">
        <v>1961</v>
      </c>
      <c r="C998">
        <v>136500</v>
      </c>
    </row>
    <row r="999" spans="1:3" x14ac:dyDescent="0.3">
      <c r="A999">
        <v>1970</v>
      </c>
      <c r="B999">
        <v>1970</v>
      </c>
      <c r="C999">
        <v>185000</v>
      </c>
    </row>
    <row r="1000" spans="1:3" x14ac:dyDescent="0.3">
      <c r="A1000">
        <v>1922</v>
      </c>
      <c r="B1000">
        <v>1950</v>
      </c>
      <c r="C1000">
        <v>91000</v>
      </c>
    </row>
    <row r="1001" spans="1:3" x14ac:dyDescent="0.3">
      <c r="A1001">
        <v>2006</v>
      </c>
      <c r="B1001">
        <v>2006</v>
      </c>
      <c r="C1001">
        <v>206000</v>
      </c>
    </row>
    <row r="1002" spans="1:3" x14ac:dyDescent="0.3">
      <c r="A1002">
        <v>1952</v>
      </c>
      <c r="B1002">
        <v>1952</v>
      </c>
      <c r="C1002">
        <v>82000</v>
      </c>
    </row>
    <row r="1003" spans="1:3" x14ac:dyDescent="0.3">
      <c r="A1003">
        <v>1920</v>
      </c>
      <c r="B1003">
        <v>1950</v>
      </c>
      <c r="C1003">
        <v>86000</v>
      </c>
    </row>
    <row r="1004" spans="1:3" x14ac:dyDescent="0.3">
      <c r="A1004">
        <v>2006</v>
      </c>
      <c r="B1004">
        <v>2006</v>
      </c>
      <c r="C1004">
        <v>232000</v>
      </c>
    </row>
    <row r="1005" spans="1:3" x14ac:dyDescent="0.3">
      <c r="A1005">
        <v>1976</v>
      </c>
      <c r="B1005">
        <v>1976</v>
      </c>
      <c r="C1005">
        <v>136905</v>
      </c>
    </row>
    <row r="1006" spans="1:3" x14ac:dyDescent="0.3">
      <c r="A1006">
        <v>2005</v>
      </c>
      <c r="B1006">
        <v>2006</v>
      </c>
      <c r="C1006">
        <v>181000</v>
      </c>
    </row>
    <row r="1007" spans="1:3" x14ac:dyDescent="0.3">
      <c r="A1007">
        <v>1977</v>
      </c>
      <c r="B1007">
        <v>1977</v>
      </c>
      <c r="C1007">
        <v>149900</v>
      </c>
    </row>
    <row r="1008" spans="1:3" x14ac:dyDescent="0.3">
      <c r="A1008">
        <v>1970</v>
      </c>
      <c r="B1008">
        <v>1970</v>
      </c>
      <c r="C1008">
        <v>163500</v>
      </c>
    </row>
    <row r="1009" spans="1:3" x14ac:dyDescent="0.3">
      <c r="A1009">
        <v>1970</v>
      </c>
      <c r="B1009">
        <v>1970</v>
      </c>
      <c r="C1009">
        <v>88000</v>
      </c>
    </row>
    <row r="1010" spans="1:3" x14ac:dyDescent="0.3">
      <c r="A1010">
        <v>2004</v>
      </c>
      <c r="B1010">
        <v>2005</v>
      </c>
      <c r="C1010">
        <v>240000</v>
      </c>
    </row>
    <row r="1011" spans="1:3" x14ac:dyDescent="0.3">
      <c r="A1011">
        <v>1926</v>
      </c>
      <c r="B1011">
        <v>1950</v>
      </c>
      <c r="C1011">
        <v>102000</v>
      </c>
    </row>
    <row r="1012" spans="1:3" x14ac:dyDescent="0.3">
      <c r="A1012">
        <v>1948</v>
      </c>
      <c r="B1012">
        <v>1950</v>
      </c>
      <c r="C1012">
        <v>135000</v>
      </c>
    </row>
    <row r="1013" spans="1:3" x14ac:dyDescent="0.3">
      <c r="A1013">
        <v>1965</v>
      </c>
      <c r="B1013">
        <v>1965</v>
      </c>
      <c r="C1013">
        <v>100000</v>
      </c>
    </row>
    <row r="1014" spans="1:3" x14ac:dyDescent="0.3">
      <c r="A1014">
        <v>1923</v>
      </c>
      <c r="B1014">
        <v>1996</v>
      </c>
      <c r="C1014">
        <v>165000</v>
      </c>
    </row>
    <row r="1015" spans="1:3" x14ac:dyDescent="0.3">
      <c r="A1015">
        <v>1910</v>
      </c>
      <c r="B1015">
        <v>2006</v>
      </c>
      <c r="C1015">
        <v>85000</v>
      </c>
    </row>
    <row r="1016" spans="1:3" x14ac:dyDescent="0.3">
      <c r="A1016">
        <v>1948</v>
      </c>
      <c r="B1016">
        <v>1950</v>
      </c>
      <c r="C1016">
        <v>119200</v>
      </c>
    </row>
    <row r="1017" spans="1:3" x14ac:dyDescent="0.3">
      <c r="A1017">
        <v>2001</v>
      </c>
      <c r="B1017">
        <v>2001</v>
      </c>
      <c r="C1017">
        <v>227000</v>
      </c>
    </row>
    <row r="1018" spans="1:3" x14ac:dyDescent="0.3">
      <c r="A1018">
        <v>1996</v>
      </c>
      <c r="B1018">
        <v>1996</v>
      </c>
      <c r="C1018">
        <v>203000</v>
      </c>
    </row>
    <row r="1019" spans="1:3" x14ac:dyDescent="0.3">
      <c r="A1019">
        <v>1984</v>
      </c>
      <c r="B1019">
        <v>1984</v>
      </c>
      <c r="C1019">
        <v>187500</v>
      </c>
    </row>
    <row r="1020" spans="1:3" x14ac:dyDescent="0.3">
      <c r="A1020">
        <v>1991</v>
      </c>
      <c r="B1020">
        <v>1992</v>
      </c>
      <c r="C1020">
        <v>160000</v>
      </c>
    </row>
    <row r="1021" spans="1:3" x14ac:dyDescent="0.3">
      <c r="A1021">
        <v>2005</v>
      </c>
      <c r="B1021">
        <v>2005</v>
      </c>
      <c r="C1021">
        <v>213490</v>
      </c>
    </row>
    <row r="1022" spans="1:3" x14ac:dyDescent="0.3">
      <c r="A1022">
        <v>2005</v>
      </c>
      <c r="B1022">
        <v>2005</v>
      </c>
      <c r="C1022">
        <v>176000</v>
      </c>
    </row>
    <row r="1023" spans="1:3" x14ac:dyDescent="0.3">
      <c r="A1023">
        <v>2006</v>
      </c>
      <c r="B1023">
        <v>2006</v>
      </c>
      <c r="C1023">
        <v>194000</v>
      </c>
    </row>
    <row r="1024" spans="1:3" x14ac:dyDescent="0.3">
      <c r="A1024">
        <v>1930</v>
      </c>
      <c r="B1024">
        <v>1950</v>
      </c>
      <c r="C1024">
        <v>87000</v>
      </c>
    </row>
    <row r="1025" spans="1:3" x14ac:dyDescent="0.3">
      <c r="A1025">
        <v>2005</v>
      </c>
      <c r="B1025">
        <v>2006</v>
      </c>
      <c r="C1025">
        <v>191000</v>
      </c>
    </row>
    <row r="1026" spans="1:3" x14ac:dyDescent="0.3">
      <c r="A1026">
        <v>1976</v>
      </c>
      <c r="B1026">
        <v>1976</v>
      </c>
      <c r="C1026">
        <v>287000</v>
      </c>
    </row>
    <row r="1027" spans="1:3" x14ac:dyDescent="0.3">
      <c r="A1027">
        <v>1972</v>
      </c>
      <c r="B1027">
        <v>1972</v>
      </c>
      <c r="C1027">
        <v>112500</v>
      </c>
    </row>
    <row r="1028" spans="1:3" x14ac:dyDescent="0.3">
      <c r="A1028">
        <v>1960</v>
      </c>
      <c r="B1028">
        <v>1960</v>
      </c>
      <c r="C1028">
        <v>167500</v>
      </c>
    </row>
    <row r="1029" spans="1:3" x14ac:dyDescent="0.3">
      <c r="A1029">
        <v>2007</v>
      </c>
      <c r="B1029">
        <v>2008</v>
      </c>
      <c r="C1029">
        <v>293077</v>
      </c>
    </row>
    <row r="1030" spans="1:3" x14ac:dyDescent="0.3">
      <c r="A1030">
        <v>1941</v>
      </c>
      <c r="B1030">
        <v>1950</v>
      </c>
      <c r="C1030">
        <v>105000</v>
      </c>
    </row>
    <row r="1031" spans="1:3" x14ac:dyDescent="0.3">
      <c r="A1031">
        <v>1972</v>
      </c>
      <c r="B1031">
        <v>1972</v>
      </c>
      <c r="C1031">
        <v>118000</v>
      </c>
    </row>
    <row r="1032" spans="1:3" x14ac:dyDescent="0.3">
      <c r="A1032">
        <v>1916</v>
      </c>
      <c r="B1032">
        <v>1995</v>
      </c>
      <c r="C1032">
        <v>160000</v>
      </c>
    </row>
    <row r="1033" spans="1:3" x14ac:dyDescent="0.3">
      <c r="A1033">
        <v>1920</v>
      </c>
      <c r="B1033">
        <v>1970</v>
      </c>
      <c r="C1033">
        <v>197000</v>
      </c>
    </row>
    <row r="1034" spans="1:3" x14ac:dyDescent="0.3">
      <c r="A1034">
        <v>1993</v>
      </c>
      <c r="B1034">
        <v>1993</v>
      </c>
      <c r="C1034">
        <v>310000</v>
      </c>
    </row>
    <row r="1035" spans="1:3" x14ac:dyDescent="0.3">
      <c r="A1035">
        <v>2002</v>
      </c>
      <c r="B1035">
        <v>2002</v>
      </c>
      <c r="C1035">
        <v>230000</v>
      </c>
    </row>
    <row r="1036" spans="1:3" x14ac:dyDescent="0.3">
      <c r="A1036">
        <v>1938</v>
      </c>
      <c r="B1036">
        <v>1950</v>
      </c>
      <c r="C1036">
        <v>119750</v>
      </c>
    </row>
    <row r="1037" spans="1:3" x14ac:dyDescent="0.3">
      <c r="A1037">
        <v>1957</v>
      </c>
      <c r="B1037">
        <v>1957</v>
      </c>
      <c r="C1037">
        <v>84000</v>
      </c>
    </row>
    <row r="1038" spans="1:3" x14ac:dyDescent="0.3">
      <c r="A1038">
        <v>2007</v>
      </c>
      <c r="B1038">
        <v>2008</v>
      </c>
      <c r="C1038">
        <v>315500</v>
      </c>
    </row>
    <row r="1039" spans="1:3" x14ac:dyDescent="0.3">
      <c r="A1039">
        <v>2001</v>
      </c>
      <c r="B1039">
        <v>2002</v>
      </c>
      <c r="C1039">
        <v>287000</v>
      </c>
    </row>
    <row r="1040" spans="1:3" x14ac:dyDescent="0.3">
      <c r="A1040">
        <v>1970</v>
      </c>
      <c r="B1040">
        <v>2008</v>
      </c>
      <c r="C1040">
        <v>97000</v>
      </c>
    </row>
    <row r="1041" spans="1:3" x14ac:dyDescent="0.3">
      <c r="A1041">
        <v>1970</v>
      </c>
      <c r="B1041">
        <v>1970</v>
      </c>
      <c r="C1041">
        <v>80000</v>
      </c>
    </row>
    <row r="1042" spans="1:3" x14ac:dyDescent="0.3">
      <c r="A1042">
        <v>1957</v>
      </c>
      <c r="B1042">
        <v>2000</v>
      </c>
      <c r="C1042">
        <v>155000</v>
      </c>
    </row>
    <row r="1043" spans="1:3" x14ac:dyDescent="0.3">
      <c r="A1043">
        <v>1966</v>
      </c>
      <c r="B1043">
        <v>2000</v>
      </c>
      <c r="C1043">
        <v>173000</v>
      </c>
    </row>
    <row r="1044" spans="1:3" x14ac:dyDescent="0.3">
      <c r="A1044">
        <v>2005</v>
      </c>
      <c r="B1044">
        <v>2005</v>
      </c>
      <c r="C1044">
        <v>196000</v>
      </c>
    </row>
    <row r="1045" spans="1:3" x14ac:dyDescent="0.3">
      <c r="A1045">
        <v>1990</v>
      </c>
      <c r="B1045">
        <v>1990</v>
      </c>
      <c r="C1045">
        <v>262280</v>
      </c>
    </row>
    <row r="1046" spans="1:3" x14ac:dyDescent="0.3">
      <c r="A1046">
        <v>1981</v>
      </c>
      <c r="B1046">
        <v>1981</v>
      </c>
      <c r="C1046">
        <v>278000</v>
      </c>
    </row>
    <row r="1047" spans="1:3" x14ac:dyDescent="0.3">
      <c r="A1047">
        <v>1955</v>
      </c>
      <c r="B1047">
        <v>1955</v>
      </c>
      <c r="C1047">
        <v>139600</v>
      </c>
    </row>
    <row r="1048" spans="1:3" x14ac:dyDescent="0.3">
      <c r="A1048">
        <v>2005</v>
      </c>
      <c r="B1048">
        <v>2006</v>
      </c>
      <c r="C1048">
        <v>556581</v>
      </c>
    </row>
    <row r="1049" spans="1:3" x14ac:dyDescent="0.3">
      <c r="A1049">
        <v>1994</v>
      </c>
      <c r="B1049">
        <v>1995</v>
      </c>
      <c r="C1049">
        <v>145000</v>
      </c>
    </row>
    <row r="1050" spans="1:3" x14ac:dyDescent="0.3">
      <c r="A1050">
        <v>1960</v>
      </c>
      <c r="B1050">
        <v>2006</v>
      </c>
      <c r="C1050">
        <v>115000</v>
      </c>
    </row>
    <row r="1051" spans="1:3" x14ac:dyDescent="0.3">
      <c r="A1051">
        <v>1946</v>
      </c>
      <c r="B1051">
        <v>2006</v>
      </c>
      <c r="C1051">
        <v>84900</v>
      </c>
    </row>
    <row r="1052" spans="1:3" x14ac:dyDescent="0.3">
      <c r="A1052">
        <v>2007</v>
      </c>
      <c r="B1052">
        <v>2007</v>
      </c>
      <c r="C1052">
        <v>176485</v>
      </c>
    </row>
    <row r="1053" spans="1:3" x14ac:dyDescent="0.3">
      <c r="A1053">
        <v>2007</v>
      </c>
      <c r="B1053">
        <v>2007</v>
      </c>
      <c r="C1053">
        <v>200141</v>
      </c>
    </row>
    <row r="1054" spans="1:3" x14ac:dyDescent="0.3">
      <c r="A1054">
        <v>1964</v>
      </c>
      <c r="B1054">
        <v>1978</v>
      </c>
      <c r="C1054">
        <v>165000</v>
      </c>
    </row>
    <row r="1055" spans="1:3" x14ac:dyDescent="0.3">
      <c r="A1055">
        <v>1957</v>
      </c>
      <c r="B1055">
        <v>2002</v>
      </c>
      <c r="C1055">
        <v>144500</v>
      </c>
    </row>
    <row r="1056" spans="1:3" x14ac:dyDescent="0.3">
      <c r="A1056">
        <v>2002</v>
      </c>
      <c r="B1056">
        <v>2002</v>
      </c>
      <c r="C1056">
        <v>255000</v>
      </c>
    </row>
    <row r="1057" spans="1:3" x14ac:dyDescent="0.3">
      <c r="A1057">
        <v>1976</v>
      </c>
      <c r="B1057">
        <v>1976</v>
      </c>
      <c r="C1057">
        <v>180000</v>
      </c>
    </row>
    <row r="1058" spans="1:3" x14ac:dyDescent="0.3">
      <c r="A1058">
        <v>2005</v>
      </c>
      <c r="B1058">
        <v>2005</v>
      </c>
      <c r="C1058">
        <v>185850</v>
      </c>
    </row>
    <row r="1059" spans="1:3" x14ac:dyDescent="0.3">
      <c r="A1059">
        <v>1994</v>
      </c>
      <c r="B1059">
        <v>1994</v>
      </c>
      <c r="C1059">
        <v>248000</v>
      </c>
    </row>
    <row r="1060" spans="1:3" x14ac:dyDescent="0.3">
      <c r="A1060">
        <v>2008</v>
      </c>
      <c r="B1060">
        <v>2008</v>
      </c>
      <c r="C1060">
        <v>335000</v>
      </c>
    </row>
    <row r="1061" spans="1:3" x14ac:dyDescent="0.3">
      <c r="A1061">
        <v>1932</v>
      </c>
      <c r="B1061">
        <v>1950</v>
      </c>
      <c r="C1061">
        <v>220000</v>
      </c>
    </row>
    <row r="1062" spans="1:3" x14ac:dyDescent="0.3">
      <c r="A1062">
        <v>2001</v>
      </c>
      <c r="B1062">
        <v>2001</v>
      </c>
      <c r="C1062">
        <v>213500</v>
      </c>
    </row>
    <row r="1063" spans="1:3" x14ac:dyDescent="0.3">
      <c r="A1063">
        <v>1935</v>
      </c>
      <c r="B1063">
        <v>1950</v>
      </c>
      <c r="C1063">
        <v>81000</v>
      </c>
    </row>
    <row r="1064" spans="1:3" x14ac:dyDescent="0.3">
      <c r="A1064">
        <v>1900</v>
      </c>
      <c r="B1064">
        <v>1950</v>
      </c>
      <c r="C1064">
        <v>90000</v>
      </c>
    </row>
    <row r="1065" spans="1:3" x14ac:dyDescent="0.3">
      <c r="A1065">
        <v>1925</v>
      </c>
      <c r="B1065">
        <v>1980</v>
      </c>
      <c r="C1065">
        <v>110500</v>
      </c>
    </row>
    <row r="1066" spans="1:3" x14ac:dyDescent="0.3">
      <c r="A1066">
        <v>1966</v>
      </c>
      <c r="B1066">
        <v>1966</v>
      </c>
      <c r="C1066">
        <v>154000</v>
      </c>
    </row>
    <row r="1067" spans="1:3" x14ac:dyDescent="0.3">
      <c r="A1067">
        <v>1996</v>
      </c>
      <c r="B1067">
        <v>1997</v>
      </c>
      <c r="C1067">
        <v>328000</v>
      </c>
    </row>
    <row r="1068" spans="1:3" x14ac:dyDescent="0.3">
      <c r="A1068">
        <v>1993</v>
      </c>
      <c r="B1068">
        <v>1994</v>
      </c>
      <c r="C1068">
        <v>178000</v>
      </c>
    </row>
    <row r="1069" spans="1:3" x14ac:dyDescent="0.3">
      <c r="A1069">
        <v>1964</v>
      </c>
      <c r="B1069">
        <v>1964</v>
      </c>
      <c r="C1069">
        <v>167900</v>
      </c>
    </row>
    <row r="1070" spans="1:3" x14ac:dyDescent="0.3">
      <c r="A1070">
        <v>1973</v>
      </c>
      <c r="B1070">
        <v>1973</v>
      </c>
      <c r="C1070">
        <v>151400</v>
      </c>
    </row>
    <row r="1071" spans="1:3" x14ac:dyDescent="0.3">
      <c r="A1071">
        <v>1949</v>
      </c>
      <c r="B1071">
        <v>2003</v>
      </c>
      <c r="C1071">
        <v>135000</v>
      </c>
    </row>
    <row r="1072" spans="1:3" x14ac:dyDescent="0.3">
      <c r="A1072">
        <v>1956</v>
      </c>
      <c r="B1072">
        <v>1956</v>
      </c>
      <c r="C1072">
        <v>135000</v>
      </c>
    </row>
    <row r="1073" spans="1:3" x14ac:dyDescent="0.3">
      <c r="A1073">
        <v>1968</v>
      </c>
      <c r="B1073">
        <v>1968</v>
      </c>
      <c r="C1073">
        <v>154000</v>
      </c>
    </row>
    <row r="1074" spans="1:3" x14ac:dyDescent="0.3">
      <c r="A1074">
        <v>1948</v>
      </c>
      <c r="B1074">
        <v>1950</v>
      </c>
      <c r="C1074">
        <v>91500</v>
      </c>
    </row>
    <row r="1075" spans="1:3" x14ac:dyDescent="0.3">
      <c r="A1075">
        <v>1977</v>
      </c>
      <c r="B1075">
        <v>1977</v>
      </c>
      <c r="C1075">
        <v>159500</v>
      </c>
    </row>
    <row r="1076" spans="1:3" x14ac:dyDescent="0.3">
      <c r="A1076">
        <v>2006</v>
      </c>
      <c r="B1076">
        <v>2006</v>
      </c>
      <c r="C1076">
        <v>194000</v>
      </c>
    </row>
    <row r="1077" spans="1:3" x14ac:dyDescent="0.3">
      <c r="A1077">
        <v>1940</v>
      </c>
      <c r="B1077">
        <v>1984</v>
      </c>
      <c r="C1077">
        <v>219500</v>
      </c>
    </row>
    <row r="1078" spans="1:3" x14ac:dyDescent="0.3">
      <c r="A1078">
        <v>1936</v>
      </c>
      <c r="B1078">
        <v>1989</v>
      </c>
      <c r="C1078">
        <v>170000</v>
      </c>
    </row>
    <row r="1079" spans="1:3" x14ac:dyDescent="0.3">
      <c r="A1079">
        <v>1969</v>
      </c>
      <c r="B1079">
        <v>1969</v>
      </c>
      <c r="C1079">
        <v>138800</v>
      </c>
    </row>
    <row r="1080" spans="1:3" x14ac:dyDescent="0.3">
      <c r="A1080">
        <v>2004</v>
      </c>
      <c r="B1080">
        <v>2004</v>
      </c>
      <c r="C1080">
        <v>155900</v>
      </c>
    </row>
    <row r="1081" spans="1:3" x14ac:dyDescent="0.3">
      <c r="A1081">
        <v>1994</v>
      </c>
      <c r="B1081">
        <v>1994</v>
      </c>
      <c r="C1081">
        <v>126000</v>
      </c>
    </row>
    <row r="1082" spans="1:3" x14ac:dyDescent="0.3">
      <c r="A1082">
        <v>1971</v>
      </c>
      <c r="B1082">
        <v>2004</v>
      </c>
      <c r="C1082">
        <v>145000</v>
      </c>
    </row>
    <row r="1083" spans="1:3" x14ac:dyDescent="0.3">
      <c r="A1083">
        <v>1963</v>
      </c>
      <c r="B1083">
        <v>1963</v>
      </c>
      <c r="C1083">
        <v>133000</v>
      </c>
    </row>
    <row r="1084" spans="1:3" x14ac:dyDescent="0.3">
      <c r="A1084">
        <v>2002</v>
      </c>
      <c r="B1084">
        <v>2002</v>
      </c>
      <c r="C1084">
        <v>192000</v>
      </c>
    </row>
    <row r="1085" spans="1:3" x14ac:dyDescent="0.3">
      <c r="A1085">
        <v>1964</v>
      </c>
      <c r="B1085">
        <v>1964</v>
      </c>
      <c r="C1085">
        <v>160000</v>
      </c>
    </row>
    <row r="1086" spans="1:3" x14ac:dyDescent="0.3">
      <c r="A1086">
        <v>1995</v>
      </c>
      <c r="B1086">
        <v>1996</v>
      </c>
      <c r="C1086">
        <v>187500</v>
      </c>
    </row>
    <row r="1087" spans="1:3" x14ac:dyDescent="0.3">
      <c r="A1087">
        <v>1992</v>
      </c>
      <c r="B1087">
        <v>1992</v>
      </c>
      <c r="C1087">
        <v>147000</v>
      </c>
    </row>
    <row r="1088" spans="1:3" x14ac:dyDescent="0.3">
      <c r="A1088">
        <v>1973</v>
      </c>
      <c r="B1088">
        <v>1973</v>
      </c>
      <c r="C1088">
        <v>83500</v>
      </c>
    </row>
    <row r="1089" spans="1:3" x14ac:dyDescent="0.3">
      <c r="A1089">
        <v>2005</v>
      </c>
      <c r="B1089">
        <v>2006</v>
      </c>
      <c r="C1089">
        <v>252000</v>
      </c>
    </row>
    <row r="1090" spans="1:3" x14ac:dyDescent="0.3">
      <c r="A1090">
        <v>2004</v>
      </c>
      <c r="B1090">
        <v>2004</v>
      </c>
      <c r="C1090">
        <v>137500</v>
      </c>
    </row>
    <row r="1091" spans="1:3" x14ac:dyDescent="0.3">
      <c r="A1091">
        <v>2005</v>
      </c>
      <c r="B1091">
        <v>2005</v>
      </c>
      <c r="C1091">
        <v>197000</v>
      </c>
    </row>
    <row r="1092" spans="1:3" x14ac:dyDescent="0.3">
      <c r="A1092">
        <v>1950</v>
      </c>
      <c r="B1092">
        <v>1950</v>
      </c>
      <c r="C1092">
        <v>92900</v>
      </c>
    </row>
    <row r="1093" spans="1:3" x14ac:dyDescent="0.3">
      <c r="A1093">
        <v>1999</v>
      </c>
      <c r="B1093">
        <v>2000</v>
      </c>
      <c r="C1093">
        <v>160000</v>
      </c>
    </row>
    <row r="1094" spans="1:3" x14ac:dyDescent="0.3">
      <c r="A1094">
        <v>1925</v>
      </c>
      <c r="B1094">
        <v>1950</v>
      </c>
      <c r="C1094">
        <v>136500</v>
      </c>
    </row>
    <row r="1095" spans="1:3" x14ac:dyDescent="0.3">
      <c r="A1095">
        <v>1965</v>
      </c>
      <c r="B1095">
        <v>1998</v>
      </c>
      <c r="C1095">
        <v>146000</v>
      </c>
    </row>
    <row r="1096" spans="1:3" x14ac:dyDescent="0.3">
      <c r="A1096">
        <v>1956</v>
      </c>
      <c r="B1096">
        <v>2000</v>
      </c>
      <c r="C1096">
        <v>129000</v>
      </c>
    </row>
    <row r="1097" spans="1:3" x14ac:dyDescent="0.3">
      <c r="A1097">
        <v>2006</v>
      </c>
      <c r="B1097">
        <v>2006</v>
      </c>
      <c r="C1097">
        <v>176432</v>
      </c>
    </row>
    <row r="1098" spans="1:3" x14ac:dyDescent="0.3">
      <c r="A1098">
        <v>1914</v>
      </c>
      <c r="B1098">
        <v>2006</v>
      </c>
      <c r="C1098">
        <v>127000</v>
      </c>
    </row>
    <row r="1099" spans="1:3" x14ac:dyDescent="0.3">
      <c r="A1099">
        <v>1986</v>
      </c>
      <c r="B1099">
        <v>1986</v>
      </c>
      <c r="C1099">
        <v>170000</v>
      </c>
    </row>
    <row r="1100" spans="1:3" x14ac:dyDescent="0.3">
      <c r="A1100">
        <v>1936</v>
      </c>
      <c r="B1100">
        <v>1950</v>
      </c>
      <c r="C1100">
        <v>128000</v>
      </c>
    </row>
    <row r="1101" spans="1:3" x14ac:dyDescent="0.3">
      <c r="A1101">
        <v>1978</v>
      </c>
      <c r="B1101">
        <v>1978</v>
      </c>
      <c r="C1101">
        <v>157000</v>
      </c>
    </row>
    <row r="1102" spans="1:3" x14ac:dyDescent="0.3">
      <c r="A1102">
        <v>1920</v>
      </c>
      <c r="B1102">
        <v>1950</v>
      </c>
      <c r="C1102">
        <v>60000</v>
      </c>
    </row>
    <row r="1103" spans="1:3" x14ac:dyDescent="0.3">
      <c r="A1103">
        <v>1971</v>
      </c>
      <c r="B1103">
        <v>1971</v>
      </c>
      <c r="C1103">
        <v>119500</v>
      </c>
    </row>
    <row r="1104" spans="1:3" x14ac:dyDescent="0.3">
      <c r="A1104">
        <v>1960</v>
      </c>
      <c r="B1104">
        <v>2002</v>
      </c>
      <c r="C1104">
        <v>135000</v>
      </c>
    </row>
    <row r="1105" spans="1:3" x14ac:dyDescent="0.3">
      <c r="A1105">
        <v>1959</v>
      </c>
      <c r="B1105">
        <v>1959</v>
      </c>
      <c r="C1105">
        <v>159500</v>
      </c>
    </row>
    <row r="1106" spans="1:3" x14ac:dyDescent="0.3">
      <c r="A1106">
        <v>1970</v>
      </c>
      <c r="B1106">
        <v>1970</v>
      </c>
      <c r="C1106">
        <v>106000</v>
      </c>
    </row>
    <row r="1107" spans="1:3" x14ac:dyDescent="0.3">
      <c r="A1107">
        <v>1994</v>
      </c>
      <c r="B1107">
        <v>1995</v>
      </c>
      <c r="C1107">
        <v>325000</v>
      </c>
    </row>
    <row r="1108" spans="1:3" x14ac:dyDescent="0.3">
      <c r="A1108">
        <v>1990</v>
      </c>
      <c r="B1108">
        <v>1991</v>
      </c>
      <c r="C1108">
        <v>179900</v>
      </c>
    </row>
    <row r="1109" spans="1:3" x14ac:dyDescent="0.3">
      <c r="A1109">
        <v>2006</v>
      </c>
      <c r="B1109">
        <v>2006</v>
      </c>
      <c r="C1109">
        <v>274725</v>
      </c>
    </row>
    <row r="1110" spans="1:3" x14ac:dyDescent="0.3">
      <c r="A1110">
        <v>2000</v>
      </c>
      <c r="B1110">
        <v>2000</v>
      </c>
      <c r="C1110">
        <v>181000</v>
      </c>
    </row>
    <row r="1111" spans="1:3" x14ac:dyDescent="0.3">
      <c r="A1111">
        <v>2004</v>
      </c>
      <c r="B1111">
        <v>2005</v>
      </c>
      <c r="C1111">
        <v>280000</v>
      </c>
    </row>
    <row r="1112" spans="1:3" x14ac:dyDescent="0.3">
      <c r="A1112">
        <v>1995</v>
      </c>
      <c r="B1112">
        <v>1996</v>
      </c>
      <c r="C1112">
        <v>188000</v>
      </c>
    </row>
    <row r="1113" spans="1:3" x14ac:dyDescent="0.3">
      <c r="A1113">
        <v>1976</v>
      </c>
      <c r="B1113">
        <v>1976</v>
      </c>
      <c r="C1113">
        <v>205000</v>
      </c>
    </row>
    <row r="1114" spans="1:3" x14ac:dyDescent="0.3">
      <c r="A1114">
        <v>1957</v>
      </c>
      <c r="B1114">
        <v>1957</v>
      </c>
      <c r="C1114">
        <v>129900</v>
      </c>
    </row>
    <row r="1115" spans="1:3" x14ac:dyDescent="0.3">
      <c r="A1115">
        <v>1953</v>
      </c>
      <c r="B1115">
        <v>2006</v>
      </c>
      <c r="C1115">
        <v>134500</v>
      </c>
    </row>
    <row r="1116" spans="1:3" x14ac:dyDescent="0.3">
      <c r="A1116">
        <v>1954</v>
      </c>
      <c r="B1116">
        <v>2000</v>
      </c>
      <c r="C1116">
        <v>117000</v>
      </c>
    </row>
    <row r="1117" spans="1:3" x14ac:dyDescent="0.3">
      <c r="A1117">
        <v>2007</v>
      </c>
      <c r="B1117">
        <v>2007</v>
      </c>
      <c r="C1117">
        <v>318000</v>
      </c>
    </row>
    <row r="1118" spans="1:3" x14ac:dyDescent="0.3">
      <c r="A1118">
        <v>2002</v>
      </c>
      <c r="B1118">
        <v>2002</v>
      </c>
      <c r="C1118">
        <v>184100</v>
      </c>
    </row>
    <row r="1119" spans="1:3" x14ac:dyDescent="0.3">
      <c r="A1119">
        <v>1967</v>
      </c>
      <c r="B1119">
        <v>2003</v>
      </c>
      <c r="C1119">
        <v>130000</v>
      </c>
    </row>
    <row r="1120" spans="1:3" x14ac:dyDescent="0.3">
      <c r="A1120">
        <v>1958</v>
      </c>
      <c r="B1120">
        <v>1987</v>
      </c>
      <c r="C1120">
        <v>140000</v>
      </c>
    </row>
    <row r="1121" spans="1:3" x14ac:dyDescent="0.3">
      <c r="A1121">
        <v>1959</v>
      </c>
      <c r="B1121">
        <v>1959</v>
      </c>
      <c r="C1121">
        <v>133700</v>
      </c>
    </row>
    <row r="1122" spans="1:3" x14ac:dyDescent="0.3">
      <c r="A1122">
        <v>1920</v>
      </c>
      <c r="B1122">
        <v>1950</v>
      </c>
      <c r="C1122">
        <v>118400</v>
      </c>
    </row>
    <row r="1123" spans="1:3" x14ac:dyDescent="0.3">
      <c r="A1123">
        <v>2005</v>
      </c>
      <c r="B1123">
        <v>2006</v>
      </c>
      <c r="C1123">
        <v>212900</v>
      </c>
    </row>
    <row r="1124" spans="1:3" x14ac:dyDescent="0.3">
      <c r="A1124">
        <v>1956</v>
      </c>
      <c r="B1124">
        <v>1956</v>
      </c>
      <c r="C1124">
        <v>112000</v>
      </c>
    </row>
    <row r="1125" spans="1:3" x14ac:dyDescent="0.3">
      <c r="A1125">
        <v>1947</v>
      </c>
      <c r="B1125">
        <v>2008</v>
      </c>
      <c r="C1125">
        <v>118000</v>
      </c>
    </row>
    <row r="1126" spans="1:3" x14ac:dyDescent="0.3">
      <c r="A1126">
        <v>1992</v>
      </c>
      <c r="B1126">
        <v>1992</v>
      </c>
      <c r="C1126">
        <v>163900</v>
      </c>
    </row>
    <row r="1127" spans="1:3" x14ac:dyDescent="0.3">
      <c r="A1127">
        <v>1955</v>
      </c>
      <c r="B1127">
        <v>1955</v>
      </c>
      <c r="C1127">
        <v>115000</v>
      </c>
    </row>
    <row r="1128" spans="1:3" x14ac:dyDescent="0.3">
      <c r="A1128">
        <v>2007</v>
      </c>
      <c r="B1128">
        <v>2007</v>
      </c>
      <c r="C1128">
        <v>174000</v>
      </c>
    </row>
    <row r="1129" spans="1:3" x14ac:dyDescent="0.3">
      <c r="A1129">
        <v>2004</v>
      </c>
      <c r="B1129">
        <v>2004</v>
      </c>
      <c r="C1129">
        <v>259000</v>
      </c>
    </row>
    <row r="1130" spans="1:3" x14ac:dyDescent="0.3">
      <c r="A1130">
        <v>2004</v>
      </c>
      <c r="B1130">
        <v>2005</v>
      </c>
      <c r="C1130">
        <v>215000</v>
      </c>
    </row>
    <row r="1131" spans="1:3" x14ac:dyDescent="0.3">
      <c r="A1131">
        <v>1980</v>
      </c>
      <c r="B1131">
        <v>1980</v>
      </c>
      <c r="C1131">
        <v>140000</v>
      </c>
    </row>
    <row r="1132" spans="1:3" x14ac:dyDescent="0.3">
      <c r="A1132">
        <v>1928</v>
      </c>
      <c r="B1132">
        <v>1950</v>
      </c>
      <c r="C1132">
        <v>135000</v>
      </c>
    </row>
    <row r="1133" spans="1:3" x14ac:dyDescent="0.3">
      <c r="A1133">
        <v>1991</v>
      </c>
      <c r="B1133">
        <v>1992</v>
      </c>
      <c r="C1133">
        <v>93500</v>
      </c>
    </row>
    <row r="1134" spans="1:3" x14ac:dyDescent="0.3">
      <c r="A1134">
        <v>1880</v>
      </c>
      <c r="B1134">
        <v>1950</v>
      </c>
      <c r="C1134">
        <v>117500</v>
      </c>
    </row>
    <row r="1135" spans="1:3" x14ac:dyDescent="0.3">
      <c r="A1135">
        <v>1995</v>
      </c>
      <c r="B1135">
        <v>1995</v>
      </c>
      <c r="C1135">
        <v>239500</v>
      </c>
    </row>
    <row r="1136" spans="1:3" x14ac:dyDescent="0.3">
      <c r="A1136">
        <v>1997</v>
      </c>
      <c r="B1136">
        <v>1997</v>
      </c>
      <c r="C1136">
        <v>169000</v>
      </c>
    </row>
    <row r="1137" spans="1:3" x14ac:dyDescent="0.3">
      <c r="A1137">
        <v>1926</v>
      </c>
      <c r="B1137">
        <v>1950</v>
      </c>
      <c r="C1137">
        <v>102000</v>
      </c>
    </row>
    <row r="1138" spans="1:3" x14ac:dyDescent="0.3">
      <c r="A1138">
        <v>1950</v>
      </c>
      <c r="B1138">
        <v>1950</v>
      </c>
      <c r="C1138">
        <v>119000</v>
      </c>
    </row>
    <row r="1139" spans="1:3" x14ac:dyDescent="0.3">
      <c r="A1139">
        <v>1875</v>
      </c>
      <c r="B1139">
        <v>1996</v>
      </c>
      <c r="C1139">
        <v>94000</v>
      </c>
    </row>
    <row r="1140" spans="1:3" x14ac:dyDescent="0.3">
      <c r="A1140">
        <v>1977</v>
      </c>
      <c r="B1140">
        <v>1977</v>
      </c>
      <c r="C1140">
        <v>196000</v>
      </c>
    </row>
    <row r="1141" spans="1:3" x14ac:dyDescent="0.3">
      <c r="A1141">
        <v>1920</v>
      </c>
      <c r="B1141">
        <v>1950</v>
      </c>
      <c r="C1141">
        <v>144000</v>
      </c>
    </row>
    <row r="1142" spans="1:3" x14ac:dyDescent="0.3">
      <c r="A1142">
        <v>1951</v>
      </c>
      <c r="B1142">
        <v>1951</v>
      </c>
      <c r="C1142">
        <v>139000</v>
      </c>
    </row>
    <row r="1143" spans="1:3" x14ac:dyDescent="0.3">
      <c r="A1143">
        <v>1976</v>
      </c>
      <c r="B1143">
        <v>1976</v>
      </c>
      <c r="C1143">
        <v>197500</v>
      </c>
    </row>
    <row r="1144" spans="1:3" x14ac:dyDescent="0.3">
      <c r="A1144">
        <v>2006</v>
      </c>
      <c r="B1144">
        <v>2007</v>
      </c>
      <c r="C1144">
        <v>424870</v>
      </c>
    </row>
    <row r="1145" spans="1:3" x14ac:dyDescent="0.3">
      <c r="A1145">
        <v>1959</v>
      </c>
      <c r="B1145">
        <v>1959</v>
      </c>
      <c r="C1145">
        <v>80000</v>
      </c>
    </row>
    <row r="1146" spans="1:3" x14ac:dyDescent="0.3">
      <c r="A1146">
        <v>1941</v>
      </c>
      <c r="B1146">
        <v>1950</v>
      </c>
      <c r="C1146">
        <v>80000</v>
      </c>
    </row>
    <row r="1147" spans="1:3" x14ac:dyDescent="0.3">
      <c r="A1147">
        <v>1928</v>
      </c>
      <c r="B1147">
        <v>1950</v>
      </c>
      <c r="C1147">
        <v>149000</v>
      </c>
    </row>
    <row r="1148" spans="1:3" x14ac:dyDescent="0.3">
      <c r="A1148">
        <v>1985</v>
      </c>
      <c r="B1148">
        <v>1985</v>
      </c>
      <c r="C1148">
        <v>180000</v>
      </c>
    </row>
    <row r="1149" spans="1:3" x14ac:dyDescent="0.3">
      <c r="A1149">
        <v>1941</v>
      </c>
      <c r="B1149">
        <v>1950</v>
      </c>
      <c r="C1149">
        <v>174500</v>
      </c>
    </row>
    <row r="1150" spans="1:3" x14ac:dyDescent="0.3">
      <c r="A1150">
        <v>1926</v>
      </c>
      <c r="B1150">
        <v>1950</v>
      </c>
      <c r="C1150">
        <v>116900</v>
      </c>
    </row>
    <row r="1151" spans="1:3" x14ac:dyDescent="0.3">
      <c r="A1151">
        <v>1920</v>
      </c>
      <c r="B1151">
        <v>1988</v>
      </c>
      <c r="C1151">
        <v>143000</v>
      </c>
    </row>
    <row r="1152" spans="1:3" x14ac:dyDescent="0.3">
      <c r="A1152">
        <v>1950</v>
      </c>
      <c r="B1152">
        <v>1950</v>
      </c>
      <c r="C1152">
        <v>124000</v>
      </c>
    </row>
    <row r="1153" spans="1:3" x14ac:dyDescent="0.3">
      <c r="A1153">
        <v>1959</v>
      </c>
      <c r="B1153">
        <v>1959</v>
      </c>
      <c r="C1153">
        <v>149900</v>
      </c>
    </row>
    <row r="1154" spans="1:3" x14ac:dyDescent="0.3">
      <c r="A1154">
        <v>1956</v>
      </c>
      <c r="B1154">
        <v>2004</v>
      </c>
      <c r="C1154">
        <v>230000</v>
      </c>
    </row>
    <row r="1155" spans="1:3" x14ac:dyDescent="0.3">
      <c r="A1155">
        <v>1930</v>
      </c>
      <c r="B1155">
        <v>2007</v>
      </c>
      <c r="C1155">
        <v>120500</v>
      </c>
    </row>
    <row r="1156" spans="1:3" x14ac:dyDescent="0.3">
      <c r="A1156">
        <v>1965</v>
      </c>
      <c r="B1156">
        <v>1988</v>
      </c>
      <c r="C1156">
        <v>201800</v>
      </c>
    </row>
    <row r="1157" spans="1:3" x14ac:dyDescent="0.3">
      <c r="A1157">
        <v>1976</v>
      </c>
      <c r="B1157">
        <v>2004</v>
      </c>
      <c r="C1157">
        <v>218000</v>
      </c>
    </row>
    <row r="1158" spans="1:3" x14ac:dyDescent="0.3">
      <c r="A1158">
        <v>1965</v>
      </c>
      <c r="B1158">
        <v>1999</v>
      </c>
      <c r="C1158">
        <v>179900</v>
      </c>
    </row>
    <row r="1159" spans="1:3" x14ac:dyDescent="0.3">
      <c r="A1159">
        <v>2007</v>
      </c>
      <c r="B1159">
        <v>2008</v>
      </c>
      <c r="C1159">
        <v>230000</v>
      </c>
    </row>
    <row r="1160" spans="1:3" x14ac:dyDescent="0.3">
      <c r="A1160">
        <v>2007</v>
      </c>
      <c r="B1160">
        <v>2008</v>
      </c>
      <c r="C1160">
        <v>235128</v>
      </c>
    </row>
    <row r="1161" spans="1:3" x14ac:dyDescent="0.3">
      <c r="A1161">
        <v>1974</v>
      </c>
      <c r="B1161">
        <v>1974</v>
      </c>
      <c r="C1161">
        <v>185000</v>
      </c>
    </row>
    <row r="1162" spans="1:3" x14ac:dyDescent="0.3">
      <c r="A1162">
        <v>1978</v>
      </c>
      <c r="B1162">
        <v>1978</v>
      </c>
      <c r="C1162">
        <v>146000</v>
      </c>
    </row>
    <row r="1163" spans="1:3" x14ac:dyDescent="0.3">
      <c r="A1163">
        <v>1954</v>
      </c>
      <c r="B1163">
        <v>2006</v>
      </c>
      <c r="C1163">
        <v>224000</v>
      </c>
    </row>
    <row r="1164" spans="1:3" x14ac:dyDescent="0.3">
      <c r="A1164">
        <v>1968</v>
      </c>
      <c r="B1164">
        <v>1968</v>
      </c>
      <c r="C1164">
        <v>129000</v>
      </c>
    </row>
    <row r="1165" spans="1:3" x14ac:dyDescent="0.3">
      <c r="A1165">
        <v>1969</v>
      </c>
      <c r="B1165">
        <v>1969</v>
      </c>
      <c r="C1165">
        <v>108959</v>
      </c>
    </row>
    <row r="1166" spans="1:3" x14ac:dyDescent="0.3">
      <c r="A1166">
        <v>1978</v>
      </c>
      <c r="B1166">
        <v>1978</v>
      </c>
      <c r="C1166">
        <v>194000</v>
      </c>
    </row>
    <row r="1167" spans="1:3" x14ac:dyDescent="0.3">
      <c r="A1167">
        <v>2009</v>
      </c>
      <c r="B1167">
        <v>2009</v>
      </c>
      <c r="C1167">
        <v>233170</v>
      </c>
    </row>
    <row r="1168" spans="1:3" x14ac:dyDescent="0.3">
      <c r="A1168">
        <v>2008</v>
      </c>
      <c r="B1168">
        <v>2008</v>
      </c>
      <c r="C1168">
        <v>245350</v>
      </c>
    </row>
    <row r="1169" spans="1:3" x14ac:dyDescent="0.3">
      <c r="A1169">
        <v>2000</v>
      </c>
      <c r="B1169">
        <v>2000</v>
      </c>
      <c r="C1169">
        <v>173000</v>
      </c>
    </row>
    <row r="1170" spans="1:3" x14ac:dyDescent="0.3">
      <c r="A1170">
        <v>1935</v>
      </c>
      <c r="B1170">
        <v>1986</v>
      </c>
      <c r="C1170">
        <v>235000</v>
      </c>
    </row>
    <row r="1171" spans="1:3" x14ac:dyDescent="0.3">
      <c r="A1171">
        <v>1995</v>
      </c>
      <c r="B1171">
        <v>1996</v>
      </c>
      <c r="C1171">
        <v>625000</v>
      </c>
    </row>
    <row r="1172" spans="1:3" x14ac:dyDescent="0.3">
      <c r="A1172">
        <v>1977</v>
      </c>
      <c r="B1172">
        <v>1977</v>
      </c>
      <c r="C1172">
        <v>171000</v>
      </c>
    </row>
    <row r="1173" spans="1:3" x14ac:dyDescent="0.3">
      <c r="A1173">
        <v>1958</v>
      </c>
      <c r="B1173">
        <v>1958</v>
      </c>
      <c r="C1173">
        <v>163000</v>
      </c>
    </row>
    <row r="1174" spans="1:3" x14ac:dyDescent="0.3">
      <c r="A1174">
        <v>2006</v>
      </c>
      <c r="B1174">
        <v>2007</v>
      </c>
      <c r="C1174">
        <v>171900</v>
      </c>
    </row>
    <row r="1175" spans="1:3" x14ac:dyDescent="0.3">
      <c r="A1175">
        <v>1946</v>
      </c>
      <c r="B1175">
        <v>1994</v>
      </c>
      <c r="C1175">
        <v>200500</v>
      </c>
    </row>
    <row r="1176" spans="1:3" x14ac:dyDescent="0.3">
      <c r="A1176">
        <v>1932</v>
      </c>
      <c r="B1176">
        <v>1950</v>
      </c>
      <c r="C1176">
        <v>239000</v>
      </c>
    </row>
    <row r="1177" spans="1:3" x14ac:dyDescent="0.3">
      <c r="A1177">
        <v>1992</v>
      </c>
      <c r="B1177">
        <v>2000</v>
      </c>
      <c r="C1177">
        <v>285000</v>
      </c>
    </row>
    <row r="1178" spans="1:3" x14ac:dyDescent="0.3">
      <c r="A1178">
        <v>1984</v>
      </c>
      <c r="B1178">
        <v>1985</v>
      </c>
      <c r="C1178">
        <v>119500</v>
      </c>
    </row>
    <row r="1179" spans="1:3" x14ac:dyDescent="0.3">
      <c r="A1179">
        <v>1926</v>
      </c>
      <c r="B1179">
        <v>2004</v>
      </c>
      <c r="C1179">
        <v>115000</v>
      </c>
    </row>
    <row r="1180" spans="1:3" x14ac:dyDescent="0.3">
      <c r="A1180">
        <v>1921</v>
      </c>
      <c r="B1180">
        <v>1950</v>
      </c>
      <c r="C1180">
        <v>154900</v>
      </c>
    </row>
    <row r="1181" spans="1:3" x14ac:dyDescent="0.3">
      <c r="A1181">
        <v>1954</v>
      </c>
      <c r="B1181">
        <v>1954</v>
      </c>
      <c r="C1181">
        <v>93000</v>
      </c>
    </row>
    <row r="1182" spans="1:3" x14ac:dyDescent="0.3">
      <c r="A1182">
        <v>1990</v>
      </c>
      <c r="B1182">
        <v>1991</v>
      </c>
      <c r="C1182">
        <v>250000</v>
      </c>
    </row>
    <row r="1183" spans="1:3" x14ac:dyDescent="0.3">
      <c r="A1183">
        <v>2008</v>
      </c>
      <c r="B1183">
        <v>2008</v>
      </c>
      <c r="C1183">
        <v>392500</v>
      </c>
    </row>
    <row r="1184" spans="1:3" x14ac:dyDescent="0.3">
      <c r="A1184">
        <v>1996</v>
      </c>
      <c r="B1184">
        <v>1996</v>
      </c>
      <c r="C1184">
        <v>745000</v>
      </c>
    </row>
    <row r="1185" spans="1:3" x14ac:dyDescent="0.3">
      <c r="A1185">
        <v>1920</v>
      </c>
      <c r="B1185">
        <v>1950</v>
      </c>
      <c r="C1185">
        <v>120000</v>
      </c>
    </row>
    <row r="1186" spans="1:3" x14ac:dyDescent="0.3">
      <c r="A1186">
        <v>1963</v>
      </c>
      <c r="B1186">
        <v>1963</v>
      </c>
      <c r="C1186">
        <v>186700</v>
      </c>
    </row>
    <row r="1187" spans="1:3" x14ac:dyDescent="0.3">
      <c r="A1187">
        <v>1924</v>
      </c>
      <c r="B1187">
        <v>1950</v>
      </c>
      <c r="C1187">
        <v>104900</v>
      </c>
    </row>
    <row r="1188" spans="1:3" x14ac:dyDescent="0.3">
      <c r="A1188">
        <v>1900</v>
      </c>
      <c r="B1188">
        <v>1970</v>
      </c>
      <c r="C1188">
        <v>95000</v>
      </c>
    </row>
    <row r="1189" spans="1:3" x14ac:dyDescent="0.3">
      <c r="A1189">
        <v>1994</v>
      </c>
      <c r="B1189">
        <v>1995</v>
      </c>
      <c r="C1189">
        <v>262000</v>
      </c>
    </row>
    <row r="1190" spans="1:3" x14ac:dyDescent="0.3">
      <c r="A1190">
        <v>2002</v>
      </c>
      <c r="B1190">
        <v>2002</v>
      </c>
      <c r="C1190">
        <v>195000</v>
      </c>
    </row>
    <row r="1191" spans="1:3" x14ac:dyDescent="0.3">
      <c r="A1191">
        <v>1999</v>
      </c>
      <c r="B1191">
        <v>1999</v>
      </c>
      <c r="C1191">
        <v>189000</v>
      </c>
    </row>
    <row r="1192" spans="1:3" x14ac:dyDescent="0.3">
      <c r="A1192">
        <v>1961</v>
      </c>
      <c r="B1192">
        <v>1975</v>
      </c>
      <c r="C1192">
        <v>168000</v>
      </c>
    </row>
    <row r="1193" spans="1:3" x14ac:dyDescent="0.3">
      <c r="A1193">
        <v>1999</v>
      </c>
      <c r="B1193">
        <v>2000</v>
      </c>
      <c r="C1193">
        <v>174000</v>
      </c>
    </row>
    <row r="1194" spans="1:3" x14ac:dyDescent="0.3">
      <c r="A1194">
        <v>1925</v>
      </c>
      <c r="B1194">
        <v>1994</v>
      </c>
      <c r="C1194">
        <v>125000</v>
      </c>
    </row>
    <row r="1195" spans="1:3" x14ac:dyDescent="0.3">
      <c r="A1195">
        <v>1999</v>
      </c>
      <c r="B1195">
        <v>1999</v>
      </c>
      <c r="C1195">
        <v>165000</v>
      </c>
    </row>
    <row r="1196" spans="1:3" x14ac:dyDescent="0.3">
      <c r="A1196">
        <v>1969</v>
      </c>
      <c r="B1196">
        <v>1969</v>
      </c>
      <c r="C1196">
        <v>158000</v>
      </c>
    </row>
    <row r="1197" spans="1:3" x14ac:dyDescent="0.3">
      <c r="A1197">
        <v>2005</v>
      </c>
      <c r="B1197">
        <v>2005</v>
      </c>
      <c r="C1197">
        <v>176000</v>
      </c>
    </row>
    <row r="1198" spans="1:3" x14ac:dyDescent="0.3">
      <c r="A1198">
        <v>2006</v>
      </c>
      <c r="B1198">
        <v>2006</v>
      </c>
      <c r="C1198">
        <v>219210</v>
      </c>
    </row>
    <row r="1199" spans="1:3" x14ac:dyDescent="0.3">
      <c r="A1199">
        <v>1916</v>
      </c>
      <c r="B1199">
        <v>1950</v>
      </c>
      <c r="C1199">
        <v>144000</v>
      </c>
    </row>
    <row r="1200" spans="1:3" x14ac:dyDescent="0.3">
      <c r="A1200">
        <v>2001</v>
      </c>
      <c r="B1200">
        <v>2001</v>
      </c>
      <c r="C1200">
        <v>178000</v>
      </c>
    </row>
    <row r="1201" spans="1:3" x14ac:dyDescent="0.3">
      <c r="A1201">
        <v>1963</v>
      </c>
      <c r="B1201">
        <v>1979</v>
      </c>
      <c r="C1201">
        <v>148000</v>
      </c>
    </row>
    <row r="1202" spans="1:3" x14ac:dyDescent="0.3">
      <c r="A1202">
        <v>1970</v>
      </c>
      <c r="B1202">
        <v>1970</v>
      </c>
      <c r="C1202">
        <v>116050</v>
      </c>
    </row>
    <row r="1203" spans="1:3" x14ac:dyDescent="0.3">
      <c r="A1203">
        <v>1998</v>
      </c>
      <c r="B1203">
        <v>1998</v>
      </c>
      <c r="C1203">
        <v>197900</v>
      </c>
    </row>
    <row r="1204" spans="1:3" x14ac:dyDescent="0.3">
      <c r="A1204">
        <v>1925</v>
      </c>
      <c r="B1204">
        <v>1997</v>
      </c>
      <c r="C1204">
        <v>117000</v>
      </c>
    </row>
    <row r="1205" spans="1:3" x14ac:dyDescent="0.3">
      <c r="A1205">
        <v>2000</v>
      </c>
      <c r="B1205">
        <v>2001</v>
      </c>
      <c r="C1205">
        <v>213000</v>
      </c>
    </row>
    <row r="1206" spans="1:3" x14ac:dyDescent="0.3">
      <c r="A1206">
        <v>1975</v>
      </c>
      <c r="B1206">
        <v>1975</v>
      </c>
      <c r="C1206">
        <v>153500</v>
      </c>
    </row>
    <row r="1207" spans="1:3" x14ac:dyDescent="0.3">
      <c r="A1207">
        <v>1990</v>
      </c>
      <c r="B1207">
        <v>1991</v>
      </c>
      <c r="C1207">
        <v>271900</v>
      </c>
    </row>
    <row r="1208" spans="1:3" x14ac:dyDescent="0.3">
      <c r="A1208">
        <v>1966</v>
      </c>
      <c r="B1208">
        <v>1966</v>
      </c>
      <c r="C1208">
        <v>107000</v>
      </c>
    </row>
    <row r="1209" spans="1:3" x14ac:dyDescent="0.3">
      <c r="A1209">
        <v>2003</v>
      </c>
      <c r="B1209">
        <v>2003</v>
      </c>
      <c r="C1209">
        <v>200000</v>
      </c>
    </row>
    <row r="1210" spans="1:3" x14ac:dyDescent="0.3">
      <c r="A1210">
        <v>1962</v>
      </c>
      <c r="B1210">
        <v>1980</v>
      </c>
      <c r="C1210">
        <v>140000</v>
      </c>
    </row>
    <row r="1211" spans="1:3" x14ac:dyDescent="0.3">
      <c r="A1211">
        <v>2006</v>
      </c>
      <c r="B1211">
        <v>2006</v>
      </c>
      <c r="C1211">
        <v>290000</v>
      </c>
    </row>
    <row r="1212" spans="1:3" x14ac:dyDescent="0.3">
      <c r="A1212">
        <v>1992</v>
      </c>
      <c r="B1212">
        <v>1992</v>
      </c>
      <c r="C1212">
        <v>189000</v>
      </c>
    </row>
    <row r="1213" spans="1:3" x14ac:dyDescent="0.3">
      <c r="A1213">
        <v>1988</v>
      </c>
      <c r="B1213">
        <v>2005</v>
      </c>
      <c r="C1213">
        <v>164000</v>
      </c>
    </row>
    <row r="1214" spans="1:3" x14ac:dyDescent="0.3">
      <c r="A1214">
        <v>1941</v>
      </c>
      <c r="B1214">
        <v>1950</v>
      </c>
      <c r="C1214">
        <v>113000</v>
      </c>
    </row>
    <row r="1215" spans="1:3" x14ac:dyDescent="0.3">
      <c r="A1215">
        <v>1965</v>
      </c>
      <c r="B1215">
        <v>2001</v>
      </c>
      <c r="C1215">
        <v>145000</v>
      </c>
    </row>
    <row r="1216" spans="1:3" x14ac:dyDescent="0.3">
      <c r="A1216">
        <v>1962</v>
      </c>
      <c r="B1216">
        <v>1962</v>
      </c>
      <c r="C1216">
        <v>134500</v>
      </c>
    </row>
    <row r="1217" spans="1:3" x14ac:dyDescent="0.3">
      <c r="A1217">
        <v>1966</v>
      </c>
      <c r="B1217">
        <v>1966</v>
      </c>
      <c r="C1217">
        <v>125000</v>
      </c>
    </row>
    <row r="1218" spans="1:3" x14ac:dyDescent="0.3">
      <c r="A1218">
        <v>1978</v>
      </c>
      <c r="B1218">
        <v>1978</v>
      </c>
      <c r="C1218">
        <v>112000</v>
      </c>
    </row>
    <row r="1219" spans="1:3" x14ac:dyDescent="0.3">
      <c r="A1219">
        <v>2009</v>
      </c>
      <c r="B1219">
        <v>2009</v>
      </c>
      <c r="C1219">
        <v>229456</v>
      </c>
    </row>
    <row r="1220" spans="1:3" x14ac:dyDescent="0.3">
      <c r="A1220">
        <v>1947</v>
      </c>
      <c r="B1220">
        <v>1950</v>
      </c>
      <c r="C1220">
        <v>80500</v>
      </c>
    </row>
    <row r="1221" spans="1:3" x14ac:dyDescent="0.3">
      <c r="A1221">
        <v>1971</v>
      </c>
      <c r="B1221">
        <v>1971</v>
      </c>
      <c r="C1221">
        <v>91500</v>
      </c>
    </row>
    <row r="1222" spans="1:3" x14ac:dyDescent="0.3">
      <c r="A1222">
        <v>1964</v>
      </c>
      <c r="B1222">
        <v>1964</v>
      </c>
      <c r="C1222">
        <v>115000</v>
      </c>
    </row>
    <row r="1223" spans="1:3" x14ac:dyDescent="0.3">
      <c r="A1223">
        <v>1968</v>
      </c>
      <c r="B1223">
        <v>1968</v>
      </c>
      <c r="C1223">
        <v>134000</v>
      </c>
    </row>
    <row r="1224" spans="1:3" x14ac:dyDescent="0.3">
      <c r="A1224">
        <v>1949</v>
      </c>
      <c r="B1224">
        <v>1950</v>
      </c>
      <c r="C1224">
        <v>143000</v>
      </c>
    </row>
    <row r="1225" spans="1:3" x14ac:dyDescent="0.3">
      <c r="A1225">
        <v>1951</v>
      </c>
      <c r="B1225">
        <v>1951</v>
      </c>
      <c r="C1225">
        <v>137900</v>
      </c>
    </row>
    <row r="1226" spans="1:3" x14ac:dyDescent="0.3">
      <c r="A1226">
        <v>2004</v>
      </c>
      <c r="B1226">
        <v>2005</v>
      </c>
      <c r="C1226">
        <v>184000</v>
      </c>
    </row>
    <row r="1227" spans="1:3" x14ac:dyDescent="0.3">
      <c r="A1227">
        <v>1958</v>
      </c>
      <c r="B1227">
        <v>1958</v>
      </c>
      <c r="C1227">
        <v>145000</v>
      </c>
    </row>
    <row r="1228" spans="1:3" x14ac:dyDescent="0.3">
      <c r="A1228">
        <v>2007</v>
      </c>
      <c r="B1228">
        <v>2007</v>
      </c>
      <c r="C1228">
        <v>214000</v>
      </c>
    </row>
    <row r="1229" spans="1:3" x14ac:dyDescent="0.3">
      <c r="A1229">
        <v>1965</v>
      </c>
      <c r="B1229">
        <v>2008</v>
      </c>
      <c r="C1229">
        <v>147000</v>
      </c>
    </row>
    <row r="1230" spans="1:3" x14ac:dyDescent="0.3">
      <c r="A1230">
        <v>2008</v>
      </c>
      <c r="B1230">
        <v>2008</v>
      </c>
      <c r="C1230">
        <v>367294</v>
      </c>
    </row>
    <row r="1231" spans="1:3" x14ac:dyDescent="0.3">
      <c r="A1231">
        <v>1960</v>
      </c>
      <c r="B1231">
        <v>1960</v>
      </c>
      <c r="C1231">
        <v>127000</v>
      </c>
    </row>
    <row r="1232" spans="1:3" x14ac:dyDescent="0.3">
      <c r="A1232">
        <v>1977</v>
      </c>
      <c r="B1232">
        <v>1977</v>
      </c>
      <c r="C1232">
        <v>190000</v>
      </c>
    </row>
    <row r="1233" spans="1:3" x14ac:dyDescent="0.3">
      <c r="A1233">
        <v>1962</v>
      </c>
      <c r="B1233">
        <v>1962</v>
      </c>
      <c r="C1233">
        <v>132500</v>
      </c>
    </row>
    <row r="1234" spans="1:3" x14ac:dyDescent="0.3">
      <c r="A1234">
        <v>1962</v>
      </c>
      <c r="B1234">
        <v>1962</v>
      </c>
      <c r="C1234">
        <v>101800</v>
      </c>
    </row>
    <row r="1235" spans="1:3" x14ac:dyDescent="0.3">
      <c r="A1235">
        <v>1959</v>
      </c>
      <c r="B1235">
        <v>1959</v>
      </c>
      <c r="C1235">
        <v>142000</v>
      </c>
    </row>
    <row r="1236" spans="1:3" x14ac:dyDescent="0.3">
      <c r="A1236">
        <v>1911</v>
      </c>
      <c r="B1236">
        <v>1950</v>
      </c>
      <c r="C1236">
        <v>130000</v>
      </c>
    </row>
    <row r="1237" spans="1:3" x14ac:dyDescent="0.3">
      <c r="A1237">
        <v>1914</v>
      </c>
      <c r="B1237">
        <v>1950</v>
      </c>
      <c r="C1237">
        <v>138887</v>
      </c>
    </row>
    <row r="1238" spans="1:3" x14ac:dyDescent="0.3">
      <c r="A1238">
        <v>2003</v>
      </c>
      <c r="B1238">
        <v>2003</v>
      </c>
      <c r="C1238">
        <v>175500</v>
      </c>
    </row>
    <row r="1239" spans="1:3" x14ac:dyDescent="0.3">
      <c r="A1239">
        <v>2004</v>
      </c>
      <c r="B1239">
        <v>2005</v>
      </c>
      <c r="C1239">
        <v>195000</v>
      </c>
    </row>
    <row r="1240" spans="1:3" x14ac:dyDescent="0.3">
      <c r="A1240">
        <v>2005</v>
      </c>
      <c r="B1240">
        <v>2005</v>
      </c>
      <c r="C1240">
        <v>142500</v>
      </c>
    </row>
    <row r="1241" spans="1:3" x14ac:dyDescent="0.3">
      <c r="A1241">
        <v>2006</v>
      </c>
      <c r="B1241">
        <v>2006</v>
      </c>
      <c r="C1241">
        <v>265900</v>
      </c>
    </row>
    <row r="1242" spans="1:3" x14ac:dyDescent="0.3">
      <c r="A1242">
        <v>2003</v>
      </c>
      <c r="B1242">
        <v>2003</v>
      </c>
      <c r="C1242">
        <v>224900</v>
      </c>
    </row>
    <row r="1243" spans="1:3" x14ac:dyDescent="0.3">
      <c r="A1243">
        <v>2007</v>
      </c>
      <c r="B1243">
        <v>2007</v>
      </c>
      <c r="C1243">
        <v>248328</v>
      </c>
    </row>
    <row r="1244" spans="1:3" x14ac:dyDescent="0.3">
      <c r="A1244">
        <v>1974</v>
      </c>
      <c r="B1244">
        <v>1974</v>
      </c>
      <c r="C1244">
        <v>170000</v>
      </c>
    </row>
    <row r="1245" spans="1:3" x14ac:dyDescent="0.3">
      <c r="A1245">
        <v>2006</v>
      </c>
      <c r="B1245">
        <v>2006</v>
      </c>
      <c r="C1245">
        <v>465000</v>
      </c>
    </row>
    <row r="1246" spans="1:3" x14ac:dyDescent="0.3">
      <c r="A1246">
        <v>1929</v>
      </c>
      <c r="B1246">
        <v>1950</v>
      </c>
      <c r="C1246">
        <v>230000</v>
      </c>
    </row>
    <row r="1247" spans="1:3" x14ac:dyDescent="0.3">
      <c r="A1247">
        <v>1984</v>
      </c>
      <c r="B1247">
        <v>2003</v>
      </c>
      <c r="C1247">
        <v>178000</v>
      </c>
    </row>
    <row r="1248" spans="1:3" x14ac:dyDescent="0.3">
      <c r="A1248">
        <v>2005</v>
      </c>
      <c r="B1248">
        <v>2006</v>
      </c>
      <c r="C1248">
        <v>186500</v>
      </c>
    </row>
    <row r="1249" spans="1:3" x14ac:dyDescent="0.3">
      <c r="A1249">
        <v>1976</v>
      </c>
      <c r="B1249">
        <v>1976</v>
      </c>
      <c r="C1249">
        <v>169900</v>
      </c>
    </row>
    <row r="1250" spans="1:3" x14ac:dyDescent="0.3">
      <c r="A1250">
        <v>1917</v>
      </c>
      <c r="B1250">
        <v>1950</v>
      </c>
      <c r="C1250">
        <v>129500</v>
      </c>
    </row>
    <row r="1251" spans="1:3" x14ac:dyDescent="0.3">
      <c r="A1251">
        <v>1950</v>
      </c>
      <c r="B1251">
        <v>1950</v>
      </c>
      <c r="C1251">
        <v>119000</v>
      </c>
    </row>
    <row r="1252" spans="1:3" x14ac:dyDescent="0.3">
      <c r="A1252">
        <v>1968</v>
      </c>
      <c r="B1252">
        <v>1968</v>
      </c>
      <c r="C1252">
        <v>244000</v>
      </c>
    </row>
    <row r="1253" spans="1:3" x14ac:dyDescent="0.3">
      <c r="A1253">
        <v>2003</v>
      </c>
      <c r="B1253">
        <v>2003</v>
      </c>
      <c r="C1253">
        <v>171750</v>
      </c>
    </row>
    <row r="1254" spans="1:3" x14ac:dyDescent="0.3">
      <c r="A1254">
        <v>1968</v>
      </c>
      <c r="B1254">
        <v>1968</v>
      </c>
      <c r="C1254">
        <v>130000</v>
      </c>
    </row>
    <row r="1255" spans="1:3" x14ac:dyDescent="0.3">
      <c r="A1255">
        <v>1974</v>
      </c>
      <c r="B1255">
        <v>2003</v>
      </c>
      <c r="C1255">
        <v>294000</v>
      </c>
    </row>
    <row r="1256" spans="1:3" x14ac:dyDescent="0.3">
      <c r="A1256">
        <v>2003</v>
      </c>
      <c r="B1256">
        <v>2004</v>
      </c>
      <c r="C1256">
        <v>165400</v>
      </c>
    </row>
    <row r="1257" spans="1:3" x14ac:dyDescent="0.3">
      <c r="A1257">
        <v>1931</v>
      </c>
      <c r="B1257">
        <v>1950</v>
      </c>
      <c r="C1257">
        <v>127500</v>
      </c>
    </row>
    <row r="1258" spans="1:3" x14ac:dyDescent="0.3">
      <c r="A1258">
        <v>1994</v>
      </c>
      <c r="B1258">
        <v>1994</v>
      </c>
      <c r="C1258">
        <v>301500</v>
      </c>
    </row>
    <row r="1259" spans="1:3" x14ac:dyDescent="0.3">
      <c r="A1259">
        <v>1922</v>
      </c>
      <c r="B1259">
        <v>1950</v>
      </c>
      <c r="C1259">
        <v>99900</v>
      </c>
    </row>
    <row r="1260" spans="1:3" x14ac:dyDescent="0.3">
      <c r="A1260">
        <v>2005</v>
      </c>
      <c r="B1260">
        <v>2005</v>
      </c>
      <c r="C1260">
        <v>190000</v>
      </c>
    </row>
    <row r="1261" spans="1:3" x14ac:dyDescent="0.3">
      <c r="A1261">
        <v>1969</v>
      </c>
      <c r="B1261">
        <v>1969</v>
      </c>
      <c r="C1261">
        <v>151000</v>
      </c>
    </row>
    <row r="1262" spans="1:3" x14ac:dyDescent="0.3">
      <c r="A1262">
        <v>1999</v>
      </c>
      <c r="B1262">
        <v>1999</v>
      </c>
      <c r="C1262">
        <v>181000</v>
      </c>
    </row>
    <row r="1263" spans="1:3" x14ac:dyDescent="0.3">
      <c r="A1263">
        <v>1956</v>
      </c>
      <c r="B1263">
        <v>1956</v>
      </c>
      <c r="C1263">
        <v>128900</v>
      </c>
    </row>
    <row r="1264" spans="1:3" x14ac:dyDescent="0.3">
      <c r="A1264">
        <v>1957</v>
      </c>
      <c r="B1264">
        <v>1989</v>
      </c>
      <c r="C1264">
        <v>161500</v>
      </c>
    </row>
    <row r="1265" spans="1:3" x14ac:dyDescent="0.3">
      <c r="A1265">
        <v>1919</v>
      </c>
      <c r="B1265">
        <v>1950</v>
      </c>
      <c r="C1265">
        <v>180500</v>
      </c>
    </row>
    <row r="1266" spans="1:3" x14ac:dyDescent="0.3">
      <c r="A1266">
        <v>1998</v>
      </c>
      <c r="B1266">
        <v>1999</v>
      </c>
      <c r="C1266">
        <v>181000</v>
      </c>
    </row>
    <row r="1267" spans="1:3" x14ac:dyDescent="0.3">
      <c r="A1267">
        <v>1999</v>
      </c>
      <c r="B1267">
        <v>1999</v>
      </c>
      <c r="C1267">
        <v>183900</v>
      </c>
    </row>
    <row r="1268" spans="1:3" x14ac:dyDescent="0.3">
      <c r="A1268">
        <v>1910</v>
      </c>
      <c r="B1268">
        <v>1950</v>
      </c>
      <c r="C1268">
        <v>122000</v>
      </c>
    </row>
    <row r="1269" spans="1:3" x14ac:dyDescent="0.3">
      <c r="A1269">
        <v>2008</v>
      </c>
      <c r="B1269">
        <v>2009</v>
      </c>
      <c r="C1269">
        <v>378500</v>
      </c>
    </row>
    <row r="1270" spans="1:3" x14ac:dyDescent="0.3">
      <c r="A1270">
        <v>1935</v>
      </c>
      <c r="B1270">
        <v>1997</v>
      </c>
      <c r="C1270">
        <v>381000</v>
      </c>
    </row>
    <row r="1271" spans="1:3" x14ac:dyDescent="0.3">
      <c r="A1271">
        <v>1958</v>
      </c>
      <c r="B1271">
        <v>1958</v>
      </c>
      <c r="C1271">
        <v>144000</v>
      </c>
    </row>
    <row r="1272" spans="1:3" x14ac:dyDescent="0.3">
      <c r="A1272">
        <v>1979</v>
      </c>
      <c r="B1272">
        <v>1979</v>
      </c>
      <c r="C1272">
        <v>260000</v>
      </c>
    </row>
    <row r="1273" spans="1:3" x14ac:dyDescent="0.3">
      <c r="A1273">
        <v>1968</v>
      </c>
      <c r="B1273">
        <v>1968</v>
      </c>
      <c r="C1273">
        <v>185750</v>
      </c>
    </row>
    <row r="1274" spans="1:3" x14ac:dyDescent="0.3">
      <c r="A1274">
        <v>1965</v>
      </c>
      <c r="B1274">
        <v>1965</v>
      </c>
      <c r="C1274">
        <v>137000</v>
      </c>
    </row>
    <row r="1275" spans="1:3" x14ac:dyDescent="0.3">
      <c r="A1275">
        <v>1959</v>
      </c>
      <c r="B1275">
        <v>2006</v>
      </c>
      <c r="C1275">
        <v>177000</v>
      </c>
    </row>
    <row r="1276" spans="1:3" x14ac:dyDescent="0.3">
      <c r="A1276">
        <v>1910</v>
      </c>
      <c r="B1276">
        <v>2003</v>
      </c>
      <c r="C1276">
        <v>139000</v>
      </c>
    </row>
    <row r="1277" spans="1:3" x14ac:dyDescent="0.3">
      <c r="A1277">
        <v>1948</v>
      </c>
      <c r="B1277">
        <v>1950</v>
      </c>
      <c r="C1277">
        <v>137000</v>
      </c>
    </row>
    <row r="1278" spans="1:3" x14ac:dyDescent="0.3">
      <c r="A1278">
        <v>1972</v>
      </c>
      <c r="B1278">
        <v>1972</v>
      </c>
      <c r="C1278">
        <v>162000</v>
      </c>
    </row>
    <row r="1279" spans="1:3" x14ac:dyDescent="0.3">
      <c r="A1279">
        <v>1967</v>
      </c>
      <c r="B1279">
        <v>1976</v>
      </c>
      <c r="C1279">
        <v>197900</v>
      </c>
    </row>
    <row r="1280" spans="1:3" x14ac:dyDescent="0.3">
      <c r="A1280">
        <v>2002</v>
      </c>
      <c r="B1280">
        <v>2002</v>
      </c>
      <c r="C1280">
        <v>237000</v>
      </c>
    </row>
    <row r="1281" spans="1:3" x14ac:dyDescent="0.3">
      <c r="A1281">
        <v>1920</v>
      </c>
      <c r="B1281">
        <v>1950</v>
      </c>
      <c r="C1281">
        <v>68400</v>
      </c>
    </row>
    <row r="1282" spans="1:3" x14ac:dyDescent="0.3">
      <c r="A1282">
        <v>2002</v>
      </c>
      <c r="B1282">
        <v>2002</v>
      </c>
      <c r="C1282">
        <v>227000</v>
      </c>
    </row>
    <row r="1283" spans="1:3" x14ac:dyDescent="0.3">
      <c r="A1283">
        <v>1990</v>
      </c>
      <c r="B1283">
        <v>1990</v>
      </c>
      <c r="C1283">
        <v>180000</v>
      </c>
    </row>
    <row r="1284" spans="1:3" x14ac:dyDescent="0.3">
      <c r="A1284">
        <v>1977</v>
      </c>
      <c r="B1284">
        <v>2008</v>
      </c>
      <c r="C1284">
        <v>150500</v>
      </c>
    </row>
    <row r="1285" spans="1:3" x14ac:dyDescent="0.3">
      <c r="A1285">
        <v>1971</v>
      </c>
      <c r="B1285">
        <v>1971</v>
      </c>
      <c r="C1285">
        <v>139000</v>
      </c>
    </row>
    <row r="1286" spans="1:3" x14ac:dyDescent="0.3">
      <c r="A1286">
        <v>1919</v>
      </c>
      <c r="B1286">
        <v>1990</v>
      </c>
      <c r="C1286">
        <v>169000</v>
      </c>
    </row>
    <row r="1287" spans="1:3" x14ac:dyDescent="0.3">
      <c r="A1287">
        <v>1939</v>
      </c>
      <c r="B1287">
        <v>1950</v>
      </c>
      <c r="C1287">
        <v>132500</v>
      </c>
    </row>
    <row r="1288" spans="1:3" x14ac:dyDescent="0.3">
      <c r="A1288">
        <v>1963</v>
      </c>
      <c r="B1288">
        <v>1963</v>
      </c>
      <c r="C1288">
        <v>143000</v>
      </c>
    </row>
    <row r="1289" spans="1:3" x14ac:dyDescent="0.3">
      <c r="A1289">
        <v>1964</v>
      </c>
      <c r="B1289">
        <v>1964</v>
      </c>
      <c r="C1289">
        <v>190000</v>
      </c>
    </row>
    <row r="1290" spans="1:3" x14ac:dyDescent="0.3">
      <c r="A1290">
        <v>2000</v>
      </c>
      <c r="B1290">
        <v>2000</v>
      </c>
      <c r="C1290">
        <v>278000</v>
      </c>
    </row>
    <row r="1291" spans="1:3" x14ac:dyDescent="0.3">
      <c r="A1291">
        <v>2006</v>
      </c>
      <c r="B1291">
        <v>2006</v>
      </c>
      <c r="C1291">
        <v>281000</v>
      </c>
    </row>
    <row r="1292" spans="1:3" x14ac:dyDescent="0.3">
      <c r="A1292">
        <v>1964</v>
      </c>
      <c r="B1292">
        <v>1964</v>
      </c>
      <c r="C1292">
        <v>180500</v>
      </c>
    </row>
    <row r="1293" spans="1:3" x14ac:dyDescent="0.3">
      <c r="A1293">
        <v>1972</v>
      </c>
      <c r="B1293">
        <v>1972</v>
      </c>
      <c r="C1293">
        <v>119500</v>
      </c>
    </row>
    <row r="1294" spans="1:3" x14ac:dyDescent="0.3">
      <c r="A1294">
        <v>1892</v>
      </c>
      <c r="B1294">
        <v>1965</v>
      </c>
      <c r="C1294">
        <v>107500</v>
      </c>
    </row>
    <row r="1295" spans="1:3" x14ac:dyDescent="0.3">
      <c r="A1295">
        <v>1976</v>
      </c>
      <c r="B1295">
        <v>1976</v>
      </c>
      <c r="C1295">
        <v>162900</v>
      </c>
    </row>
    <row r="1296" spans="1:3" x14ac:dyDescent="0.3">
      <c r="A1296">
        <v>1955</v>
      </c>
      <c r="B1296">
        <v>1990</v>
      </c>
      <c r="C1296">
        <v>115000</v>
      </c>
    </row>
    <row r="1297" spans="1:3" x14ac:dyDescent="0.3">
      <c r="A1297">
        <v>1968</v>
      </c>
      <c r="B1297">
        <v>1968</v>
      </c>
      <c r="C1297">
        <v>138500</v>
      </c>
    </row>
    <row r="1298" spans="1:3" x14ac:dyDescent="0.3">
      <c r="A1298">
        <v>1963</v>
      </c>
      <c r="B1298">
        <v>1963</v>
      </c>
      <c r="C1298">
        <v>155000</v>
      </c>
    </row>
    <row r="1299" spans="1:3" x14ac:dyDescent="0.3">
      <c r="A1299">
        <v>2005</v>
      </c>
      <c r="B1299">
        <v>2006</v>
      </c>
      <c r="C1299">
        <v>140000</v>
      </c>
    </row>
    <row r="1300" spans="1:3" x14ac:dyDescent="0.3">
      <c r="A1300">
        <v>2008</v>
      </c>
      <c r="B1300">
        <v>2008</v>
      </c>
      <c r="C1300">
        <v>160000</v>
      </c>
    </row>
    <row r="1301" spans="1:3" x14ac:dyDescent="0.3">
      <c r="A1301">
        <v>1959</v>
      </c>
      <c r="B1301">
        <v>1994</v>
      </c>
      <c r="C1301">
        <v>154000</v>
      </c>
    </row>
    <row r="1302" spans="1:3" x14ac:dyDescent="0.3">
      <c r="A1302">
        <v>1999</v>
      </c>
      <c r="B1302">
        <v>1999</v>
      </c>
      <c r="C1302">
        <v>225000</v>
      </c>
    </row>
    <row r="1303" spans="1:3" x14ac:dyDescent="0.3">
      <c r="A1303">
        <v>1942</v>
      </c>
      <c r="B1303">
        <v>1950</v>
      </c>
      <c r="C1303">
        <v>177500</v>
      </c>
    </row>
    <row r="1304" spans="1:3" x14ac:dyDescent="0.3">
      <c r="A1304">
        <v>1994</v>
      </c>
      <c r="B1304">
        <v>1994</v>
      </c>
      <c r="C1304">
        <v>290000</v>
      </c>
    </row>
    <row r="1305" spans="1:3" x14ac:dyDescent="0.3">
      <c r="A1305">
        <v>2005</v>
      </c>
      <c r="B1305">
        <v>2005</v>
      </c>
      <c r="C1305">
        <v>232000</v>
      </c>
    </row>
    <row r="1306" spans="1:3" x14ac:dyDescent="0.3">
      <c r="A1306">
        <v>2004</v>
      </c>
      <c r="B1306">
        <v>2004</v>
      </c>
      <c r="C1306">
        <v>130000</v>
      </c>
    </row>
    <row r="1307" spans="1:3" x14ac:dyDescent="0.3">
      <c r="A1307">
        <v>2006</v>
      </c>
      <c r="B1307">
        <v>2007</v>
      </c>
      <c r="C1307">
        <v>325000</v>
      </c>
    </row>
    <row r="1308" spans="1:3" x14ac:dyDescent="0.3">
      <c r="A1308">
        <v>2005</v>
      </c>
      <c r="B1308">
        <v>2006</v>
      </c>
      <c r="C1308">
        <v>202500</v>
      </c>
    </row>
    <row r="1309" spans="1:3" x14ac:dyDescent="0.3">
      <c r="A1309">
        <v>1994</v>
      </c>
      <c r="B1309">
        <v>1995</v>
      </c>
      <c r="C1309">
        <v>138000</v>
      </c>
    </row>
    <row r="1310" spans="1:3" x14ac:dyDescent="0.3">
      <c r="A1310">
        <v>1948</v>
      </c>
      <c r="B1310">
        <v>2005</v>
      </c>
      <c r="C1310">
        <v>147000</v>
      </c>
    </row>
    <row r="1311" spans="1:3" x14ac:dyDescent="0.3">
      <c r="A1311">
        <v>1991</v>
      </c>
      <c r="B1311">
        <v>1991</v>
      </c>
      <c r="C1311">
        <v>179200</v>
      </c>
    </row>
    <row r="1312" spans="1:3" x14ac:dyDescent="0.3">
      <c r="A1312">
        <v>1959</v>
      </c>
      <c r="B1312">
        <v>2002</v>
      </c>
      <c r="C1312">
        <v>335000</v>
      </c>
    </row>
    <row r="1313" spans="1:3" x14ac:dyDescent="0.3">
      <c r="A1313">
        <v>2005</v>
      </c>
      <c r="B1313">
        <v>2007</v>
      </c>
      <c r="C1313">
        <v>203000</v>
      </c>
    </row>
    <row r="1314" spans="1:3" x14ac:dyDescent="0.3">
      <c r="A1314">
        <v>1990</v>
      </c>
      <c r="B1314">
        <v>1990</v>
      </c>
      <c r="C1314">
        <v>302000</v>
      </c>
    </row>
    <row r="1315" spans="1:3" x14ac:dyDescent="0.3">
      <c r="A1315">
        <v>1999</v>
      </c>
      <c r="B1315">
        <v>1999</v>
      </c>
      <c r="C1315">
        <v>333168</v>
      </c>
    </row>
    <row r="1316" spans="1:3" x14ac:dyDescent="0.3">
      <c r="A1316">
        <v>1954</v>
      </c>
      <c r="B1316">
        <v>1954</v>
      </c>
      <c r="C1316">
        <v>119000</v>
      </c>
    </row>
    <row r="1317" spans="1:3" x14ac:dyDescent="0.3">
      <c r="A1317">
        <v>1969</v>
      </c>
      <c r="B1317">
        <v>1969</v>
      </c>
      <c r="C1317">
        <v>206900</v>
      </c>
    </row>
    <row r="1318" spans="1:3" x14ac:dyDescent="0.3">
      <c r="A1318">
        <v>2008</v>
      </c>
      <c r="B1318">
        <v>2008</v>
      </c>
      <c r="C1318">
        <v>295493</v>
      </c>
    </row>
    <row r="1319" spans="1:3" x14ac:dyDescent="0.3">
      <c r="A1319">
        <v>2006</v>
      </c>
      <c r="B1319">
        <v>2007</v>
      </c>
      <c r="C1319">
        <v>208900</v>
      </c>
    </row>
    <row r="1320" spans="1:3" x14ac:dyDescent="0.3">
      <c r="A1320">
        <v>2001</v>
      </c>
      <c r="B1320">
        <v>2002</v>
      </c>
      <c r="C1320">
        <v>275000</v>
      </c>
    </row>
    <row r="1321" spans="1:3" x14ac:dyDescent="0.3">
      <c r="A1321">
        <v>1954</v>
      </c>
      <c r="B1321">
        <v>1954</v>
      </c>
      <c r="C1321">
        <v>111000</v>
      </c>
    </row>
    <row r="1322" spans="1:3" x14ac:dyDescent="0.3">
      <c r="A1322">
        <v>1957</v>
      </c>
      <c r="B1322">
        <v>1957</v>
      </c>
      <c r="C1322">
        <v>156500</v>
      </c>
    </row>
    <row r="1323" spans="1:3" x14ac:dyDescent="0.3">
      <c r="A1323">
        <v>1949</v>
      </c>
      <c r="B1323">
        <v>1950</v>
      </c>
      <c r="C1323">
        <v>72500</v>
      </c>
    </row>
    <row r="1324" spans="1:3" x14ac:dyDescent="0.3">
      <c r="A1324">
        <v>1992</v>
      </c>
      <c r="B1324">
        <v>1992</v>
      </c>
      <c r="C1324">
        <v>190000</v>
      </c>
    </row>
    <row r="1325" spans="1:3" x14ac:dyDescent="0.3">
      <c r="A1325">
        <v>1940</v>
      </c>
      <c r="B1325">
        <v>1950</v>
      </c>
      <c r="C1325">
        <v>82500</v>
      </c>
    </row>
    <row r="1326" spans="1:3" x14ac:dyDescent="0.3">
      <c r="A1326">
        <v>2006</v>
      </c>
      <c r="B1326">
        <v>2007</v>
      </c>
      <c r="C1326">
        <v>147000</v>
      </c>
    </row>
    <row r="1327" spans="1:3" x14ac:dyDescent="0.3">
      <c r="A1327">
        <v>1922</v>
      </c>
      <c r="B1327">
        <v>1950</v>
      </c>
      <c r="C1327">
        <v>55000</v>
      </c>
    </row>
    <row r="1328" spans="1:3" x14ac:dyDescent="0.3">
      <c r="A1328">
        <v>1931</v>
      </c>
      <c r="B1328">
        <v>2006</v>
      </c>
      <c r="C1328">
        <v>79000</v>
      </c>
    </row>
    <row r="1329" spans="1:3" x14ac:dyDescent="0.3">
      <c r="A1329">
        <v>1982</v>
      </c>
      <c r="B1329">
        <v>2008</v>
      </c>
      <c r="C1329">
        <v>130500</v>
      </c>
    </row>
    <row r="1330" spans="1:3" x14ac:dyDescent="0.3">
      <c r="A1330">
        <v>1920</v>
      </c>
      <c r="B1330">
        <v>1950</v>
      </c>
      <c r="C1330">
        <v>256000</v>
      </c>
    </row>
    <row r="1331" spans="1:3" x14ac:dyDescent="0.3">
      <c r="A1331">
        <v>1998</v>
      </c>
      <c r="B1331">
        <v>1998</v>
      </c>
      <c r="C1331">
        <v>176500</v>
      </c>
    </row>
    <row r="1332" spans="1:3" x14ac:dyDescent="0.3">
      <c r="A1332">
        <v>2006</v>
      </c>
      <c r="B1332">
        <v>2006</v>
      </c>
      <c r="C1332">
        <v>227000</v>
      </c>
    </row>
    <row r="1333" spans="1:3" x14ac:dyDescent="0.3">
      <c r="A1333">
        <v>1976</v>
      </c>
      <c r="B1333">
        <v>1976</v>
      </c>
      <c r="C1333">
        <v>132500</v>
      </c>
    </row>
    <row r="1334" spans="1:3" x14ac:dyDescent="0.3">
      <c r="A1334">
        <v>1938</v>
      </c>
      <c r="B1334">
        <v>1958</v>
      </c>
      <c r="C1334">
        <v>100000</v>
      </c>
    </row>
    <row r="1335" spans="1:3" x14ac:dyDescent="0.3">
      <c r="A1335">
        <v>1938</v>
      </c>
      <c r="B1335">
        <v>1995</v>
      </c>
      <c r="C1335">
        <v>125500</v>
      </c>
    </row>
    <row r="1336" spans="1:3" x14ac:dyDescent="0.3">
      <c r="A1336">
        <v>1970</v>
      </c>
      <c r="B1336">
        <v>1970</v>
      </c>
      <c r="C1336">
        <v>125000</v>
      </c>
    </row>
    <row r="1337" spans="1:3" x14ac:dyDescent="0.3">
      <c r="A1337">
        <v>1977</v>
      </c>
      <c r="B1337">
        <v>1977</v>
      </c>
      <c r="C1337">
        <v>167900</v>
      </c>
    </row>
    <row r="1338" spans="1:3" x14ac:dyDescent="0.3">
      <c r="A1338">
        <v>1973</v>
      </c>
      <c r="B1338">
        <v>1973</v>
      </c>
      <c r="C1338">
        <v>135000</v>
      </c>
    </row>
    <row r="1339" spans="1:3" x14ac:dyDescent="0.3">
      <c r="A1339">
        <v>1941</v>
      </c>
      <c r="B1339">
        <v>1950</v>
      </c>
      <c r="C1339">
        <v>52500</v>
      </c>
    </row>
    <row r="1340" spans="1:3" x14ac:dyDescent="0.3">
      <c r="A1340">
        <v>2002</v>
      </c>
      <c r="B1340">
        <v>2002</v>
      </c>
      <c r="C1340">
        <v>200000</v>
      </c>
    </row>
    <row r="1341" spans="1:3" x14ac:dyDescent="0.3">
      <c r="A1341">
        <v>1972</v>
      </c>
      <c r="B1341">
        <v>1972</v>
      </c>
      <c r="C1341">
        <v>128500</v>
      </c>
    </row>
    <row r="1342" spans="1:3" x14ac:dyDescent="0.3">
      <c r="A1342">
        <v>1971</v>
      </c>
      <c r="B1342">
        <v>1971</v>
      </c>
      <c r="C1342">
        <v>123000</v>
      </c>
    </row>
    <row r="1343" spans="1:3" x14ac:dyDescent="0.3">
      <c r="A1343">
        <v>2003</v>
      </c>
      <c r="B1343">
        <v>2004</v>
      </c>
      <c r="C1343">
        <v>155000</v>
      </c>
    </row>
    <row r="1344" spans="1:3" x14ac:dyDescent="0.3">
      <c r="A1344">
        <v>2002</v>
      </c>
      <c r="B1344">
        <v>2002</v>
      </c>
      <c r="C1344">
        <v>228500</v>
      </c>
    </row>
    <row r="1345" spans="1:3" x14ac:dyDescent="0.3">
      <c r="A1345">
        <v>1928</v>
      </c>
      <c r="B1345">
        <v>1950</v>
      </c>
      <c r="C1345">
        <v>177000</v>
      </c>
    </row>
    <row r="1346" spans="1:3" x14ac:dyDescent="0.3">
      <c r="A1346">
        <v>2006</v>
      </c>
      <c r="B1346">
        <v>2006</v>
      </c>
      <c r="C1346">
        <v>155835</v>
      </c>
    </row>
    <row r="1347" spans="1:3" x14ac:dyDescent="0.3">
      <c r="A1347">
        <v>1920</v>
      </c>
      <c r="B1347">
        <v>1950</v>
      </c>
      <c r="C1347">
        <v>108500</v>
      </c>
    </row>
    <row r="1348" spans="1:3" x14ac:dyDescent="0.3">
      <c r="A1348">
        <v>1968</v>
      </c>
      <c r="B1348">
        <v>2003</v>
      </c>
      <c r="C1348">
        <v>262500</v>
      </c>
    </row>
    <row r="1349" spans="1:3" x14ac:dyDescent="0.3">
      <c r="A1349">
        <v>2006</v>
      </c>
      <c r="B1349">
        <v>2007</v>
      </c>
      <c r="C1349">
        <v>283463</v>
      </c>
    </row>
    <row r="1350" spans="1:3" x14ac:dyDescent="0.3">
      <c r="A1350">
        <v>1998</v>
      </c>
      <c r="B1350">
        <v>1998</v>
      </c>
      <c r="C1350">
        <v>215000</v>
      </c>
    </row>
    <row r="1351" spans="1:3" x14ac:dyDescent="0.3">
      <c r="A1351">
        <v>1872</v>
      </c>
      <c r="B1351">
        <v>1987</v>
      </c>
      <c r="C1351">
        <v>122000</v>
      </c>
    </row>
    <row r="1352" spans="1:3" x14ac:dyDescent="0.3">
      <c r="A1352">
        <v>1969</v>
      </c>
      <c r="B1352">
        <v>1969</v>
      </c>
      <c r="C1352">
        <v>200000</v>
      </c>
    </row>
    <row r="1353" spans="1:3" x14ac:dyDescent="0.3">
      <c r="A1353">
        <v>1962</v>
      </c>
      <c r="B1353">
        <v>1962</v>
      </c>
      <c r="C1353">
        <v>171000</v>
      </c>
    </row>
    <row r="1354" spans="1:3" x14ac:dyDescent="0.3">
      <c r="A1354">
        <v>1937</v>
      </c>
      <c r="B1354">
        <v>2000</v>
      </c>
      <c r="C1354">
        <v>134900</v>
      </c>
    </row>
    <row r="1355" spans="1:3" x14ac:dyDescent="0.3">
      <c r="A1355">
        <v>1995</v>
      </c>
      <c r="B1355">
        <v>1996</v>
      </c>
      <c r="C1355">
        <v>410000</v>
      </c>
    </row>
    <row r="1356" spans="1:3" x14ac:dyDescent="0.3">
      <c r="A1356">
        <v>2000</v>
      </c>
      <c r="B1356">
        <v>2000</v>
      </c>
      <c r="C1356">
        <v>235000</v>
      </c>
    </row>
    <row r="1357" spans="1:3" x14ac:dyDescent="0.3">
      <c r="A1357">
        <v>1968</v>
      </c>
      <c r="B1357">
        <v>1992</v>
      </c>
      <c r="C1357">
        <v>170000</v>
      </c>
    </row>
    <row r="1358" spans="1:3" x14ac:dyDescent="0.3">
      <c r="A1358">
        <v>1966</v>
      </c>
      <c r="B1358">
        <v>1966</v>
      </c>
      <c r="C1358">
        <v>110000</v>
      </c>
    </row>
    <row r="1359" spans="1:3" x14ac:dyDescent="0.3">
      <c r="A1359">
        <v>1971</v>
      </c>
      <c r="B1359">
        <v>2008</v>
      </c>
      <c r="C1359">
        <v>149900</v>
      </c>
    </row>
    <row r="1360" spans="1:3" x14ac:dyDescent="0.3">
      <c r="A1360">
        <v>2000</v>
      </c>
      <c r="B1360">
        <v>2000</v>
      </c>
      <c r="C1360">
        <v>177500</v>
      </c>
    </row>
    <row r="1361" spans="1:3" x14ac:dyDescent="0.3">
      <c r="A1361">
        <v>2004</v>
      </c>
      <c r="B1361">
        <v>2005</v>
      </c>
      <c r="C1361">
        <v>315000</v>
      </c>
    </row>
    <row r="1362" spans="1:3" x14ac:dyDescent="0.3">
      <c r="A1362">
        <v>1921</v>
      </c>
      <c r="B1362">
        <v>1998</v>
      </c>
      <c r="C1362">
        <v>189000</v>
      </c>
    </row>
    <row r="1363" spans="1:3" x14ac:dyDescent="0.3">
      <c r="A1363">
        <v>2005</v>
      </c>
      <c r="B1363">
        <v>2005</v>
      </c>
      <c r="C1363">
        <v>260000</v>
      </c>
    </row>
    <row r="1364" spans="1:3" x14ac:dyDescent="0.3">
      <c r="A1364">
        <v>1920</v>
      </c>
      <c r="B1364">
        <v>2007</v>
      </c>
      <c r="C1364">
        <v>104900</v>
      </c>
    </row>
    <row r="1365" spans="1:3" x14ac:dyDescent="0.3">
      <c r="A1365">
        <v>2006</v>
      </c>
      <c r="B1365">
        <v>2007</v>
      </c>
      <c r="C1365">
        <v>156932</v>
      </c>
    </row>
    <row r="1366" spans="1:3" x14ac:dyDescent="0.3">
      <c r="A1366">
        <v>2005</v>
      </c>
      <c r="B1366">
        <v>2005</v>
      </c>
      <c r="C1366">
        <v>144152</v>
      </c>
    </row>
    <row r="1367" spans="1:3" x14ac:dyDescent="0.3">
      <c r="A1367">
        <v>2000</v>
      </c>
      <c r="B1367">
        <v>2000</v>
      </c>
      <c r="C1367">
        <v>216000</v>
      </c>
    </row>
    <row r="1368" spans="1:3" x14ac:dyDescent="0.3">
      <c r="A1368">
        <v>1999</v>
      </c>
      <c r="B1368">
        <v>1999</v>
      </c>
      <c r="C1368">
        <v>193000</v>
      </c>
    </row>
    <row r="1369" spans="1:3" x14ac:dyDescent="0.3">
      <c r="A1369">
        <v>1977</v>
      </c>
      <c r="B1369">
        <v>1977</v>
      </c>
      <c r="C1369">
        <v>127000</v>
      </c>
    </row>
    <row r="1370" spans="1:3" x14ac:dyDescent="0.3">
      <c r="A1370">
        <v>2003</v>
      </c>
      <c r="B1370">
        <v>2004</v>
      </c>
      <c r="C1370">
        <v>144000</v>
      </c>
    </row>
    <row r="1371" spans="1:3" x14ac:dyDescent="0.3">
      <c r="A1371">
        <v>2003</v>
      </c>
      <c r="B1371">
        <v>2003</v>
      </c>
      <c r="C1371">
        <v>232000</v>
      </c>
    </row>
    <row r="1372" spans="1:3" x14ac:dyDescent="0.3">
      <c r="A1372">
        <v>1920</v>
      </c>
      <c r="B1372">
        <v>1950</v>
      </c>
      <c r="C1372">
        <v>105000</v>
      </c>
    </row>
    <row r="1373" spans="1:3" x14ac:dyDescent="0.3">
      <c r="A1373">
        <v>1955</v>
      </c>
      <c r="B1373">
        <v>1996</v>
      </c>
      <c r="C1373">
        <v>165500</v>
      </c>
    </row>
    <row r="1374" spans="1:3" x14ac:dyDescent="0.3">
      <c r="A1374">
        <v>1998</v>
      </c>
      <c r="B1374">
        <v>1998</v>
      </c>
      <c r="C1374">
        <v>274300</v>
      </c>
    </row>
    <row r="1375" spans="1:3" x14ac:dyDescent="0.3">
      <c r="A1375">
        <v>2001</v>
      </c>
      <c r="B1375">
        <v>2002</v>
      </c>
      <c r="C1375">
        <v>466500</v>
      </c>
    </row>
    <row r="1376" spans="1:3" x14ac:dyDescent="0.3">
      <c r="A1376">
        <v>2005</v>
      </c>
      <c r="B1376">
        <v>2005</v>
      </c>
      <c r="C1376">
        <v>250000</v>
      </c>
    </row>
    <row r="1377" spans="1:3" x14ac:dyDescent="0.3">
      <c r="A1377">
        <v>2007</v>
      </c>
      <c r="B1377">
        <v>2007</v>
      </c>
      <c r="C1377">
        <v>239000</v>
      </c>
    </row>
    <row r="1378" spans="1:3" x14ac:dyDescent="0.3">
      <c r="A1378">
        <v>1930</v>
      </c>
      <c r="B1378">
        <v>1950</v>
      </c>
      <c r="C1378">
        <v>91000</v>
      </c>
    </row>
    <row r="1379" spans="1:3" x14ac:dyDescent="0.3">
      <c r="A1379">
        <v>1941</v>
      </c>
      <c r="B1379">
        <v>1960</v>
      </c>
      <c r="C1379">
        <v>117000</v>
      </c>
    </row>
    <row r="1380" spans="1:3" x14ac:dyDescent="0.3">
      <c r="A1380">
        <v>1973</v>
      </c>
      <c r="B1380">
        <v>1973</v>
      </c>
      <c r="C1380">
        <v>83000</v>
      </c>
    </row>
    <row r="1381" spans="1:3" x14ac:dyDescent="0.3">
      <c r="A1381">
        <v>2006</v>
      </c>
      <c r="B1381">
        <v>2007</v>
      </c>
      <c r="C1381">
        <v>167500</v>
      </c>
    </row>
    <row r="1382" spans="1:3" x14ac:dyDescent="0.3">
      <c r="A1382">
        <v>1914</v>
      </c>
      <c r="B1382">
        <v>1950</v>
      </c>
      <c r="C1382">
        <v>58500</v>
      </c>
    </row>
    <row r="1383" spans="1:3" x14ac:dyDescent="0.3">
      <c r="A1383">
        <v>1970</v>
      </c>
      <c r="B1383">
        <v>1970</v>
      </c>
      <c r="C1383">
        <v>237500</v>
      </c>
    </row>
    <row r="1384" spans="1:3" x14ac:dyDescent="0.3">
      <c r="A1384">
        <v>1920</v>
      </c>
      <c r="B1384">
        <v>1950</v>
      </c>
      <c r="C1384">
        <v>157000</v>
      </c>
    </row>
    <row r="1385" spans="1:3" x14ac:dyDescent="0.3">
      <c r="A1385">
        <v>1918</v>
      </c>
      <c r="B1385">
        <v>2007</v>
      </c>
      <c r="C1385">
        <v>112000</v>
      </c>
    </row>
    <row r="1386" spans="1:3" x14ac:dyDescent="0.3">
      <c r="A1386">
        <v>1939</v>
      </c>
      <c r="B1386">
        <v>1950</v>
      </c>
      <c r="C1386">
        <v>105000</v>
      </c>
    </row>
    <row r="1387" spans="1:3" x14ac:dyDescent="0.3">
      <c r="A1387">
        <v>1922</v>
      </c>
      <c r="B1387">
        <v>2007</v>
      </c>
      <c r="C1387">
        <v>125500</v>
      </c>
    </row>
    <row r="1388" spans="1:3" x14ac:dyDescent="0.3">
      <c r="A1388">
        <v>1978</v>
      </c>
      <c r="B1388">
        <v>1978</v>
      </c>
      <c r="C1388">
        <v>250000</v>
      </c>
    </row>
    <row r="1389" spans="1:3" x14ac:dyDescent="0.3">
      <c r="A1389">
        <v>1916</v>
      </c>
      <c r="B1389">
        <v>1950</v>
      </c>
      <c r="C1389">
        <v>136000</v>
      </c>
    </row>
    <row r="1390" spans="1:3" x14ac:dyDescent="0.3">
      <c r="A1390">
        <v>2006</v>
      </c>
      <c r="B1390">
        <v>2007</v>
      </c>
      <c r="C1390">
        <v>377500</v>
      </c>
    </row>
    <row r="1391" spans="1:3" x14ac:dyDescent="0.3">
      <c r="A1391">
        <v>1941</v>
      </c>
      <c r="B1391">
        <v>1950</v>
      </c>
      <c r="C1391">
        <v>131000</v>
      </c>
    </row>
    <row r="1392" spans="1:3" x14ac:dyDescent="0.3">
      <c r="A1392">
        <v>2000</v>
      </c>
      <c r="B1392">
        <v>2000</v>
      </c>
      <c r="C1392">
        <v>235000</v>
      </c>
    </row>
    <row r="1393" spans="1:3" x14ac:dyDescent="0.3">
      <c r="A1393">
        <v>1967</v>
      </c>
      <c r="B1393">
        <v>1967</v>
      </c>
      <c r="C1393">
        <v>124000</v>
      </c>
    </row>
    <row r="1394" spans="1:3" x14ac:dyDescent="0.3">
      <c r="A1394">
        <v>1967</v>
      </c>
      <c r="B1394">
        <v>1967</v>
      </c>
      <c r="C1394">
        <v>123000</v>
      </c>
    </row>
    <row r="1395" spans="1:3" x14ac:dyDescent="0.3">
      <c r="A1395">
        <v>1905</v>
      </c>
      <c r="B1395">
        <v>2000</v>
      </c>
      <c r="C1395">
        <v>163000</v>
      </c>
    </row>
    <row r="1396" spans="1:3" x14ac:dyDescent="0.3">
      <c r="A1396">
        <v>2006</v>
      </c>
      <c r="B1396">
        <v>2006</v>
      </c>
      <c r="C1396">
        <v>246578</v>
      </c>
    </row>
    <row r="1397" spans="1:3" x14ac:dyDescent="0.3">
      <c r="A1397">
        <v>2005</v>
      </c>
      <c r="B1397">
        <v>2006</v>
      </c>
      <c r="C1397">
        <v>281213</v>
      </c>
    </row>
    <row r="1398" spans="1:3" x14ac:dyDescent="0.3">
      <c r="A1398">
        <v>1948</v>
      </c>
      <c r="B1398">
        <v>1950</v>
      </c>
      <c r="C1398">
        <v>160000</v>
      </c>
    </row>
    <row r="1399" spans="1:3" x14ac:dyDescent="0.3">
      <c r="A1399">
        <v>1920</v>
      </c>
      <c r="B1399">
        <v>2004</v>
      </c>
      <c r="C1399">
        <v>137500</v>
      </c>
    </row>
    <row r="1400" spans="1:3" x14ac:dyDescent="0.3">
      <c r="A1400">
        <v>1950</v>
      </c>
      <c r="B1400">
        <v>1982</v>
      </c>
      <c r="C1400">
        <v>138000</v>
      </c>
    </row>
    <row r="1401" spans="1:3" x14ac:dyDescent="0.3">
      <c r="A1401">
        <v>1925</v>
      </c>
      <c r="B1401">
        <v>1990</v>
      </c>
      <c r="C1401">
        <v>137450</v>
      </c>
    </row>
    <row r="1402" spans="1:3" x14ac:dyDescent="0.3">
      <c r="A1402">
        <v>1929</v>
      </c>
      <c r="B1402">
        <v>1950</v>
      </c>
      <c r="C1402">
        <v>120000</v>
      </c>
    </row>
    <row r="1403" spans="1:3" x14ac:dyDescent="0.3">
      <c r="A1403">
        <v>2004</v>
      </c>
      <c r="B1403">
        <v>2004</v>
      </c>
      <c r="C1403">
        <v>193000</v>
      </c>
    </row>
    <row r="1404" spans="1:3" x14ac:dyDescent="0.3">
      <c r="A1404">
        <v>2006</v>
      </c>
      <c r="B1404">
        <v>2006</v>
      </c>
      <c r="C1404">
        <v>193879</v>
      </c>
    </row>
    <row r="1405" spans="1:3" x14ac:dyDescent="0.3">
      <c r="A1405">
        <v>2007</v>
      </c>
      <c r="B1405">
        <v>2007</v>
      </c>
      <c r="C1405">
        <v>282922</v>
      </c>
    </row>
    <row r="1406" spans="1:3" x14ac:dyDescent="0.3">
      <c r="A1406">
        <v>1915</v>
      </c>
      <c r="B1406">
        <v>1950</v>
      </c>
      <c r="C1406">
        <v>105000</v>
      </c>
    </row>
    <row r="1407" spans="1:3" x14ac:dyDescent="0.3">
      <c r="A1407">
        <v>2004</v>
      </c>
      <c r="B1407">
        <v>2005</v>
      </c>
      <c r="C1407">
        <v>275000</v>
      </c>
    </row>
    <row r="1408" spans="1:3" x14ac:dyDescent="0.3">
      <c r="A1408">
        <v>1972</v>
      </c>
      <c r="B1408">
        <v>2007</v>
      </c>
      <c r="C1408">
        <v>133000</v>
      </c>
    </row>
    <row r="1409" spans="1:3" x14ac:dyDescent="0.3">
      <c r="A1409">
        <v>1985</v>
      </c>
      <c r="B1409">
        <v>1985</v>
      </c>
      <c r="C1409">
        <v>112000</v>
      </c>
    </row>
    <row r="1410" spans="1:3" x14ac:dyDescent="0.3">
      <c r="A1410">
        <v>1910</v>
      </c>
      <c r="B1410">
        <v>1950</v>
      </c>
      <c r="C1410">
        <v>125500</v>
      </c>
    </row>
    <row r="1411" spans="1:3" x14ac:dyDescent="0.3">
      <c r="A1411">
        <v>1986</v>
      </c>
      <c r="B1411">
        <v>1991</v>
      </c>
      <c r="C1411">
        <v>215000</v>
      </c>
    </row>
    <row r="1412" spans="1:3" x14ac:dyDescent="0.3">
      <c r="A1412">
        <v>2001</v>
      </c>
      <c r="B1412">
        <v>2001</v>
      </c>
      <c r="C1412">
        <v>230000</v>
      </c>
    </row>
    <row r="1413" spans="1:3" x14ac:dyDescent="0.3">
      <c r="A1413">
        <v>1950</v>
      </c>
      <c r="B1413">
        <v>2005</v>
      </c>
      <c r="C1413">
        <v>140000</v>
      </c>
    </row>
    <row r="1414" spans="1:3" x14ac:dyDescent="0.3">
      <c r="A1414">
        <v>1949</v>
      </c>
      <c r="B1414">
        <v>1950</v>
      </c>
      <c r="C1414">
        <v>90000</v>
      </c>
    </row>
    <row r="1415" spans="1:3" x14ac:dyDescent="0.3">
      <c r="A1415">
        <v>2005</v>
      </c>
      <c r="B1415">
        <v>2006</v>
      </c>
      <c r="C1415">
        <v>257000</v>
      </c>
    </row>
    <row r="1416" spans="1:3" x14ac:dyDescent="0.3">
      <c r="A1416">
        <v>1923</v>
      </c>
      <c r="B1416">
        <v>2000</v>
      </c>
      <c r="C1416">
        <v>207000</v>
      </c>
    </row>
    <row r="1417" spans="1:3" x14ac:dyDescent="0.3">
      <c r="A1417">
        <v>2007</v>
      </c>
      <c r="B1417">
        <v>2007</v>
      </c>
      <c r="C1417">
        <v>175900</v>
      </c>
    </row>
    <row r="1418" spans="1:3" x14ac:dyDescent="0.3">
      <c r="A1418">
        <v>1885</v>
      </c>
      <c r="B1418">
        <v>1950</v>
      </c>
      <c r="C1418">
        <v>122500</v>
      </c>
    </row>
    <row r="1419" spans="1:3" x14ac:dyDescent="0.3">
      <c r="A1419">
        <v>1998</v>
      </c>
      <c r="B1419">
        <v>1998</v>
      </c>
      <c r="C1419">
        <v>340000</v>
      </c>
    </row>
    <row r="1420" spans="1:3" x14ac:dyDescent="0.3">
      <c r="A1420">
        <v>1963</v>
      </c>
      <c r="B1420">
        <v>1963</v>
      </c>
      <c r="C1420">
        <v>124000</v>
      </c>
    </row>
    <row r="1421" spans="1:3" x14ac:dyDescent="0.3">
      <c r="A1421">
        <v>1969</v>
      </c>
      <c r="B1421">
        <v>1969</v>
      </c>
      <c r="C1421">
        <v>223000</v>
      </c>
    </row>
    <row r="1422" spans="1:3" x14ac:dyDescent="0.3">
      <c r="A1422">
        <v>1968</v>
      </c>
      <c r="B1422">
        <v>1968</v>
      </c>
      <c r="C1422">
        <v>179900</v>
      </c>
    </row>
    <row r="1423" spans="1:3" x14ac:dyDescent="0.3">
      <c r="A1423">
        <v>1977</v>
      </c>
      <c r="B1423">
        <v>1977</v>
      </c>
      <c r="C1423">
        <v>127500</v>
      </c>
    </row>
    <row r="1424" spans="1:3" x14ac:dyDescent="0.3">
      <c r="A1424">
        <v>2003</v>
      </c>
      <c r="B1424">
        <v>2003</v>
      </c>
      <c r="C1424">
        <v>136500</v>
      </c>
    </row>
    <row r="1425" spans="1:3" x14ac:dyDescent="0.3">
      <c r="A1425">
        <v>1966</v>
      </c>
      <c r="B1425">
        <v>1966</v>
      </c>
      <c r="C1425">
        <v>274970</v>
      </c>
    </row>
    <row r="1426" spans="1:3" x14ac:dyDescent="0.3">
      <c r="A1426">
        <v>1958</v>
      </c>
      <c r="B1426">
        <v>1983</v>
      </c>
      <c r="C1426">
        <v>144000</v>
      </c>
    </row>
    <row r="1427" spans="1:3" x14ac:dyDescent="0.3">
      <c r="A1427">
        <v>1959</v>
      </c>
      <c r="B1427">
        <v>1959</v>
      </c>
      <c r="C1427">
        <v>142000</v>
      </c>
    </row>
    <row r="1428" spans="1:3" x14ac:dyDescent="0.3">
      <c r="A1428">
        <v>1994</v>
      </c>
      <c r="B1428">
        <v>1994</v>
      </c>
      <c r="C1428">
        <v>271000</v>
      </c>
    </row>
    <row r="1429" spans="1:3" x14ac:dyDescent="0.3">
      <c r="A1429">
        <v>1945</v>
      </c>
      <c r="B1429">
        <v>1950</v>
      </c>
      <c r="C1429">
        <v>140000</v>
      </c>
    </row>
    <row r="1430" spans="1:3" x14ac:dyDescent="0.3">
      <c r="A1430">
        <v>1940</v>
      </c>
      <c r="B1430">
        <v>1992</v>
      </c>
      <c r="C1430">
        <v>119000</v>
      </c>
    </row>
    <row r="1431" spans="1:3" x14ac:dyDescent="0.3">
      <c r="A1431">
        <v>1981</v>
      </c>
      <c r="B1431">
        <v>1981</v>
      </c>
      <c r="C1431">
        <v>182900</v>
      </c>
    </row>
    <row r="1432" spans="1:3" x14ac:dyDescent="0.3">
      <c r="A1432">
        <v>2005</v>
      </c>
      <c r="B1432">
        <v>2005</v>
      </c>
      <c r="C1432">
        <v>192140</v>
      </c>
    </row>
    <row r="1433" spans="1:3" x14ac:dyDescent="0.3">
      <c r="A1433">
        <v>1976</v>
      </c>
      <c r="B1433">
        <v>1976</v>
      </c>
      <c r="C1433">
        <v>143750</v>
      </c>
    </row>
    <row r="1434" spans="1:3" x14ac:dyDescent="0.3">
      <c r="A1434">
        <v>1927</v>
      </c>
      <c r="B1434">
        <v>2007</v>
      </c>
      <c r="C1434">
        <v>64500</v>
      </c>
    </row>
    <row r="1435" spans="1:3" x14ac:dyDescent="0.3">
      <c r="A1435">
        <v>2000</v>
      </c>
      <c r="B1435">
        <v>2000</v>
      </c>
      <c r="C1435">
        <v>186500</v>
      </c>
    </row>
    <row r="1436" spans="1:3" x14ac:dyDescent="0.3">
      <c r="A1436">
        <v>1977</v>
      </c>
      <c r="B1436">
        <v>1977</v>
      </c>
      <c r="C1436">
        <v>160000</v>
      </c>
    </row>
    <row r="1437" spans="1:3" x14ac:dyDescent="0.3">
      <c r="A1437">
        <v>1962</v>
      </c>
      <c r="B1437">
        <v>2005</v>
      </c>
      <c r="C1437">
        <v>174000</v>
      </c>
    </row>
    <row r="1438" spans="1:3" x14ac:dyDescent="0.3">
      <c r="A1438">
        <v>1971</v>
      </c>
      <c r="B1438">
        <v>1971</v>
      </c>
      <c r="C1438">
        <v>120500</v>
      </c>
    </row>
    <row r="1439" spans="1:3" x14ac:dyDescent="0.3">
      <c r="A1439">
        <v>2008</v>
      </c>
      <c r="B1439">
        <v>2008</v>
      </c>
      <c r="C1439">
        <v>394617</v>
      </c>
    </row>
    <row r="1440" spans="1:3" x14ac:dyDescent="0.3">
      <c r="A1440">
        <v>1957</v>
      </c>
      <c r="B1440">
        <v>1996</v>
      </c>
      <c r="C1440">
        <v>149700</v>
      </c>
    </row>
    <row r="1441" spans="1:3" x14ac:dyDescent="0.3">
      <c r="A1441">
        <v>1979</v>
      </c>
      <c r="B1441">
        <v>1979</v>
      </c>
      <c r="C1441">
        <v>197000</v>
      </c>
    </row>
    <row r="1442" spans="1:3" x14ac:dyDescent="0.3">
      <c r="A1442">
        <v>1922</v>
      </c>
      <c r="B1442">
        <v>1994</v>
      </c>
      <c r="C1442">
        <v>191000</v>
      </c>
    </row>
    <row r="1443" spans="1:3" x14ac:dyDescent="0.3">
      <c r="A1443">
        <v>2004</v>
      </c>
      <c r="B1443">
        <v>2004</v>
      </c>
      <c r="C1443">
        <v>149300</v>
      </c>
    </row>
    <row r="1444" spans="1:3" x14ac:dyDescent="0.3">
      <c r="A1444">
        <v>2008</v>
      </c>
      <c r="B1444">
        <v>2008</v>
      </c>
      <c r="C1444">
        <v>310000</v>
      </c>
    </row>
    <row r="1445" spans="1:3" x14ac:dyDescent="0.3">
      <c r="A1445">
        <v>1916</v>
      </c>
      <c r="B1445">
        <v>1950</v>
      </c>
      <c r="C1445">
        <v>121000</v>
      </c>
    </row>
    <row r="1446" spans="1:3" x14ac:dyDescent="0.3">
      <c r="A1446">
        <v>2004</v>
      </c>
      <c r="B1446">
        <v>2004</v>
      </c>
      <c r="C1446">
        <v>179600</v>
      </c>
    </row>
    <row r="1447" spans="1:3" x14ac:dyDescent="0.3">
      <c r="A1447">
        <v>1966</v>
      </c>
      <c r="B1447">
        <v>1966</v>
      </c>
      <c r="C1447">
        <v>129000</v>
      </c>
    </row>
    <row r="1448" spans="1:3" x14ac:dyDescent="0.3">
      <c r="A1448">
        <v>1962</v>
      </c>
      <c r="B1448">
        <v>1962</v>
      </c>
      <c r="C1448">
        <v>157900</v>
      </c>
    </row>
    <row r="1449" spans="1:3" x14ac:dyDescent="0.3">
      <c r="A1449">
        <v>1995</v>
      </c>
      <c r="B1449">
        <v>1996</v>
      </c>
      <c r="C1449">
        <v>240000</v>
      </c>
    </row>
    <row r="1450" spans="1:3" x14ac:dyDescent="0.3">
      <c r="A1450">
        <v>1910</v>
      </c>
      <c r="B1450">
        <v>2000</v>
      </c>
      <c r="C1450">
        <v>112000</v>
      </c>
    </row>
    <row r="1451" spans="1:3" x14ac:dyDescent="0.3">
      <c r="A1451">
        <v>1970</v>
      </c>
      <c r="B1451">
        <v>1970</v>
      </c>
      <c r="C1451">
        <v>92000</v>
      </c>
    </row>
    <row r="1452" spans="1:3" x14ac:dyDescent="0.3">
      <c r="A1452">
        <v>1974</v>
      </c>
      <c r="B1452">
        <v>1974</v>
      </c>
      <c r="C1452">
        <v>136000</v>
      </c>
    </row>
    <row r="1453" spans="1:3" x14ac:dyDescent="0.3">
      <c r="A1453">
        <v>2008</v>
      </c>
      <c r="B1453">
        <v>2009</v>
      </c>
      <c r="C1453">
        <v>287090</v>
      </c>
    </row>
    <row r="1454" spans="1:3" x14ac:dyDescent="0.3">
      <c r="A1454">
        <v>2005</v>
      </c>
      <c r="B1454">
        <v>2005</v>
      </c>
      <c r="C1454">
        <v>145000</v>
      </c>
    </row>
    <row r="1455" spans="1:3" x14ac:dyDescent="0.3">
      <c r="A1455">
        <v>2006</v>
      </c>
      <c r="B1455">
        <v>2006</v>
      </c>
      <c r="C1455">
        <v>84500</v>
      </c>
    </row>
    <row r="1456" spans="1:3" x14ac:dyDescent="0.3">
      <c r="A1456">
        <v>2004</v>
      </c>
      <c r="B1456">
        <v>2005</v>
      </c>
      <c r="C1456">
        <v>185000</v>
      </c>
    </row>
    <row r="1457" spans="1:3" x14ac:dyDescent="0.3">
      <c r="A1457">
        <v>1999</v>
      </c>
      <c r="B1457">
        <v>2000</v>
      </c>
      <c r="C1457">
        <v>175000</v>
      </c>
    </row>
    <row r="1458" spans="1:3" x14ac:dyDescent="0.3">
      <c r="A1458">
        <v>1978</v>
      </c>
      <c r="B1458">
        <v>1988</v>
      </c>
      <c r="C1458">
        <v>210000</v>
      </c>
    </row>
    <row r="1459" spans="1:3" x14ac:dyDescent="0.3">
      <c r="A1459">
        <v>1941</v>
      </c>
      <c r="B1459">
        <v>2006</v>
      </c>
      <c r="C1459">
        <v>266500</v>
      </c>
    </row>
    <row r="1460" spans="1:3" x14ac:dyDescent="0.3">
      <c r="A1460">
        <v>1950</v>
      </c>
      <c r="B1460">
        <v>1996</v>
      </c>
      <c r="C1460">
        <v>142125</v>
      </c>
    </row>
    <row r="1461" spans="1:3" x14ac:dyDescent="0.3">
      <c r="A1461">
        <v>1965</v>
      </c>
      <c r="B1461">
        <v>1965</v>
      </c>
      <c r="C1461">
        <v>147500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682D-D059-4CDC-8C1B-A070B1500AD2}">
  <dimension ref="A1:D6"/>
  <sheetViews>
    <sheetView workbookViewId="0">
      <selection activeCell="C3" sqref="C3"/>
    </sheetView>
  </sheetViews>
  <sheetFormatPr defaultRowHeight="14.4" x14ac:dyDescent="0.3"/>
  <sheetData>
    <row r="1" spans="1:4" x14ac:dyDescent="0.3">
      <c r="B1" t="s">
        <v>255</v>
      </c>
      <c r="C1" t="s">
        <v>256</v>
      </c>
      <c r="D1" t="s">
        <v>257</v>
      </c>
    </row>
    <row r="2" spans="1:4" x14ac:dyDescent="0.3">
      <c r="A2">
        <v>0</v>
      </c>
      <c r="B2">
        <f>COUNTIF(Data!$BJ$2:$BJ$1461, A2)</f>
        <v>81</v>
      </c>
      <c r="C2">
        <f>AVERAGEIF(Data!$BJ$2:$BJ$1461, A2, Data!$CC$2:$CC$1461)</f>
        <v>103317.28395061729</v>
      </c>
      <c r="D2">
        <f>CORREL(Data!BK2:BK1461, Data!CC2:CC1461)</f>
        <v>0.62343143891835995</v>
      </c>
    </row>
    <row r="3" spans="1:4" x14ac:dyDescent="0.3">
      <c r="A3">
        <v>1</v>
      </c>
      <c r="B3">
        <f>COUNTIF(Data!$BJ$2:$BJ$1461, A3)</f>
        <v>369</v>
      </c>
      <c r="C3">
        <f>AVERAGEIF(Data!$BJ$2:$BJ$1461, A3, Data!$CC$2:$CC$1461)</f>
        <v>128116.68834688347</v>
      </c>
      <c r="D3">
        <f>CORREL(Data!BK3:BK1462, Data!CC3:CC1462)</f>
        <v>0.62339997861645258</v>
      </c>
    </row>
    <row r="4" spans="1:4" x14ac:dyDescent="0.3">
      <c r="A4">
        <v>2</v>
      </c>
      <c r="B4">
        <f>COUNTIF(Data!$BJ$2:$BJ$1461, A4)</f>
        <v>824</v>
      </c>
      <c r="C4">
        <f>AVERAGEIF(Data!$BJ$2:$BJ$1461, A4, Data!$CC$2:$CC$1461)</f>
        <v>183851.66383495147</v>
      </c>
      <c r="D4">
        <f>CORREL(Data!BK4:BK1463, Data!CC4:CC1463)</f>
        <v>0.62340108458408072</v>
      </c>
    </row>
    <row r="5" spans="1:4" x14ac:dyDescent="0.3">
      <c r="A5">
        <v>3</v>
      </c>
      <c r="B5">
        <f>COUNTIF(Data!$BJ$2:$BJ$1461, A5)</f>
        <v>181</v>
      </c>
      <c r="C5">
        <f>AVERAGEIF(Data!$BJ$2:$BJ$1461, A5, Data!$CC$2:$CC$1461)</f>
        <v>309636.12154696131</v>
      </c>
      <c r="D5">
        <f>CORREL(Data!BK5:BK1464, Data!CC5:CC1464)</f>
        <v>0.62331551371260707</v>
      </c>
    </row>
    <row r="6" spans="1:4" x14ac:dyDescent="0.3">
      <c r="A6">
        <v>4</v>
      </c>
      <c r="B6">
        <f>COUNTIF(Data!$BJ$2:$BJ$1461, A6)</f>
        <v>5</v>
      </c>
      <c r="C6">
        <f>AVERAGEIF(Data!$BJ$2:$BJ$1461, A6, Data!$CC$2:$CC$1461)</f>
        <v>192655.8</v>
      </c>
      <c r="D6">
        <f>CORREL(Data!BK6:BK1465, Data!CC6:CC1465)</f>
        <v>0.62378538175329634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BEFF-9318-4238-AA1F-5DD70A9B8679}">
  <dimension ref="A1:D36"/>
  <sheetViews>
    <sheetView topLeftCell="A10" workbookViewId="0">
      <selection activeCell="B24" sqref="B24"/>
    </sheetView>
  </sheetViews>
  <sheetFormatPr defaultRowHeight="14.4" x14ac:dyDescent="0.3"/>
  <sheetData>
    <row r="1" spans="1:4" x14ac:dyDescent="0.3">
      <c r="A1" t="s">
        <v>258</v>
      </c>
    </row>
    <row r="2" spans="1:4" x14ac:dyDescent="0.3">
      <c r="B2" t="s">
        <v>255</v>
      </c>
      <c r="C2" t="s">
        <v>256</v>
      </c>
      <c r="D2" t="s">
        <v>259</v>
      </c>
    </row>
    <row r="3" spans="1:4" x14ac:dyDescent="0.3">
      <c r="A3">
        <v>0</v>
      </c>
      <c r="B3">
        <f>COUNTIF(Data!$AZ$2:$AZ$1461, A2)</f>
        <v>6</v>
      </c>
      <c r="C3">
        <f>AVERAGEIF(Data!$AZ$2:$AZ$1461, A3, Data!$CC$2:$CC$1461)</f>
        <v>221493.16666666666</v>
      </c>
      <c r="D3">
        <f>CORREL(Data!AZ2:AZ1461, Data!CC2:CC1461)</f>
        <v>0.16821315430074152</v>
      </c>
    </row>
    <row r="4" spans="1:4" x14ac:dyDescent="0.3">
      <c r="A4">
        <v>1</v>
      </c>
      <c r="B4">
        <f>COUNTIF(Data!$AZ$2:$AZ$1461, A3)</f>
        <v>6</v>
      </c>
      <c r="C4">
        <f>AVERAGEIF(Data!$AZ$2:$AZ$1461, A4, Data!$CC$2:$CC$1461)</f>
        <v>173162.42</v>
      </c>
      <c r="D4">
        <f>CORREL(Data!AZ3:AZ1462, Data!CC3:CC1462)</f>
        <v>0.16818266832567491</v>
      </c>
    </row>
    <row r="5" spans="1:4" x14ac:dyDescent="0.3">
      <c r="A5">
        <v>2</v>
      </c>
      <c r="B5">
        <f>COUNTIF(Data!$AZ$2:$AZ$1461, A4)</f>
        <v>50</v>
      </c>
      <c r="C5">
        <f>AVERAGEIF(Data!$AZ$2:$AZ$1461, A5, Data!$CC$2:$CC$1461)</f>
        <v>158197.65921787708</v>
      </c>
      <c r="D5">
        <f>CORREL(Data!AZ4:AZ1463, Data!CC4:CC1463)</f>
        <v>0.16818337427918387</v>
      </c>
    </row>
    <row r="6" spans="1:4" x14ac:dyDescent="0.3">
      <c r="A6">
        <v>3</v>
      </c>
      <c r="B6">
        <f>COUNTIF(Data!$AZ$2:$AZ$1461, A5)</f>
        <v>358</v>
      </c>
      <c r="C6">
        <f>AVERAGEIF(Data!$AZ$2:$AZ$1461, A6, Data!$CC$2:$CC$1461)</f>
        <v>181056.87064676618</v>
      </c>
      <c r="D6">
        <f>CORREL(Data!AZ5:AZ1464, Data!CC5:CC1464)</f>
        <v>0.16814120623889531</v>
      </c>
    </row>
    <row r="7" spans="1:4" x14ac:dyDescent="0.3">
      <c r="A7">
        <v>4</v>
      </c>
      <c r="B7">
        <f>COUNTIF(Data!$AZ$2:$AZ$1461, A6)</f>
        <v>804</v>
      </c>
      <c r="C7">
        <f>AVERAGEIF(Data!$AZ$2:$AZ$1461, A7, Data!$CC$2:$CC$1461)</f>
        <v>220421.25352112675</v>
      </c>
      <c r="D7">
        <f>CORREL(Data!AZ6:AZ1465, Data!CC6:CC1465)</f>
        <v>0.16821593654347144</v>
      </c>
    </row>
    <row r="8" spans="1:4" x14ac:dyDescent="0.3">
      <c r="A8">
        <v>5</v>
      </c>
      <c r="B8">
        <f>COUNTIF(Data!$AZ$2:$AZ$1461, A7)</f>
        <v>213</v>
      </c>
      <c r="C8">
        <f>AVERAGEIF(Data!$AZ$2:$AZ$1461, A8, Data!$CC$2:$CC$1461)</f>
        <v>180819.04761904763</v>
      </c>
      <c r="D8">
        <f>CORREL(Data!AZ7:AZ1466, Data!CC7:CC1466)</f>
        <v>0.16754100034851613</v>
      </c>
    </row>
    <row r="17" spans="1:4" x14ac:dyDescent="0.3">
      <c r="A17" t="s">
        <v>260</v>
      </c>
    </row>
    <row r="18" spans="1:4" x14ac:dyDescent="0.3">
      <c r="B18" t="s">
        <v>255</v>
      </c>
      <c r="C18" t="s">
        <v>256</v>
      </c>
      <c r="D18" t="s">
        <v>259</v>
      </c>
    </row>
    <row r="19" spans="1:4" x14ac:dyDescent="0.3">
      <c r="A19">
        <v>0</v>
      </c>
      <c r="B19">
        <f>COUNTIF(Data!$AX$2:$AX$1461, A2)</f>
        <v>9</v>
      </c>
      <c r="C19">
        <f>AVERAGEIF(Data!$AX$2:$AX$1461, A2, Data!$CC$2:$CC$1461)</f>
        <v>165200.88888888888</v>
      </c>
      <c r="D19">
        <f>CORREL(Data!AX2:AX1461, Data!CC2:CC1461)</f>
        <v>0.56066376274844532</v>
      </c>
    </row>
    <row r="20" spans="1:4" x14ac:dyDescent="0.3">
      <c r="A20">
        <v>1</v>
      </c>
      <c r="B20">
        <f>COUNTIF(Data!$AX$2:$AX$1461, A3)</f>
        <v>9</v>
      </c>
      <c r="C20">
        <f>AVERAGEIF(Data!$AX$2:$AX$1461, A3, Data!$CC$2:$CC$1461)</f>
        <v>165200.88888888888</v>
      </c>
      <c r="D20">
        <f>CORREL(Data!AX3:AX1462, Data!CC3:CC1462)</f>
        <v>0.56061879192231501</v>
      </c>
    </row>
    <row r="21" spans="1:4" x14ac:dyDescent="0.3">
      <c r="A21">
        <v>2</v>
      </c>
      <c r="B21">
        <f>COUNTIF(Data!$AX$2:$AX$1461, A4)</f>
        <v>650</v>
      </c>
      <c r="C21">
        <f>AVERAGEIF(Data!$AX$2:$AX$1461, A4, Data!$CC$2:$CC$1461)</f>
        <v>134751.44</v>
      </c>
      <c r="D21">
        <f>CORREL(Data!AX4:AX1463, Data!CC4:CC1463)</f>
        <v>0.56073480447073021</v>
      </c>
    </row>
    <row r="22" spans="1:4" x14ac:dyDescent="0.3">
      <c r="A22">
        <v>3</v>
      </c>
      <c r="B22">
        <f>COUNTIF(Data!$AX$2:$AX$1461, A5)</f>
        <v>768</v>
      </c>
      <c r="C22">
        <f>AVERAGEIF(Data!$AX$2:$AX$1461, A5, Data!$CC$2:$CC$1461)</f>
        <v>213009.82552083334</v>
      </c>
      <c r="D22">
        <f>CORREL(Data!AX5:AX1464, Data!CC5:CC1464)</f>
        <v>0.56061946867675183</v>
      </c>
    </row>
    <row r="23" spans="1:4" x14ac:dyDescent="0.3">
      <c r="A23">
        <v>4</v>
      </c>
      <c r="B23">
        <f>COUNTIF(Data!$AX$2:$AX$1461, A6)</f>
        <v>33</v>
      </c>
      <c r="C23">
        <f>AVERAGEIF(Data!$AX$2:$AX$1461, A6, Data!$CC$2:$CC$1461)</f>
        <v>347822.90909090912</v>
      </c>
      <c r="D23">
        <f>CORREL(Data!AX6:AX1465, Data!CC6:CC1465)</f>
        <v>0.56051057415991312</v>
      </c>
    </row>
    <row r="24" spans="1:4" x14ac:dyDescent="0.3">
      <c r="A24">
        <v>5</v>
      </c>
      <c r="B24">
        <f>COUNTIF(Data!$AX$2:$AX$1461, A7)</f>
        <v>0</v>
      </c>
      <c r="C24" t="e">
        <f>AVERAGEIF(Data!$AX$2:$AX$1461, A7, Data!$CC$2:$CC$1461)</f>
        <v>#DIV/0!</v>
      </c>
      <c r="D24">
        <f>CORREL(Data!AX7:AX1466, Data!CC7:CC1466)</f>
        <v>0.56030418415365635</v>
      </c>
    </row>
    <row r="29" spans="1:4" x14ac:dyDescent="0.3">
      <c r="A29" t="s">
        <v>261</v>
      </c>
    </row>
    <row r="30" spans="1:4" x14ac:dyDescent="0.3">
      <c r="B30" t="s">
        <v>255</v>
      </c>
      <c r="C30" t="s">
        <v>256</v>
      </c>
      <c r="D30" t="s">
        <v>259</v>
      </c>
    </row>
    <row r="31" spans="1:4" x14ac:dyDescent="0.3">
      <c r="A31">
        <v>0</v>
      </c>
      <c r="B31">
        <f>COUNTIF(Data!$BE$2:$BE$1461, A7)</f>
        <v>0</v>
      </c>
      <c r="C31">
        <f>AVERAGEIF(Data!$BE$2:$BE$1461, A5, Data!$CC$2:$CC$1461)</f>
        <v>240588.53913043477</v>
      </c>
    </row>
    <row r="32" spans="1:4" x14ac:dyDescent="0.3">
      <c r="A32">
        <v>1</v>
      </c>
      <c r="B32">
        <f>COUNTIF(Data!$BE$2:$BE$1461, A8)</f>
        <v>0</v>
      </c>
      <c r="C32">
        <f>AVERAGEIF(Data!$BE$2:$BE$1461, A6, Data!$CC$2:$CC$1461)</f>
        <v>252000</v>
      </c>
    </row>
    <row r="33" spans="1:3" x14ac:dyDescent="0.3">
      <c r="A33">
        <v>2</v>
      </c>
      <c r="B33">
        <f>COUNTIF(Data!$BE$2:$BE$1461, A9)</f>
        <v>690</v>
      </c>
      <c r="C33" t="e">
        <f>AVERAGEIF(Data!$BE$2:$BE$1461, A7, Data!$CC$2:$CC$1461)</f>
        <v>#DIV/0!</v>
      </c>
    </row>
    <row r="34" spans="1:3" x14ac:dyDescent="0.3">
      <c r="A34">
        <v>3</v>
      </c>
      <c r="B34">
        <f>COUNTIF(Data!$BE$2:$BE$1461, A10)</f>
        <v>690</v>
      </c>
      <c r="C34" t="e">
        <f>AVERAGEIF(Data!$BE$2:$BE$1461, A8, Data!$CC$2:$CC$1461)</f>
        <v>#DIV/0!</v>
      </c>
    </row>
    <row r="35" spans="1:3" x14ac:dyDescent="0.3">
      <c r="A35">
        <v>4</v>
      </c>
      <c r="B35">
        <f>COUNTIF(Data!$BE$2:$BE$1461, A11)</f>
        <v>690</v>
      </c>
      <c r="C35">
        <f>AVERAGEIF(Data!$BE$2:$BE$1461, A9, Data!$CC$2:$CC$1461)</f>
        <v>141331.48260869566</v>
      </c>
    </row>
    <row r="36" spans="1:3" x14ac:dyDescent="0.3">
      <c r="A36">
        <v>5</v>
      </c>
      <c r="B36">
        <f>COUNTIF(Data!$BE$2:$BE$1461, A12)</f>
        <v>690</v>
      </c>
      <c r="C36">
        <f>AVERAGEIF(Data!$BE$2:$BE$1461, A10, Data!$CC$2:$CC$1461)</f>
        <v>141331.48260869566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0B2C-080B-4F10-BD20-3417493EE4A7}">
  <dimension ref="A1:N9"/>
  <sheetViews>
    <sheetView workbookViewId="0">
      <selection activeCell="M1" sqref="M1:N7"/>
    </sheetView>
  </sheetViews>
  <sheetFormatPr defaultRowHeight="14.4" x14ac:dyDescent="0.3"/>
  <cols>
    <col min="1" max="1" width="12.33203125" customWidth="1"/>
    <col min="4" max="4" width="10.44140625" customWidth="1"/>
    <col min="7" max="7" width="12.21875" customWidth="1"/>
    <col min="10" max="10" width="10.77734375" customWidth="1"/>
    <col min="13" max="13" width="9.33203125" customWidth="1"/>
  </cols>
  <sheetData>
    <row r="1" spans="1:14" x14ac:dyDescent="0.3">
      <c r="A1" t="s">
        <v>16</v>
      </c>
      <c r="B1" t="s">
        <v>255</v>
      </c>
      <c r="D1" t="s">
        <v>15</v>
      </c>
      <c r="E1" t="s">
        <v>255</v>
      </c>
      <c r="G1" t="s">
        <v>29</v>
      </c>
      <c r="H1" t="s">
        <v>255</v>
      </c>
      <c r="J1" t="s">
        <v>21</v>
      </c>
      <c r="K1" t="s">
        <v>255</v>
      </c>
      <c r="M1" t="s">
        <v>39</v>
      </c>
      <c r="N1" t="s">
        <v>255</v>
      </c>
    </row>
    <row r="2" spans="1:14" x14ac:dyDescent="0.3">
      <c r="A2" t="s">
        <v>91</v>
      </c>
      <c r="B2">
        <f>COUNTIF(Data!$Q$2:$Q$1461, A2)</f>
        <v>445</v>
      </c>
      <c r="D2" t="s">
        <v>90</v>
      </c>
      <c r="E2">
        <f>COUNTIF(Data!$P$2:$P$1461, D2)</f>
        <v>1220</v>
      </c>
      <c r="G2" t="s">
        <v>98</v>
      </c>
      <c r="H2">
        <f>COUNTIF(Data!$AD$2:$AD$1461, G2)</f>
        <v>647</v>
      </c>
      <c r="J2" t="s">
        <v>92</v>
      </c>
      <c r="K2">
        <f>COUNTIF(Data!$V$2:$V$1461, J2)</f>
        <v>1141</v>
      </c>
      <c r="M2" t="s">
        <v>102</v>
      </c>
      <c r="N2">
        <f>COUNTIF(Data!$AN$2:$AN$1461, M2)</f>
        <v>1428</v>
      </c>
    </row>
    <row r="3" spans="1:14" x14ac:dyDescent="0.3">
      <c r="A3" t="s">
        <v>114</v>
      </c>
      <c r="B3">
        <f>COUNTIF(Data!$Q$2:$Q$1461, A3)</f>
        <v>726</v>
      </c>
      <c r="D3" t="s">
        <v>148</v>
      </c>
      <c r="E3">
        <f>COUNTIF(Data!$P$2:$P$1461, D3)</f>
        <v>31</v>
      </c>
      <c r="G3" t="s">
        <v>117</v>
      </c>
      <c r="H3">
        <f>COUNTIF(Data!$AD$2:$AD$1461, G3)</f>
        <v>634</v>
      </c>
      <c r="J3" t="s">
        <v>151</v>
      </c>
      <c r="K3">
        <f>COUNTIF(Data!$V$2:$V$1461, J3)</f>
        <v>286</v>
      </c>
      <c r="M3" t="s">
        <v>205</v>
      </c>
      <c r="N3">
        <f>COUNTIF(Data!$AN$2:$AN$1461, M3)</f>
        <v>18</v>
      </c>
    </row>
    <row r="4" spans="1:14" x14ac:dyDescent="0.3">
      <c r="A4" t="s">
        <v>131</v>
      </c>
      <c r="B4">
        <f>COUNTIF(Data!$Q$2:$Q$1461, A4)</f>
        <v>154</v>
      </c>
      <c r="D4" t="s">
        <v>166</v>
      </c>
      <c r="E4">
        <f>COUNTIF(Data!$P$2:$P$1461, D4)</f>
        <v>52</v>
      </c>
      <c r="G4" t="s">
        <v>125</v>
      </c>
      <c r="H4">
        <f>COUNTIF(Data!$AD$2:$AD$1461, G4)</f>
        <v>146</v>
      </c>
      <c r="J4" t="s">
        <v>183</v>
      </c>
      <c r="K4">
        <f>COUNTIF(Data!$V$2:$V$1461, J4)</f>
        <v>11</v>
      </c>
      <c r="M4" t="s">
        <v>221</v>
      </c>
      <c r="N4">
        <f>COUNTIF(Data!$AN$2:$AN$1461, M4)</f>
        <v>7</v>
      </c>
    </row>
    <row r="5" spans="1:14" x14ac:dyDescent="0.3">
      <c r="A5" t="s">
        <v>149</v>
      </c>
      <c r="B5">
        <f>COUNTIF(Data!$Q$2:$Q$1461, A5)</f>
        <v>14</v>
      </c>
      <c r="D5" t="s">
        <v>178</v>
      </c>
      <c r="E5">
        <f>COUNTIF(Data!$P$2:$P$1461, D5)</f>
        <v>114</v>
      </c>
      <c r="G5" t="s">
        <v>132</v>
      </c>
      <c r="H5">
        <f>COUNTIF(Data!$AD$2:$AD$1461, G5)</f>
        <v>3</v>
      </c>
      <c r="J5" t="s">
        <v>210</v>
      </c>
      <c r="K5">
        <f>COUNTIF(Data!$V$2:$V$1461, J5)</f>
        <v>7</v>
      </c>
      <c r="M5" t="s">
        <v>239</v>
      </c>
      <c r="N5">
        <f>COUNTIF(Data!$AN$2:$AN$1461, M5)</f>
        <v>4</v>
      </c>
    </row>
    <row r="6" spans="1:14" x14ac:dyDescent="0.3">
      <c r="A6" t="s">
        <v>190</v>
      </c>
      <c r="B6">
        <f>COUNTIF(Data!$Q$2:$Q$1461, A6)</f>
        <v>37</v>
      </c>
      <c r="D6" t="s">
        <v>197</v>
      </c>
      <c r="E6">
        <f>COUNTIF(Data!$P$2:$P$1461, D6)</f>
        <v>43</v>
      </c>
      <c r="G6" t="s">
        <v>167</v>
      </c>
      <c r="H6">
        <f>COUNTIF(Data!$AD$2:$AD$1461, G6)</f>
        <v>24</v>
      </c>
      <c r="J6" t="s">
        <v>213</v>
      </c>
      <c r="K6">
        <f>COUNTIF(Data!$V$2:$V$1461, J6)</f>
        <v>13</v>
      </c>
      <c r="M6" t="s">
        <v>250</v>
      </c>
      <c r="N6">
        <f>COUNTIF(Data!$AN$2:$AN$1461, M6)</f>
        <v>2</v>
      </c>
    </row>
    <row r="7" spans="1:14" x14ac:dyDescent="0.3">
      <c r="A7" t="s">
        <v>196</v>
      </c>
      <c r="B7">
        <f>COUNTIF(Data!$Q$2:$Q$1461, A7)</f>
        <v>65</v>
      </c>
      <c r="G7" t="s">
        <v>136</v>
      </c>
      <c r="H7">
        <f>COUNTIF(Data!$AD$2:$AD$1461, G7)</f>
        <v>6</v>
      </c>
      <c r="J7" t="s">
        <v>134</v>
      </c>
      <c r="K7">
        <f>COUNTIF(Data!$V$2:$V$1461, J7)</f>
        <v>2</v>
      </c>
      <c r="M7" t="s">
        <v>253</v>
      </c>
      <c r="N7">
        <f>COUNTIF(Data!$AN$2:$AN$1461, M7)</f>
        <v>1</v>
      </c>
    </row>
    <row r="8" spans="1:14" x14ac:dyDescent="0.3">
      <c r="A8" t="s">
        <v>200</v>
      </c>
      <c r="B8">
        <f>COUNTIF(Data!$Q$2:$Q$1461, A8)</f>
        <v>11</v>
      </c>
    </row>
    <row r="9" spans="1:14" x14ac:dyDescent="0.3">
      <c r="A9" t="s">
        <v>224</v>
      </c>
      <c r="B9">
        <f>COUNTIF(Data!$Q$2:$Q$1461, A9)</f>
        <v>8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B77-68EC-40B9-B8DE-83F4179BB576}">
  <dimension ref="A1:F6"/>
  <sheetViews>
    <sheetView topLeftCell="A2" workbookViewId="0">
      <selection activeCell="L28" sqref="L28"/>
    </sheetView>
  </sheetViews>
  <sheetFormatPr defaultRowHeight="14.4" x14ac:dyDescent="0.3"/>
  <sheetData>
    <row r="1" spans="1:6" x14ac:dyDescent="0.3">
      <c r="A1" t="s">
        <v>262</v>
      </c>
      <c r="B1" t="s">
        <v>263</v>
      </c>
      <c r="E1" t="s">
        <v>264</v>
      </c>
      <c r="F1">
        <f>_xlfn.QUARTILE.INC(Data!CC2:CC1461, 1)</f>
        <v>129975</v>
      </c>
    </row>
    <row r="2" spans="1:6" x14ac:dyDescent="0.3">
      <c r="A2">
        <f>LARGE(Data!$CC$2:$CC$1461, 1)</f>
        <v>755000</v>
      </c>
      <c r="B2">
        <f>SMALL(Data!$CC$2:$CC$1461, 1)</f>
        <v>34900</v>
      </c>
      <c r="E2" t="s">
        <v>265</v>
      </c>
      <c r="F2">
        <f>_xlfn.QUARTILE.INC(Data!CC2:CC1461, 3)</f>
        <v>214000</v>
      </c>
    </row>
    <row r="3" spans="1:6" x14ac:dyDescent="0.3">
      <c r="A3">
        <f>LARGE(Data!$CC$2:$CC$1461, 2)</f>
        <v>745000</v>
      </c>
      <c r="B3">
        <f>SMALL(Data!$CC$2:$CC$1461, 2)</f>
        <v>35311</v>
      </c>
      <c r="E3" t="s">
        <v>266</v>
      </c>
      <c r="F3">
        <f>F2+ 1.5*(F2-F1)</f>
        <v>340037.5</v>
      </c>
    </row>
    <row r="4" spans="1:6" x14ac:dyDescent="0.3">
      <c r="A4">
        <f>LARGE(Data!$CC$2:$CC$1461, 3)</f>
        <v>625000</v>
      </c>
      <c r="B4">
        <f>SMALL(Data!$CC$2:$CC$1461, 3)</f>
        <v>37900</v>
      </c>
    </row>
    <row r="5" spans="1:6" x14ac:dyDescent="0.3">
      <c r="A5">
        <f>LARGE(Data!$CC$2:$CC$1461, 4)</f>
        <v>611657</v>
      </c>
      <c r="B5">
        <f>SMALL(Data!$CC$2:$CC$1461, 4)</f>
        <v>39300</v>
      </c>
    </row>
    <row r="6" spans="1:6" x14ac:dyDescent="0.3">
      <c r="A6">
        <f>LARGE(Data!$CC$2:$CC$1461, 5)</f>
        <v>582933</v>
      </c>
      <c r="B6">
        <f>SMALL(Data!$CC$2:$CC$1461, 5)</f>
        <v>40000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3597-6F1F-4B5C-97D2-7C6C5F5F4D92}">
  <dimension ref="A1:C6"/>
  <sheetViews>
    <sheetView workbookViewId="0">
      <selection sqref="A1:C6"/>
    </sheetView>
  </sheetViews>
  <sheetFormatPr defaultRowHeight="14.4" x14ac:dyDescent="0.3"/>
  <sheetData>
    <row r="1" spans="1:3" x14ac:dyDescent="0.3">
      <c r="A1" t="s">
        <v>267</v>
      </c>
      <c r="B1" t="s">
        <v>255</v>
      </c>
      <c r="C1" t="s">
        <v>256</v>
      </c>
    </row>
    <row r="2" spans="1:3" x14ac:dyDescent="0.3">
      <c r="A2">
        <v>2006</v>
      </c>
      <c r="B2">
        <f>COUNTIF(Data!$BZ$2:$BZ$1461, A2)</f>
        <v>314</v>
      </c>
      <c r="C2">
        <f>AVERAGEIF(Data!$BZ$2:$BZ$1461, A2, Data!$CC$2:$CC$1461)</f>
        <v>182549.45859872611</v>
      </c>
    </row>
    <row r="3" spans="1:3" x14ac:dyDescent="0.3">
      <c r="A3">
        <v>2007</v>
      </c>
      <c r="B3">
        <f>COUNTIF(Data!$BZ$2:$BZ$1461, A3)</f>
        <v>329</v>
      </c>
      <c r="C3">
        <f>AVERAGEIF(Data!$BZ$2:$BZ$1461, A3, Data!$CC$2:$CC$1461)</f>
        <v>186063.1519756839</v>
      </c>
    </row>
    <row r="4" spans="1:3" x14ac:dyDescent="0.3">
      <c r="A4">
        <v>2008</v>
      </c>
      <c r="B4">
        <f>COUNTIF(Data!$BZ$2:$BZ$1461, A4)</f>
        <v>304</v>
      </c>
      <c r="C4">
        <f>AVERAGEIF(Data!$BZ$2:$BZ$1461, A4, Data!$CC$2:$CC$1461)</f>
        <v>177360.83881578947</v>
      </c>
    </row>
    <row r="5" spans="1:3" x14ac:dyDescent="0.3">
      <c r="A5">
        <v>2009</v>
      </c>
      <c r="B5">
        <f>COUNTIF(Data!$BZ$2:$BZ$1461, A5)</f>
        <v>338</v>
      </c>
      <c r="C5">
        <f>AVERAGEIF(Data!$BZ$2:$BZ$1461, A5, Data!$CC$2:$CC$1461)</f>
        <v>179432.10355029587</v>
      </c>
    </row>
    <row r="6" spans="1:3" x14ac:dyDescent="0.3">
      <c r="A6">
        <v>2010</v>
      </c>
      <c r="B6">
        <f>COUNTIF(Data!$BZ$2:$BZ$1461, A6)</f>
        <v>175</v>
      </c>
      <c r="C6">
        <f>AVERAGEIF(Data!$BZ$2:$BZ$1461, A6, Data!$CC$2:$CC$1461)</f>
        <v>177393.67428571428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8821-2C82-4CC9-80F1-25645D7A9C06}">
  <dimension ref="A1:H82"/>
  <sheetViews>
    <sheetView workbookViewId="0">
      <selection sqref="A1:H1"/>
    </sheetView>
  </sheetViews>
  <sheetFormatPr defaultRowHeight="14.4" x14ac:dyDescent="0.3"/>
  <cols>
    <col min="1" max="1" width="12.88671875" customWidth="1"/>
  </cols>
  <sheetData>
    <row r="1" spans="1:8" x14ac:dyDescent="0.3">
      <c r="A1" s="3" t="s">
        <v>274</v>
      </c>
      <c r="B1" s="3"/>
      <c r="C1" s="3"/>
      <c r="D1" s="3"/>
      <c r="E1" s="3"/>
      <c r="F1" s="3"/>
      <c r="G1" s="3"/>
      <c r="H1" s="3"/>
    </row>
    <row r="2" spans="1:8" ht="15.6" x14ac:dyDescent="0.3">
      <c r="A2" t="s">
        <v>72</v>
      </c>
      <c r="B2" s="1">
        <f>COUNTBLANK(Data!BU2:BU1461)</f>
        <v>1453</v>
      </c>
      <c r="C2" s="2">
        <f>B2/1460</f>
        <v>0.99520547945205484</v>
      </c>
    </row>
    <row r="3" spans="1:8" ht="15.6" x14ac:dyDescent="0.3">
      <c r="A3" t="s">
        <v>74</v>
      </c>
      <c r="B3" s="1">
        <f>COUNTBLANK(Data!BW2:BW1461)</f>
        <v>1406</v>
      </c>
      <c r="C3" s="2">
        <f>B3/1460</f>
        <v>0.96301369863013697</v>
      </c>
    </row>
    <row r="4" spans="1:8" x14ac:dyDescent="0.3">
      <c r="A4" t="s">
        <v>6</v>
      </c>
      <c r="B4">
        <f>COUNTBLANK(Data!G2:G1461)</f>
        <v>1369</v>
      </c>
      <c r="C4" s="2">
        <f>B4/1460</f>
        <v>0.93767123287671228</v>
      </c>
    </row>
    <row r="5" spans="1:8" ht="15.6" x14ac:dyDescent="0.3">
      <c r="A5" t="s">
        <v>73</v>
      </c>
      <c r="B5" s="1">
        <f>COUNTBLANK(Data!BV2:BV1461)</f>
        <v>1179</v>
      </c>
      <c r="C5" s="2">
        <f>B5/1460</f>
        <v>0.80753424657534245</v>
      </c>
    </row>
    <row r="6" spans="1:8" ht="15.6" x14ac:dyDescent="0.3">
      <c r="A6" t="s">
        <v>57</v>
      </c>
      <c r="B6" s="1">
        <f>COUNTBLANK(Data!BF2:BF1461)</f>
        <v>690</v>
      </c>
      <c r="C6" s="2">
        <f>B6/1460</f>
        <v>0.4726027397260274</v>
      </c>
    </row>
    <row r="7" spans="1:8" x14ac:dyDescent="0.3">
      <c r="A7" t="s">
        <v>3</v>
      </c>
      <c r="B7">
        <f>COUNTBLANK(Data!D2:D1461)</f>
        <v>259</v>
      </c>
      <c r="C7" s="2">
        <f>B7/1460</f>
        <v>0.1773972602739726</v>
      </c>
    </row>
    <row r="8" spans="1:8" ht="15.6" x14ac:dyDescent="0.3">
      <c r="A8" t="s">
        <v>58</v>
      </c>
      <c r="B8" s="1">
        <f>COUNTBLANK(Data!BG2:BG1461)</f>
        <v>81</v>
      </c>
      <c r="C8" s="2">
        <f>B8/1460</f>
        <v>5.5479452054794522E-2</v>
      </c>
    </row>
    <row r="9" spans="1:8" ht="15.6" x14ac:dyDescent="0.3">
      <c r="A9" t="s">
        <v>59</v>
      </c>
      <c r="B9" s="1">
        <f>COUNTBLANK(Data!BH2:BH1461)</f>
        <v>81</v>
      </c>
      <c r="C9" s="2">
        <f>B9/1460</f>
        <v>5.5479452054794522E-2</v>
      </c>
    </row>
    <row r="10" spans="1:8" ht="15.6" x14ac:dyDescent="0.3">
      <c r="A10" t="s">
        <v>60</v>
      </c>
      <c r="B10" s="1">
        <f>COUNTBLANK(Data!BI2:BI1461)</f>
        <v>81</v>
      </c>
      <c r="C10" s="2">
        <f>B10/1460</f>
        <v>5.5479452054794522E-2</v>
      </c>
    </row>
    <row r="11" spans="1:8" ht="15.6" x14ac:dyDescent="0.3">
      <c r="A11" t="s">
        <v>63</v>
      </c>
      <c r="B11" s="1">
        <f>COUNTBLANK(Data!BL2:BL1461)</f>
        <v>81</v>
      </c>
      <c r="C11" s="2">
        <f>B11/1460</f>
        <v>5.5479452054794522E-2</v>
      </c>
    </row>
    <row r="12" spans="1:8" ht="15.6" x14ac:dyDescent="0.3">
      <c r="A12" t="s">
        <v>64</v>
      </c>
      <c r="B12" s="1">
        <f>COUNTBLANK(Data!BM2:BM1461)</f>
        <v>81</v>
      </c>
      <c r="C12" s="2">
        <f>B12/1460</f>
        <v>5.5479452054794522E-2</v>
      </c>
    </row>
    <row r="13" spans="1:8" x14ac:dyDescent="0.3">
      <c r="A13" t="s">
        <v>32</v>
      </c>
      <c r="B13">
        <f>COUNTBLANK(Data!AG2:AG1461)</f>
        <v>38</v>
      </c>
      <c r="C13" s="2">
        <f>B13/1460</f>
        <v>2.6027397260273973E-2</v>
      </c>
    </row>
    <row r="14" spans="1:8" x14ac:dyDescent="0.3">
      <c r="A14" t="s">
        <v>35</v>
      </c>
      <c r="B14">
        <f>COUNTBLANK(Data!AJ2:AJ1461)</f>
        <v>38</v>
      </c>
      <c r="C14" s="2">
        <f>B14/1460</f>
        <v>2.6027397260273973E-2</v>
      </c>
    </row>
    <row r="15" spans="1:8" x14ac:dyDescent="0.3">
      <c r="A15" t="s">
        <v>30</v>
      </c>
      <c r="B15">
        <f>COUNTBLANK(Data!AE2:AE1461)</f>
        <v>37</v>
      </c>
      <c r="C15" s="2">
        <f>B15/1460</f>
        <v>2.5342465753424658E-2</v>
      </c>
    </row>
    <row r="16" spans="1:8" x14ac:dyDescent="0.3">
      <c r="A16" t="s">
        <v>31</v>
      </c>
      <c r="B16">
        <f>COUNTBLANK(Data!AF2:AF1461)</f>
        <v>37</v>
      </c>
      <c r="C16" s="2">
        <f>B16/1460</f>
        <v>2.5342465753424658E-2</v>
      </c>
    </row>
    <row r="17" spans="1:3" x14ac:dyDescent="0.3">
      <c r="A17" t="s">
        <v>33</v>
      </c>
      <c r="B17">
        <f>COUNTBLANK(Data!AH2:AH1461)</f>
        <v>37</v>
      </c>
      <c r="C17" s="2">
        <f>B17/1460</f>
        <v>2.5342465753424658E-2</v>
      </c>
    </row>
    <row r="18" spans="1:3" x14ac:dyDescent="0.3">
      <c r="A18" t="s">
        <v>25</v>
      </c>
      <c r="B18">
        <f>COUNTBLANK(Data!Z2:Z1461)</f>
        <v>8</v>
      </c>
      <c r="C18" s="2">
        <f>B18/1460</f>
        <v>5.4794520547945206E-3</v>
      </c>
    </row>
    <row r="19" spans="1:3" x14ac:dyDescent="0.3">
      <c r="A19" t="s">
        <v>26</v>
      </c>
      <c r="B19">
        <f>COUNTBLANK(Data!AA2:AA1461)</f>
        <v>8</v>
      </c>
      <c r="C19" s="2">
        <f>B19/1460</f>
        <v>5.4794520547945206E-3</v>
      </c>
    </row>
    <row r="20" spans="1:3" x14ac:dyDescent="0.3">
      <c r="A20" t="s">
        <v>38</v>
      </c>
      <c r="B20">
        <f>COUNTBLANK(Data!AM2:AM1467)</f>
        <v>6</v>
      </c>
      <c r="C20" s="2">
        <f>B20/1460</f>
        <v>4.10958904109589E-3</v>
      </c>
    </row>
    <row r="21" spans="1:3" x14ac:dyDescent="0.3">
      <c r="A21" t="s">
        <v>42</v>
      </c>
      <c r="B21">
        <f>COUNTBLANK(Data!AQ2:AQ1461)</f>
        <v>1</v>
      </c>
      <c r="C21" s="2">
        <f>B21/1460</f>
        <v>6.8493150684931507E-4</v>
      </c>
    </row>
    <row r="22" spans="1:3" x14ac:dyDescent="0.3">
      <c r="A22" t="s">
        <v>0</v>
      </c>
      <c r="B22">
        <f>COUNTBLANK(Data!A2:A1461)</f>
        <v>0</v>
      </c>
      <c r="C22" s="2">
        <f>B22/1460</f>
        <v>0</v>
      </c>
    </row>
    <row r="23" spans="1:3" x14ac:dyDescent="0.3">
      <c r="A23" t="s">
        <v>1</v>
      </c>
      <c r="B23">
        <f>COUNTBLANK(Data!B2:B1461)</f>
        <v>0</v>
      </c>
      <c r="C23" s="2">
        <f>B23/1460</f>
        <v>0</v>
      </c>
    </row>
    <row r="24" spans="1:3" x14ac:dyDescent="0.3">
      <c r="A24" t="s">
        <v>2</v>
      </c>
      <c r="B24">
        <f>COUNTBLANK(Data!C2:C1461)</f>
        <v>0</v>
      </c>
      <c r="C24" s="2">
        <f>B24/1460</f>
        <v>0</v>
      </c>
    </row>
    <row r="25" spans="1:3" x14ac:dyDescent="0.3">
      <c r="A25" t="s">
        <v>4</v>
      </c>
      <c r="B25">
        <f>COUNTBLANK(Data!E2:E1461)</f>
        <v>0</v>
      </c>
      <c r="C25" s="2">
        <f>B25/1460</f>
        <v>0</v>
      </c>
    </row>
    <row r="26" spans="1:3" x14ac:dyDescent="0.3">
      <c r="A26" t="s">
        <v>5</v>
      </c>
      <c r="B26">
        <f>COUNTBLANK(Data!F2:F1461)</f>
        <v>0</v>
      </c>
      <c r="C26" s="2">
        <f>B26/1460</f>
        <v>0</v>
      </c>
    </row>
    <row r="27" spans="1:3" x14ac:dyDescent="0.3">
      <c r="A27" t="s">
        <v>7</v>
      </c>
      <c r="B27">
        <f>COUNTBLANK(Data!H2:H1461)</f>
        <v>0</v>
      </c>
      <c r="C27" s="2">
        <f>B27/1460</f>
        <v>0</v>
      </c>
    </row>
    <row r="28" spans="1:3" x14ac:dyDescent="0.3">
      <c r="A28" t="s">
        <v>8</v>
      </c>
      <c r="B28">
        <f>COUNTBLANK(Data!I2:I1461)</f>
        <v>0</v>
      </c>
      <c r="C28" s="2">
        <f>B28/1460</f>
        <v>0</v>
      </c>
    </row>
    <row r="29" spans="1:3" x14ac:dyDescent="0.3">
      <c r="A29" t="s">
        <v>9</v>
      </c>
      <c r="B29">
        <f>COUNTBLANK(Data!J2:J1461)</f>
        <v>0</v>
      </c>
      <c r="C29" s="2">
        <f>B29/1460</f>
        <v>0</v>
      </c>
    </row>
    <row r="30" spans="1:3" x14ac:dyDescent="0.3">
      <c r="A30" t="s">
        <v>10</v>
      </c>
      <c r="B30">
        <f>COUNTBLANK(Data!K2:K1461)</f>
        <v>0</v>
      </c>
      <c r="C30" s="2">
        <f>B30/1460</f>
        <v>0</v>
      </c>
    </row>
    <row r="31" spans="1:3" x14ac:dyDescent="0.3">
      <c r="A31" t="s">
        <v>11</v>
      </c>
      <c r="B31">
        <f>COUNTBLANK(Data!L2:L1461)</f>
        <v>0</v>
      </c>
      <c r="C31" s="2">
        <f>B31/1460</f>
        <v>0</v>
      </c>
    </row>
    <row r="32" spans="1:3" x14ac:dyDescent="0.3">
      <c r="A32" t="s">
        <v>12</v>
      </c>
      <c r="B32">
        <f>COUNTBLANK(Data!M2:M1461)</f>
        <v>0</v>
      </c>
      <c r="C32" s="2">
        <f>B32/1460</f>
        <v>0</v>
      </c>
    </row>
    <row r="33" spans="1:3" x14ac:dyDescent="0.3">
      <c r="A33" t="s">
        <v>13</v>
      </c>
      <c r="B33">
        <f>COUNTBLANK(Data!N2:N1461)</f>
        <v>0</v>
      </c>
      <c r="C33" s="2">
        <f>B33/1460</f>
        <v>0</v>
      </c>
    </row>
    <row r="34" spans="1:3" x14ac:dyDescent="0.3">
      <c r="A34" t="s">
        <v>14</v>
      </c>
      <c r="B34">
        <f>COUNTBLANK(Data!O2:O1461)</f>
        <v>0</v>
      </c>
      <c r="C34" s="2">
        <f>B34/1460</f>
        <v>0</v>
      </c>
    </row>
    <row r="35" spans="1:3" x14ac:dyDescent="0.3">
      <c r="A35" t="s">
        <v>15</v>
      </c>
      <c r="B35">
        <f>COUNTBLANK(Data!P2:P1461)</f>
        <v>0</v>
      </c>
      <c r="C35" s="2">
        <f>B35/1460</f>
        <v>0</v>
      </c>
    </row>
    <row r="36" spans="1:3" x14ac:dyDescent="0.3">
      <c r="A36" t="s">
        <v>16</v>
      </c>
      <c r="B36">
        <f>COUNTBLANK(Data!Q2:Q1461)</f>
        <v>0</v>
      </c>
      <c r="C36" s="2">
        <f>B36/1460</f>
        <v>0</v>
      </c>
    </row>
    <row r="37" spans="1:3" x14ac:dyDescent="0.3">
      <c r="A37" t="s">
        <v>17</v>
      </c>
      <c r="B37">
        <f>COUNTBLANK(Data!R2:R1461)</f>
        <v>0</v>
      </c>
      <c r="C37" s="2">
        <f>B37/1460</f>
        <v>0</v>
      </c>
    </row>
    <row r="38" spans="1:3" x14ac:dyDescent="0.3">
      <c r="A38" t="s">
        <v>18</v>
      </c>
      <c r="B38">
        <f>COUNTBLANK(Data!S2:S1461)</f>
        <v>0</v>
      </c>
      <c r="C38" s="2">
        <f>B38/1460</f>
        <v>0</v>
      </c>
    </row>
    <row r="39" spans="1:3" x14ac:dyDescent="0.3">
      <c r="A39" t="s">
        <v>19</v>
      </c>
      <c r="B39">
        <f>COUNTBLANK(Data!T2:T1461)</f>
        <v>0</v>
      </c>
      <c r="C39" s="2">
        <f>B39/1460</f>
        <v>0</v>
      </c>
    </row>
    <row r="40" spans="1:3" x14ac:dyDescent="0.3">
      <c r="A40" t="s">
        <v>20</v>
      </c>
      <c r="B40">
        <f>COUNTBLANK(Data!U2:U1461)</f>
        <v>0</v>
      </c>
      <c r="C40" s="2">
        <f>B40/1460</f>
        <v>0</v>
      </c>
    </row>
    <row r="41" spans="1:3" x14ac:dyDescent="0.3">
      <c r="A41" t="s">
        <v>21</v>
      </c>
      <c r="B41">
        <f>COUNTBLANK(Data!V2:V1461)</f>
        <v>0</v>
      </c>
      <c r="C41" s="2">
        <f>B41/1460</f>
        <v>0</v>
      </c>
    </row>
    <row r="42" spans="1:3" x14ac:dyDescent="0.3">
      <c r="A42" t="s">
        <v>22</v>
      </c>
      <c r="B42">
        <f>COUNTBLANK(Data!W2:W1461)</f>
        <v>0</v>
      </c>
      <c r="C42" s="2">
        <f>B42/1460</f>
        <v>0</v>
      </c>
    </row>
    <row r="43" spans="1:3" x14ac:dyDescent="0.3">
      <c r="A43" t="s">
        <v>23</v>
      </c>
      <c r="B43">
        <f>COUNTBLANK(Data!X2:X1461)</f>
        <v>0</v>
      </c>
      <c r="C43" s="2">
        <f>B43/1460</f>
        <v>0</v>
      </c>
    </row>
    <row r="44" spans="1:3" x14ac:dyDescent="0.3">
      <c r="A44" t="s">
        <v>24</v>
      </c>
      <c r="B44">
        <f>COUNTBLANK(Data!Y2:Y1461)</f>
        <v>0</v>
      </c>
      <c r="C44" s="2">
        <f>B44/1460</f>
        <v>0</v>
      </c>
    </row>
    <row r="45" spans="1:3" x14ac:dyDescent="0.3">
      <c r="A45" t="s">
        <v>27</v>
      </c>
      <c r="B45">
        <f>COUNTBLANK(Data!AB2:AB1461)</f>
        <v>0</v>
      </c>
      <c r="C45" s="2">
        <f>B45/1460</f>
        <v>0</v>
      </c>
    </row>
    <row r="46" spans="1:3" x14ac:dyDescent="0.3">
      <c r="A46" t="s">
        <v>28</v>
      </c>
      <c r="B46">
        <f>COUNTBLANK(Data!AC2:AC1461)</f>
        <v>0</v>
      </c>
      <c r="C46" s="2">
        <f>B46/1460</f>
        <v>0</v>
      </c>
    </row>
    <row r="47" spans="1:3" x14ac:dyDescent="0.3">
      <c r="A47" t="s">
        <v>29</v>
      </c>
      <c r="B47">
        <f>COUNTBLANK(Data!AD2:AD1461)</f>
        <v>0</v>
      </c>
      <c r="C47" s="2">
        <f>B47/1460</f>
        <v>0</v>
      </c>
    </row>
    <row r="48" spans="1:3" x14ac:dyDescent="0.3">
      <c r="A48" t="s">
        <v>34</v>
      </c>
      <c r="B48">
        <f>COUNTBLANK(Data!AI2:AI1461)</f>
        <v>0</v>
      </c>
      <c r="C48" s="2">
        <f>B48/1460</f>
        <v>0</v>
      </c>
    </row>
    <row r="49" spans="1:3" x14ac:dyDescent="0.3">
      <c r="A49" t="s">
        <v>36</v>
      </c>
      <c r="B49">
        <f>COUNTBLANK(Data!AK2:AK1461)</f>
        <v>0</v>
      </c>
      <c r="C49" s="2">
        <f>B49/1460</f>
        <v>0</v>
      </c>
    </row>
    <row r="50" spans="1:3" x14ac:dyDescent="0.3">
      <c r="A50" t="s">
        <v>37</v>
      </c>
      <c r="B50">
        <f>COUNTBLANK(Data!AL2:AL1461)</f>
        <v>0</v>
      </c>
      <c r="C50" s="2">
        <f>B50/1460</f>
        <v>0</v>
      </c>
    </row>
    <row r="51" spans="1:3" x14ac:dyDescent="0.3">
      <c r="A51" t="s">
        <v>39</v>
      </c>
      <c r="B51">
        <f>COUNTBLANK(Data!AN2:AN1461)</f>
        <v>0</v>
      </c>
      <c r="C51" s="2">
        <f>B51/1460</f>
        <v>0</v>
      </c>
    </row>
    <row r="52" spans="1:3" x14ac:dyDescent="0.3">
      <c r="A52" t="s">
        <v>40</v>
      </c>
      <c r="B52">
        <f>COUNTBLANK(Data!AO2:AO1461)</f>
        <v>0</v>
      </c>
      <c r="C52" s="2">
        <f>B52/1460</f>
        <v>0</v>
      </c>
    </row>
    <row r="53" spans="1:3" x14ac:dyDescent="0.3">
      <c r="A53" t="s">
        <v>41</v>
      </c>
      <c r="B53">
        <f>COUNTBLANK(Data!AP2:AP1461)</f>
        <v>0</v>
      </c>
      <c r="C53" s="2">
        <f>B53/1460</f>
        <v>0</v>
      </c>
    </row>
    <row r="54" spans="1:3" x14ac:dyDescent="0.3">
      <c r="A54" t="s">
        <v>43</v>
      </c>
      <c r="B54">
        <f>COUNTBLANK(Data!AR2:AR1461)</f>
        <v>0</v>
      </c>
      <c r="C54" s="2">
        <f>B54/1460</f>
        <v>0</v>
      </c>
    </row>
    <row r="55" spans="1:3" x14ac:dyDescent="0.3">
      <c r="A55" t="s">
        <v>44</v>
      </c>
      <c r="B55">
        <f>COUNTBLANK(Data!AS2:AS1461)</f>
        <v>0</v>
      </c>
      <c r="C55" s="2">
        <f>B55/1460</f>
        <v>0</v>
      </c>
    </row>
    <row r="56" spans="1:3" x14ac:dyDescent="0.3">
      <c r="A56" t="s">
        <v>45</v>
      </c>
      <c r="B56">
        <f>COUNTBLANK(Data!AT2:AT1461)</f>
        <v>0</v>
      </c>
      <c r="C56" s="2">
        <f>B56/1460</f>
        <v>0</v>
      </c>
    </row>
    <row r="57" spans="1:3" x14ac:dyDescent="0.3">
      <c r="A57" t="s">
        <v>46</v>
      </c>
      <c r="B57">
        <f>COUNTBLANK(Data!AU2:AU1461)</f>
        <v>0</v>
      </c>
      <c r="C57" s="2">
        <f>B57/1460</f>
        <v>0</v>
      </c>
    </row>
    <row r="58" spans="1:3" x14ac:dyDescent="0.3">
      <c r="A58" t="s">
        <v>47</v>
      </c>
      <c r="B58">
        <f>COUNTBLANK(Data!AV2:AV1461)</f>
        <v>0</v>
      </c>
      <c r="C58" s="2">
        <f>B58/1460</f>
        <v>0</v>
      </c>
    </row>
    <row r="59" spans="1:3" x14ac:dyDescent="0.3">
      <c r="A59" t="s">
        <v>48</v>
      </c>
      <c r="B59">
        <f>COUNTBLANK(Data!AW2:AW1461)</f>
        <v>0</v>
      </c>
      <c r="C59" s="2">
        <f>B59/1460</f>
        <v>0</v>
      </c>
    </row>
    <row r="60" spans="1:3" x14ac:dyDescent="0.3">
      <c r="A60" t="s">
        <v>49</v>
      </c>
      <c r="B60">
        <f>COUNTBLANK(Data!AX2:AX1461)</f>
        <v>0</v>
      </c>
      <c r="C60" s="2">
        <f>B60/1460</f>
        <v>0</v>
      </c>
    </row>
    <row r="61" spans="1:3" x14ac:dyDescent="0.3">
      <c r="A61" t="s">
        <v>50</v>
      </c>
      <c r="B61">
        <f>COUNTBLANK(Data!AY2:AY1461)</f>
        <v>0</v>
      </c>
      <c r="C61" s="2">
        <f>B61/1460</f>
        <v>0</v>
      </c>
    </row>
    <row r="62" spans="1:3" x14ac:dyDescent="0.3">
      <c r="A62" t="s">
        <v>51</v>
      </c>
      <c r="B62">
        <f>COUNTBLANK(Data!AZ2:AZ1461)</f>
        <v>0</v>
      </c>
      <c r="C62" s="2">
        <f>B62/1460</f>
        <v>0</v>
      </c>
    </row>
    <row r="63" spans="1:3" ht="15.6" x14ac:dyDescent="0.3">
      <c r="A63" t="s">
        <v>52</v>
      </c>
      <c r="B63" s="1">
        <f>COUNTBLANK(Data!BA2:BA1461)</f>
        <v>0</v>
      </c>
      <c r="C63" s="2">
        <f>B63/1460</f>
        <v>0</v>
      </c>
    </row>
    <row r="64" spans="1:3" ht="15.6" x14ac:dyDescent="0.3">
      <c r="A64" t="s">
        <v>53</v>
      </c>
      <c r="B64" s="1">
        <f>COUNTBLANK(Data!BB2:BB1461)</f>
        <v>0</v>
      </c>
      <c r="C64" s="2">
        <f>B64/1460</f>
        <v>0</v>
      </c>
    </row>
    <row r="65" spans="1:3" ht="15.6" x14ac:dyDescent="0.3">
      <c r="A65" t="s">
        <v>54</v>
      </c>
      <c r="B65" s="1">
        <f>COUNTBLANK(Data!BC2:BC1461)</f>
        <v>0</v>
      </c>
      <c r="C65" s="2">
        <f>B65/1460</f>
        <v>0</v>
      </c>
    </row>
    <row r="66" spans="1:3" ht="15.6" x14ac:dyDescent="0.3">
      <c r="A66" t="s">
        <v>55</v>
      </c>
      <c r="B66" s="1">
        <f>COUNTBLANK(Data!BD2:BD1461)</f>
        <v>0</v>
      </c>
      <c r="C66" s="2">
        <f>B66/1460</f>
        <v>0</v>
      </c>
    </row>
    <row r="67" spans="1:3" ht="15.6" x14ac:dyDescent="0.3">
      <c r="A67" t="s">
        <v>56</v>
      </c>
      <c r="B67" s="1">
        <f>COUNTBLANK(Data!BE2:BE1461)</f>
        <v>0</v>
      </c>
      <c r="C67" s="2">
        <f>B67/1460</f>
        <v>0</v>
      </c>
    </row>
    <row r="68" spans="1:3" ht="15.6" x14ac:dyDescent="0.3">
      <c r="A68" t="s">
        <v>61</v>
      </c>
      <c r="B68" s="1">
        <f>COUNTBLANK(Data!BJ2:BJ1461)</f>
        <v>0</v>
      </c>
      <c r="C68" s="2">
        <f>B68/1460</f>
        <v>0</v>
      </c>
    </row>
    <row r="69" spans="1:3" ht="15.6" x14ac:dyDescent="0.3">
      <c r="A69" t="s">
        <v>62</v>
      </c>
      <c r="B69" s="1">
        <f>COUNTBLANK(Data!BK2:BK1461)</f>
        <v>0</v>
      </c>
      <c r="C69" s="2">
        <f>B69/1460</f>
        <v>0</v>
      </c>
    </row>
    <row r="70" spans="1:3" ht="15.6" x14ac:dyDescent="0.3">
      <c r="A70" t="s">
        <v>65</v>
      </c>
      <c r="B70" s="1">
        <f>COUNTBLANK(Data!BN2:BN1461)</f>
        <v>0</v>
      </c>
      <c r="C70" s="2">
        <f>B70/1460</f>
        <v>0</v>
      </c>
    </row>
    <row r="71" spans="1:3" ht="15.6" x14ac:dyDescent="0.3">
      <c r="A71" t="s">
        <v>66</v>
      </c>
      <c r="B71" s="1">
        <f>COUNTBLANK(Data!BO2:BO1461)</f>
        <v>0</v>
      </c>
      <c r="C71" s="2">
        <f>B71/1460</f>
        <v>0</v>
      </c>
    </row>
    <row r="72" spans="1:3" ht="15.6" x14ac:dyDescent="0.3">
      <c r="A72" t="s">
        <v>67</v>
      </c>
      <c r="B72" s="1">
        <f>COUNTBLANK(Data!BP2:BP1461)</f>
        <v>0</v>
      </c>
      <c r="C72" s="2">
        <f>B72/1460</f>
        <v>0</v>
      </c>
    </row>
    <row r="73" spans="1:3" ht="15.6" x14ac:dyDescent="0.3">
      <c r="A73" t="s">
        <v>68</v>
      </c>
      <c r="B73" s="1">
        <f>COUNTBLANK(Data!BQ2:BQ1461)</f>
        <v>0</v>
      </c>
      <c r="C73" s="2">
        <f>B73/1460</f>
        <v>0</v>
      </c>
    </row>
    <row r="74" spans="1:3" ht="15.6" x14ac:dyDescent="0.3">
      <c r="A74" t="s">
        <v>69</v>
      </c>
      <c r="B74" s="1">
        <f>COUNTBLANK(Data!BR2:BR1461)</f>
        <v>0</v>
      </c>
      <c r="C74" s="2">
        <f>B74/1460</f>
        <v>0</v>
      </c>
    </row>
    <row r="75" spans="1:3" ht="15.6" x14ac:dyDescent="0.3">
      <c r="A75" t="s">
        <v>70</v>
      </c>
      <c r="B75" s="1">
        <f>COUNTBLANK(Data!BS2:BS1461)</f>
        <v>0</v>
      </c>
      <c r="C75" s="2">
        <f>B75/1460</f>
        <v>0</v>
      </c>
    </row>
    <row r="76" spans="1:3" ht="15.6" x14ac:dyDescent="0.3">
      <c r="A76" t="s">
        <v>71</v>
      </c>
      <c r="B76" s="1">
        <f>COUNTBLANK(Data!BT2:BT1461)</f>
        <v>0</v>
      </c>
      <c r="C76" s="2">
        <f>B76/1460</f>
        <v>0</v>
      </c>
    </row>
    <row r="77" spans="1:3" ht="15.6" x14ac:dyDescent="0.3">
      <c r="A77" t="s">
        <v>75</v>
      </c>
      <c r="B77" s="1">
        <f>COUNTBLANK(Data!BX2:BX1461)</f>
        <v>0</v>
      </c>
      <c r="C77" s="2">
        <f>B77/1460</f>
        <v>0</v>
      </c>
    </row>
    <row r="78" spans="1:3" ht="15.6" x14ac:dyDescent="0.3">
      <c r="A78" t="s">
        <v>76</v>
      </c>
      <c r="B78" s="1">
        <f>COUNTBLANK(Data!BY2:BY1461)</f>
        <v>0</v>
      </c>
      <c r="C78" s="2">
        <f>B78/1460</f>
        <v>0</v>
      </c>
    </row>
    <row r="79" spans="1:3" ht="15.6" x14ac:dyDescent="0.3">
      <c r="A79" t="s">
        <v>77</v>
      </c>
      <c r="B79" s="1">
        <f>COUNTBLANK(Data!BZ2:BZ1461)</f>
        <v>0</v>
      </c>
      <c r="C79" s="2">
        <f>B79/1460</f>
        <v>0</v>
      </c>
    </row>
    <row r="80" spans="1:3" ht="15.6" x14ac:dyDescent="0.3">
      <c r="A80" t="s">
        <v>78</v>
      </c>
      <c r="B80" s="1">
        <f>COUNTBLANK(Data!CA2:CA1461)</f>
        <v>0</v>
      </c>
      <c r="C80" s="2">
        <f>B80/1460</f>
        <v>0</v>
      </c>
    </row>
    <row r="81" spans="1:3" ht="15.6" x14ac:dyDescent="0.3">
      <c r="A81" t="s">
        <v>79</v>
      </c>
      <c r="B81" s="1">
        <f>COUNTBLANK(Data!CB2:CB1461)</f>
        <v>0</v>
      </c>
      <c r="C81" s="2">
        <f>B81/1460</f>
        <v>0</v>
      </c>
    </row>
    <row r="82" spans="1:3" ht="15.6" x14ac:dyDescent="0.3">
      <c r="A82" t="s">
        <v>80</v>
      </c>
      <c r="B82" s="1">
        <f>COUNTBLANK(Data!CC2:CC1461)</f>
        <v>0</v>
      </c>
      <c r="C82" s="2">
        <f>B82/1460</f>
        <v>0</v>
      </c>
    </row>
  </sheetData>
  <sortState xmlns:xlrd2="http://schemas.microsoft.com/office/spreadsheetml/2017/richdata2" ref="A2:C82">
    <sortCondition descending="1" ref="C2:C82"/>
  </sortState>
  <mergeCells count="1">
    <mergeCell ref="A1:H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2782-EBFC-4CA2-819E-0364F9069494}">
  <dimension ref="A1:I1461"/>
  <sheetViews>
    <sheetView tabSelected="1" workbookViewId="0">
      <selection activeCell="C6" sqref="C6"/>
    </sheetView>
  </sheetViews>
  <sheetFormatPr defaultRowHeight="14.4" x14ac:dyDescent="0.3"/>
  <sheetData>
    <row r="1" spans="1:9" x14ac:dyDescent="0.3">
      <c r="A1" t="s">
        <v>80</v>
      </c>
    </row>
    <row r="2" spans="1:9" x14ac:dyDescent="0.3">
      <c r="A2">
        <v>755000</v>
      </c>
      <c r="C2" s="4" t="s">
        <v>273</v>
      </c>
      <c r="D2" s="4"/>
      <c r="E2" s="4"/>
      <c r="F2" s="4"/>
      <c r="G2" s="4"/>
      <c r="H2" s="4"/>
      <c r="I2" s="4"/>
    </row>
    <row r="3" spans="1:9" x14ac:dyDescent="0.3">
      <c r="A3">
        <v>745000</v>
      </c>
      <c r="C3" s="4"/>
      <c r="D3" s="4"/>
      <c r="E3" s="4"/>
      <c r="F3" s="4"/>
      <c r="G3" s="4"/>
      <c r="H3" s="4"/>
      <c r="I3" s="4"/>
    </row>
    <row r="4" spans="1:9" x14ac:dyDescent="0.3">
      <c r="A4">
        <v>625000</v>
      </c>
    </row>
    <row r="5" spans="1:9" x14ac:dyDescent="0.3">
      <c r="A5">
        <v>611657</v>
      </c>
    </row>
    <row r="6" spans="1:9" x14ac:dyDescent="0.3">
      <c r="A6">
        <v>582933</v>
      </c>
    </row>
    <row r="7" spans="1:9" x14ac:dyDescent="0.3">
      <c r="A7">
        <v>556581</v>
      </c>
    </row>
    <row r="8" spans="1:9" x14ac:dyDescent="0.3">
      <c r="A8">
        <v>555000</v>
      </c>
    </row>
    <row r="9" spans="1:9" x14ac:dyDescent="0.3">
      <c r="A9">
        <v>538000</v>
      </c>
    </row>
    <row r="10" spans="1:9" x14ac:dyDescent="0.3">
      <c r="A10">
        <v>501837</v>
      </c>
    </row>
    <row r="11" spans="1:9" x14ac:dyDescent="0.3">
      <c r="A11">
        <v>485000</v>
      </c>
    </row>
    <row r="12" spans="1:9" x14ac:dyDescent="0.3">
      <c r="A12">
        <v>475000</v>
      </c>
    </row>
    <row r="13" spans="1:9" x14ac:dyDescent="0.3">
      <c r="A13">
        <v>466500</v>
      </c>
    </row>
    <row r="14" spans="1:9" x14ac:dyDescent="0.3">
      <c r="A14">
        <v>465000</v>
      </c>
    </row>
    <row r="15" spans="1:9" x14ac:dyDescent="0.3">
      <c r="A15">
        <v>451950</v>
      </c>
    </row>
    <row r="16" spans="1:9" x14ac:dyDescent="0.3">
      <c r="A16">
        <v>446261</v>
      </c>
    </row>
    <row r="17" spans="1:1" x14ac:dyDescent="0.3">
      <c r="A17">
        <v>440000</v>
      </c>
    </row>
    <row r="18" spans="1:1" x14ac:dyDescent="0.3">
      <c r="A18">
        <v>438780</v>
      </c>
    </row>
    <row r="19" spans="1:1" x14ac:dyDescent="0.3">
      <c r="A19">
        <v>437154</v>
      </c>
    </row>
    <row r="20" spans="1:1" x14ac:dyDescent="0.3">
      <c r="A20">
        <v>430000</v>
      </c>
    </row>
    <row r="21" spans="1:1" x14ac:dyDescent="0.3">
      <c r="A21">
        <v>426000</v>
      </c>
    </row>
    <row r="22" spans="1:1" x14ac:dyDescent="0.3">
      <c r="A22">
        <v>424870</v>
      </c>
    </row>
    <row r="23" spans="1:1" x14ac:dyDescent="0.3">
      <c r="A23">
        <v>423000</v>
      </c>
    </row>
    <row r="24" spans="1:1" x14ac:dyDescent="0.3">
      <c r="A24">
        <v>415298</v>
      </c>
    </row>
    <row r="25" spans="1:1" x14ac:dyDescent="0.3">
      <c r="A25">
        <v>412500</v>
      </c>
    </row>
    <row r="26" spans="1:1" x14ac:dyDescent="0.3">
      <c r="A26">
        <v>410000</v>
      </c>
    </row>
    <row r="27" spans="1:1" x14ac:dyDescent="0.3">
      <c r="A27">
        <v>403000</v>
      </c>
    </row>
    <row r="28" spans="1:1" x14ac:dyDescent="0.3">
      <c r="A28">
        <v>402861</v>
      </c>
    </row>
    <row r="29" spans="1:1" x14ac:dyDescent="0.3">
      <c r="A29">
        <v>402000</v>
      </c>
    </row>
    <row r="30" spans="1:1" x14ac:dyDescent="0.3">
      <c r="A30">
        <v>395192</v>
      </c>
    </row>
    <row r="31" spans="1:1" x14ac:dyDescent="0.3">
      <c r="A31">
        <v>395000</v>
      </c>
    </row>
    <row r="32" spans="1:1" x14ac:dyDescent="0.3">
      <c r="A32">
        <v>394617</v>
      </c>
    </row>
    <row r="33" spans="1:1" x14ac:dyDescent="0.3">
      <c r="A33">
        <v>394432</v>
      </c>
    </row>
    <row r="34" spans="1:1" x14ac:dyDescent="0.3">
      <c r="A34">
        <v>392500</v>
      </c>
    </row>
    <row r="35" spans="1:1" x14ac:dyDescent="0.3">
      <c r="A35">
        <v>392000</v>
      </c>
    </row>
    <row r="36" spans="1:1" x14ac:dyDescent="0.3">
      <c r="A36">
        <v>386250</v>
      </c>
    </row>
    <row r="37" spans="1:1" x14ac:dyDescent="0.3">
      <c r="A37">
        <v>385000</v>
      </c>
    </row>
    <row r="38" spans="1:1" x14ac:dyDescent="0.3">
      <c r="A38">
        <v>385000</v>
      </c>
    </row>
    <row r="39" spans="1:1" x14ac:dyDescent="0.3">
      <c r="A39">
        <v>383970</v>
      </c>
    </row>
    <row r="40" spans="1:1" x14ac:dyDescent="0.3">
      <c r="A40">
        <v>381000</v>
      </c>
    </row>
    <row r="41" spans="1:1" x14ac:dyDescent="0.3">
      <c r="A41">
        <v>380000</v>
      </c>
    </row>
    <row r="42" spans="1:1" x14ac:dyDescent="0.3">
      <c r="A42">
        <v>378500</v>
      </c>
    </row>
    <row r="43" spans="1:1" x14ac:dyDescent="0.3">
      <c r="A43">
        <v>377500</v>
      </c>
    </row>
    <row r="44" spans="1:1" x14ac:dyDescent="0.3">
      <c r="A44">
        <v>377426</v>
      </c>
    </row>
    <row r="45" spans="1:1" x14ac:dyDescent="0.3">
      <c r="A45">
        <v>375000</v>
      </c>
    </row>
    <row r="46" spans="1:1" x14ac:dyDescent="0.3">
      <c r="A46">
        <v>374000</v>
      </c>
    </row>
    <row r="47" spans="1:1" x14ac:dyDescent="0.3">
      <c r="A47">
        <v>372500</v>
      </c>
    </row>
    <row r="48" spans="1:1" x14ac:dyDescent="0.3">
      <c r="A48">
        <v>372402</v>
      </c>
    </row>
    <row r="49" spans="1:1" x14ac:dyDescent="0.3">
      <c r="A49">
        <v>370878</v>
      </c>
    </row>
    <row r="50" spans="1:1" x14ac:dyDescent="0.3">
      <c r="A50">
        <v>369900</v>
      </c>
    </row>
    <row r="51" spans="1:1" x14ac:dyDescent="0.3">
      <c r="A51">
        <v>367294</v>
      </c>
    </row>
    <row r="52" spans="1:1" x14ac:dyDescent="0.3">
      <c r="A52">
        <v>361919</v>
      </c>
    </row>
    <row r="53" spans="1:1" x14ac:dyDescent="0.3">
      <c r="A53">
        <v>360000</v>
      </c>
    </row>
    <row r="54" spans="1:1" x14ac:dyDescent="0.3">
      <c r="A54">
        <v>359100</v>
      </c>
    </row>
    <row r="55" spans="1:1" x14ac:dyDescent="0.3">
      <c r="A55">
        <v>354000</v>
      </c>
    </row>
    <row r="56" spans="1:1" x14ac:dyDescent="0.3">
      <c r="A56">
        <v>350000</v>
      </c>
    </row>
    <row r="57" spans="1:1" x14ac:dyDescent="0.3">
      <c r="A57">
        <v>350000</v>
      </c>
    </row>
    <row r="58" spans="1:1" x14ac:dyDescent="0.3">
      <c r="A58">
        <v>348000</v>
      </c>
    </row>
    <row r="59" spans="1:1" x14ac:dyDescent="0.3">
      <c r="A59">
        <v>345000</v>
      </c>
    </row>
    <row r="60" spans="1:1" x14ac:dyDescent="0.3">
      <c r="A60">
        <v>345000</v>
      </c>
    </row>
    <row r="61" spans="1:1" x14ac:dyDescent="0.3">
      <c r="A61">
        <v>342643</v>
      </c>
    </row>
    <row r="62" spans="1:1" x14ac:dyDescent="0.3">
      <c r="A62">
        <v>341000</v>
      </c>
    </row>
    <row r="63" spans="1:1" x14ac:dyDescent="0.3">
      <c r="A63">
        <v>340000</v>
      </c>
    </row>
    <row r="64" spans="1:1" x14ac:dyDescent="0.3">
      <c r="A64">
        <v>340000</v>
      </c>
    </row>
    <row r="65" spans="1:1" x14ac:dyDescent="0.3">
      <c r="A65">
        <v>339750</v>
      </c>
    </row>
    <row r="66" spans="1:1" x14ac:dyDescent="0.3">
      <c r="A66">
        <v>337500</v>
      </c>
    </row>
    <row r="67" spans="1:1" x14ac:dyDescent="0.3">
      <c r="A67">
        <v>337000</v>
      </c>
    </row>
    <row r="68" spans="1:1" x14ac:dyDescent="0.3">
      <c r="A68">
        <v>336000</v>
      </c>
    </row>
    <row r="69" spans="1:1" x14ac:dyDescent="0.3">
      <c r="A69">
        <v>335000</v>
      </c>
    </row>
    <row r="70" spans="1:1" x14ac:dyDescent="0.3">
      <c r="A70">
        <v>335000</v>
      </c>
    </row>
    <row r="71" spans="1:1" x14ac:dyDescent="0.3">
      <c r="A71">
        <v>335000</v>
      </c>
    </row>
    <row r="72" spans="1:1" x14ac:dyDescent="0.3">
      <c r="A72">
        <v>333168</v>
      </c>
    </row>
    <row r="73" spans="1:1" x14ac:dyDescent="0.3">
      <c r="A73">
        <v>328900</v>
      </c>
    </row>
    <row r="74" spans="1:1" x14ac:dyDescent="0.3">
      <c r="A74">
        <v>328000</v>
      </c>
    </row>
    <row r="75" spans="1:1" x14ac:dyDescent="0.3">
      <c r="A75">
        <v>326000</v>
      </c>
    </row>
    <row r="76" spans="1:1" x14ac:dyDescent="0.3">
      <c r="A76">
        <v>325624</v>
      </c>
    </row>
    <row r="77" spans="1:1" x14ac:dyDescent="0.3">
      <c r="A77">
        <v>325300</v>
      </c>
    </row>
    <row r="78" spans="1:1" x14ac:dyDescent="0.3">
      <c r="A78">
        <v>325000</v>
      </c>
    </row>
    <row r="79" spans="1:1" x14ac:dyDescent="0.3">
      <c r="A79">
        <v>325000</v>
      </c>
    </row>
    <row r="80" spans="1:1" x14ac:dyDescent="0.3">
      <c r="A80">
        <v>325000</v>
      </c>
    </row>
    <row r="81" spans="1:1" x14ac:dyDescent="0.3">
      <c r="A81">
        <v>325000</v>
      </c>
    </row>
    <row r="82" spans="1:1" x14ac:dyDescent="0.3">
      <c r="A82">
        <v>324000</v>
      </c>
    </row>
    <row r="83" spans="1:1" x14ac:dyDescent="0.3">
      <c r="A83">
        <v>320000</v>
      </c>
    </row>
    <row r="84" spans="1:1" x14ac:dyDescent="0.3">
      <c r="A84">
        <v>320000</v>
      </c>
    </row>
    <row r="85" spans="1:1" x14ac:dyDescent="0.3">
      <c r="A85">
        <v>320000</v>
      </c>
    </row>
    <row r="86" spans="1:1" x14ac:dyDescent="0.3">
      <c r="A86">
        <v>320000</v>
      </c>
    </row>
    <row r="87" spans="1:1" x14ac:dyDescent="0.3">
      <c r="A87">
        <v>319900</v>
      </c>
    </row>
    <row r="88" spans="1:1" x14ac:dyDescent="0.3">
      <c r="A88">
        <v>319000</v>
      </c>
    </row>
    <row r="89" spans="1:1" x14ac:dyDescent="0.3">
      <c r="A89">
        <v>318061</v>
      </c>
    </row>
    <row r="90" spans="1:1" x14ac:dyDescent="0.3">
      <c r="A90">
        <v>318000</v>
      </c>
    </row>
    <row r="91" spans="1:1" x14ac:dyDescent="0.3">
      <c r="A91">
        <v>318000</v>
      </c>
    </row>
    <row r="92" spans="1:1" x14ac:dyDescent="0.3">
      <c r="A92">
        <v>317000</v>
      </c>
    </row>
    <row r="93" spans="1:1" x14ac:dyDescent="0.3">
      <c r="A93">
        <v>316600</v>
      </c>
    </row>
    <row r="94" spans="1:1" x14ac:dyDescent="0.3">
      <c r="A94">
        <v>315750</v>
      </c>
    </row>
    <row r="95" spans="1:1" x14ac:dyDescent="0.3">
      <c r="A95">
        <v>315500</v>
      </c>
    </row>
    <row r="96" spans="1:1" x14ac:dyDescent="0.3">
      <c r="A96">
        <v>315000</v>
      </c>
    </row>
    <row r="97" spans="1:1" x14ac:dyDescent="0.3">
      <c r="A97">
        <v>315000</v>
      </c>
    </row>
    <row r="98" spans="1:1" x14ac:dyDescent="0.3">
      <c r="A98">
        <v>315000</v>
      </c>
    </row>
    <row r="99" spans="1:1" x14ac:dyDescent="0.3">
      <c r="A99">
        <v>315000</v>
      </c>
    </row>
    <row r="100" spans="1:1" x14ac:dyDescent="0.3">
      <c r="A100">
        <v>314813</v>
      </c>
    </row>
    <row r="101" spans="1:1" x14ac:dyDescent="0.3">
      <c r="A101">
        <v>313000</v>
      </c>
    </row>
    <row r="102" spans="1:1" x14ac:dyDescent="0.3">
      <c r="A102">
        <v>312500</v>
      </c>
    </row>
    <row r="103" spans="1:1" x14ac:dyDescent="0.3">
      <c r="A103">
        <v>311872</v>
      </c>
    </row>
    <row r="104" spans="1:1" x14ac:dyDescent="0.3">
      <c r="A104">
        <v>311500</v>
      </c>
    </row>
    <row r="105" spans="1:1" x14ac:dyDescent="0.3">
      <c r="A105">
        <v>310000</v>
      </c>
    </row>
    <row r="106" spans="1:1" x14ac:dyDescent="0.3">
      <c r="A106">
        <v>310000</v>
      </c>
    </row>
    <row r="107" spans="1:1" x14ac:dyDescent="0.3">
      <c r="A107">
        <v>309000</v>
      </c>
    </row>
    <row r="108" spans="1:1" x14ac:dyDescent="0.3">
      <c r="A108">
        <v>307000</v>
      </c>
    </row>
    <row r="109" spans="1:1" x14ac:dyDescent="0.3">
      <c r="A109">
        <v>306000</v>
      </c>
    </row>
    <row r="110" spans="1:1" x14ac:dyDescent="0.3">
      <c r="A110">
        <v>305900</v>
      </c>
    </row>
    <row r="111" spans="1:1" x14ac:dyDescent="0.3">
      <c r="A111">
        <v>305000</v>
      </c>
    </row>
    <row r="112" spans="1:1" x14ac:dyDescent="0.3">
      <c r="A112">
        <v>303477</v>
      </c>
    </row>
    <row r="113" spans="1:1" x14ac:dyDescent="0.3">
      <c r="A113">
        <v>302000</v>
      </c>
    </row>
    <row r="114" spans="1:1" x14ac:dyDescent="0.3">
      <c r="A114">
        <v>302000</v>
      </c>
    </row>
    <row r="115" spans="1:1" x14ac:dyDescent="0.3">
      <c r="A115">
        <v>301500</v>
      </c>
    </row>
    <row r="116" spans="1:1" x14ac:dyDescent="0.3">
      <c r="A116">
        <v>301000</v>
      </c>
    </row>
    <row r="117" spans="1:1" x14ac:dyDescent="0.3">
      <c r="A117">
        <v>299800</v>
      </c>
    </row>
    <row r="118" spans="1:1" x14ac:dyDescent="0.3">
      <c r="A118">
        <v>297000</v>
      </c>
    </row>
    <row r="119" spans="1:1" x14ac:dyDescent="0.3">
      <c r="A119">
        <v>295493</v>
      </c>
    </row>
    <row r="120" spans="1:1" x14ac:dyDescent="0.3">
      <c r="A120">
        <v>295000</v>
      </c>
    </row>
    <row r="121" spans="1:1" x14ac:dyDescent="0.3">
      <c r="A121">
        <v>294000</v>
      </c>
    </row>
    <row r="122" spans="1:1" x14ac:dyDescent="0.3">
      <c r="A122">
        <v>293077</v>
      </c>
    </row>
    <row r="123" spans="1:1" x14ac:dyDescent="0.3">
      <c r="A123">
        <v>290000</v>
      </c>
    </row>
    <row r="124" spans="1:1" x14ac:dyDescent="0.3">
      <c r="A124">
        <v>290000</v>
      </c>
    </row>
    <row r="125" spans="1:1" x14ac:dyDescent="0.3">
      <c r="A125">
        <v>290000</v>
      </c>
    </row>
    <row r="126" spans="1:1" x14ac:dyDescent="0.3">
      <c r="A126">
        <v>290000</v>
      </c>
    </row>
    <row r="127" spans="1:1" x14ac:dyDescent="0.3">
      <c r="A127">
        <v>290000</v>
      </c>
    </row>
    <row r="128" spans="1:1" x14ac:dyDescent="0.3">
      <c r="A128">
        <v>289000</v>
      </c>
    </row>
    <row r="129" spans="1:1" x14ac:dyDescent="0.3">
      <c r="A129">
        <v>287090</v>
      </c>
    </row>
    <row r="130" spans="1:1" x14ac:dyDescent="0.3">
      <c r="A130">
        <v>287000</v>
      </c>
    </row>
    <row r="131" spans="1:1" x14ac:dyDescent="0.3">
      <c r="A131">
        <v>287000</v>
      </c>
    </row>
    <row r="132" spans="1:1" x14ac:dyDescent="0.3">
      <c r="A132">
        <v>286000</v>
      </c>
    </row>
    <row r="133" spans="1:1" x14ac:dyDescent="0.3">
      <c r="A133">
        <v>285000</v>
      </c>
    </row>
    <row r="134" spans="1:1" x14ac:dyDescent="0.3">
      <c r="A134">
        <v>285000</v>
      </c>
    </row>
    <row r="135" spans="1:1" x14ac:dyDescent="0.3">
      <c r="A135">
        <v>285000</v>
      </c>
    </row>
    <row r="136" spans="1:1" x14ac:dyDescent="0.3">
      <c r="A136">
        <v>284000</v>
      </c>
    </row>
    <row r="137" spans="1:1" x14ac:dyDescent="0.3">
      <c r="A137">
        <v>284000</v>
      </c>
    </row>
    <row r="138" spans="1:1" x14ac:dyDescent="0.3">
      <c r="A138">
        <v>283463</v>
      </c>
    </row>
    <row r="139" spans="1:1" x14ac:dyDescent="0.3">
      <c r="A139">
        <v>282922</v>
      </c>
    </row>
    <row r="140" spans="1:1" x14ac:dyDescent="0.3">
      <c r="A140">
        <v>281213</v>
      </c>
    </row>
    <row r="141" spans="1:1" x14ac:dyDescent="0.3">
      <c r="A141">
        <v>281000</v>
      </c>
    </row>
    <row r="142" spans="1:1" x14ac:dyDescent="0.3">
      <c r="A142">
        <v>280000</v>
      </c>
    </row>
    <row r="143" spans="1:1" x14ac:dyDescent="0.3">
      <c r="A143">
        <v>280000</v>
      </c>
    </row>
    <row r="144" spans="1:1" x14ac:dyDescent="0.3">
      <c r="A144">
        <v>280000</v>
      </c>
    </row>
    <row r="145" spans="1:1" x14ac:dyDescent="0.3">
      <c r="A145">
        <v>280000</v>
      </c>
    </row>
    <row r="146" spans="1:1" x14ac:dyDescent="0.3">
      <c r="A146">
        <v>279500</v>
      </c>
    </row>
    <row r="147" spans="1:1" x14ac:dyDescent="0.3">
      <c r="A147">
        <v>278000</v>
      </c>
    </row>
    <row r="148" spans="1:1" x14ac:dyDescent="0.3">
      <c r="A148">
        <v>278000</v>
      </c>
    </row>
    <row r="149" spans="1:1" x14ac:dyDescent="0.3">
      <c r="A149">
        <v>277500</v>
      </c>
    </row>
    <row r="150" spans="1:1" x14ac:dyDescent="0.3">
      <c r="A150">
        <v>277000</v>
      </c>
    </row>
    <row r="151" spans="1:1" x14ac:dyDescent="0.3">
      <c r="A151">
        <v>277000</v>
      </c>
    </row>
    <row r="152" spans="1:1" x14ac:dyDescent="0.3">
      <c r="A152">
        <v>276000</v>
      </c>
    </row>
    <row r="153" spans="1:1" x14ac:dyDescent="0.3">
      <c r="A153">
        <v>275500</v>
      </c>
    </row>
    <row r="154" spans="1:1" x14ac:dyDescent="0.3">
      <c r="A154">
        <v>275000</v>
      </c>
    </row>
    <row r="155" spans="1:1" x14ac:dyDescent="0.3">
      <c r="A155">
        <v>275000</v>
      </c>
    </row>
    <row r="156" spans="1:1" x14ac:dyDescent="0.3">
      <c r="A156">
        <v>275000</v>
      </c>
    </row>
    <row r="157" spans="1:1" x14ac:dyDescent="0.3">
      <c r="A157">
        <v>275000</v>
      </c>
    </row>
    <row r="158" spans="1:1" x14ac:dyDescent="0.3">
      <c r="A158">
        <v>275000</v>
      </c>
    </row>
    <row r="159" spans="1:1" x14ac:dyDescent="0.3">
      <c r="A159">
        <v>274970</v>
      </c>
    </row>
    <row r="160" spans="1:1" x14ac:dyDescent="0.3">
      <c r="A160">
        <v>274900</v>
      </c>
    </row>
    <row r="161" spans="1:1" x14ac:dyDescent="0.3">
      <c r="A161">
        <v>274725</v>
      </c>
    </row>
    <row r="162" spans="1:1" x14ac:dyDescent="0.3">
      <c r="A162">
        <v>274300</v>
      </c>
    </row>
    <row r="163" spans="1:1" x14ac:dyDescent="0.3">
      <c r="A163">
        <v>274000</v>
      </c>
    </row>
    <row r="164" spans="1:1" x14ac:dyDescent="0.3">
      <c r="A164">
        <v>272000</v>
      </c>
    </row>
    <row r="165" spans="1:1" x14ac:dyDescent="0.3">
      <c r="A165">
        <v>272000</v>
      </c>
    </row>
    <row r="166" spans="1:1" x14ac:dyDescent="0.3">
      <c r="A166">
        <v>271900</v>
      </c>
    </row>
    <row r="167" spans="1:1" x14ac:dyDescent="0.3">
      <c r="A167">
        <v>271000</v>
      </c>
    </row>
    <row r="168" spans="1:1" x14ac:dyDescent="0.3">
      <c r="A168">
        <v>271000</v>
      </c>
    </row>
    <row r="169" spans="1:1" x14ac:dyDescent="0.3">
      <c r="A169">
        <v>270000</v>
      </c>
    </row>
    <row r="170" spans="1:1" x14ac:dyDescent="0.3">
      <c r="A170">
        <v>270000</v>
      </c>
    </row>
    <row r="171" spans="1:1" x14ac:dyDescent="0.3">
      <c r="A171">
        <v>270000</v>
      </c>
    </row>
    <row r="172" spans="1:1" x14ac:dyDescent="0.3">
      <c r="A172">
        <v>269790</v>
      </c>
    </row>
    <row r="173" spans="1:1" x14ac:dyDescent="0.3">
      <c r="A173">
        <v>269500</v>
      </c>
    </row>
    <row r="174" spans="1:1" x14ac:dyDescent="0.3">
      <c r="A174">
        <v>268000</v>
      </c>
    </row>
    <row r="175" spans="1:1" x14ac:dyDescent="0.3">
      <c r="A175">
        <v>268000</v>
      </c>
    </row>
    <row r="176" spans="1:1" x14ac:dyDescent="0.3">
      <c r="A176">
        <v>267000</v>
      </c>
    </row>
    <row r="177" spans="1:1" x14ac:dyDescent="0.3">
      <c r="A177">
        <v>266500</v>
      </c>
    </row>
    <row r="178" spans="1:1" x14ac:dyDescent="0.3">
      <c r="A178">
        <v>266000</v>
      </c>
    </row>
    <row r="179" spans="1:1" x14ac:dyDescent="0.3">
      <c r="A179">
        <v>266000</v>
      </c>
    </row>
    <row r="180" spans="1:1" x14ac:dyDescent="0.3">
      <c r="A180">
        <v>265979</v>
      </c>
    </row>
    <row r="181" spans="1:1" x14ac:dyDescent="0.3">
      <c r="A181">
        <v>265900</v>
      </c>
    </row>
    <row r="182" spans="1:1" x14ac:dyDescent="0.3">
      <c r="A182">
        <v>265000</v>
      </c>
    </row>
    <row r="183" spans="1:1" x14ac:dyDescent="0.3">
      <c r="A183">
        <v>264561</v>
      </c>
    </row>
    <row r="184" spans="1:1" x14ac:dyDescent="0.3">
      <c r="A184">
        <v>264132</v>
      </c>
    </row>
    <row r="185" spans="1:1" x14ac:dyDescent="0.3">
      <c r="A185">
        <v>263435</v>
      </c>
    </row>
    <row r="186" spans="1:1" x14ac:dyDescent="0.3">
      <c r="A186">
        <v>263000</v>
      </c>
    </row>
    <row r="187" spans="1:1" x14ac:dyDescent="0.3">
      <c r="A187">
        <v>262500</v>
      </c>
    </row>
    <row r="188" spans="1:1" x14ac:dyDescent="0.3">
      <c r="A188">
        <v>262500</v>
      </c>
    </row>
    <row r="189" spans="1:1" x14ac:dyDescent="0.3">
      <c r="A189">
        <v>262280</v>
      </c>
    </row>
    <row r="190" spans="1:1" x14ac:dyDescent="0.3">
      <c r="A190">
        <v>262000</v>
      </c>
    </row>
    <row r="191" spans="1:1" x14ac:dyDescent="0.3">
      <c r="A191">
        <v>261500</v>
      </c>
    </row>
    <row r="192" spans="1:1" x14ac:dyDescent="0.3">
      <c r="A192">
        <v>260400</v>
      </c>
    </row>
    <row r="193" spans="1:1" x14ac:dyDescent="0.3">
      <c r="A193">
        <v>260000</v>
      </c>
    </row>
    <row r="194" spans="1:1" x14ac:dyDescent="0.3">
      <c r="A194">
        <v>260000</v>
      </c>
    </row>
    <row r="195" spans="1:1" x14ac:dyDescent="0.3">
      <c r="A195">
        <v>260000</v>
      </c>
    </row>
    <row r="196" spans="1:1" x14ac:dyDescent="0.3">
      <c r="A196">
        <v>260000</v>
      </c>
    </row>
    <row r="197" spans="1:1" x14ac:dyDescent="0.3">
      <c r="A197">
        <v>260000</v>
      </c>
    </row>
    <row r="198" spans="1:1" x14ac:dyDescent="0.3">
      <c r="A198">
        <v>260000</v>
      </c>
    </row>
    <row r="199" spans="1:1" x14ac:dyDescent="0.3">
      <c r="A199">
        <v>259500</v>
      </c>
    </row>
    <row r="200" spans="1:1" x14ac:dyDescent="0.3">
      <c r="A200">
        <v>259000</v>
      </c>
    </row>
    <row r="201" spans="1:1" x14ac:dyDescent="0.3">
      <c r="A201">
        <v>258000</v>
      </c>
    </row>
    <row r="202" spans="1:1" x14ac:dyDescent="0.3">
      <c r="A202">
        <v>257500</v>
      </c>
    </row>
    <row r="203" spans="1:1" x14ac:dyDescent="0.3">
      <c r="A203">
        <v>257000</v>
      </c>
    </row>
    <row r="204" spans="1:1" x14ac:dyDescent="0.3">
      <c r="A204">
        <v>256300</v>
      </c>
    </row>
    <row r="205" spans="1:1" x14ac:dyDescent="0.3">
      <c r="A205">
        <v>256000</v>
      </c>
    </row>
    <row r="206" spans="1:1" x14ac:dyDescent="0.3">
      <c r="A206">
        <v>256000</v>
      </c>
    </row>
    <row r="207" spans="1:1" x14ac:dyDescent="0.3">
      <c r="A207">
        <v>255900</v>
      </c>
    </row>
    <row r="208" spans="1:1" x14ac:dyDescent="0.3">
      <c r="A208">
        <v>255500</v>
      </c>
    </row>
    <row r="209" spans="1:1" x14ac:dyDescent="0.3">
      <c r="A209">
        <v>255000</v>
      </c>
    </row>
    <row r="210" spans="1:1" x14ac:dyDescent="0.3">
      <c r="A210">
        <v>255000</v>
      </c>
    </row>
    <row r="211" spans="1:1" x14ac:dyDescent="0.3">
      <c r="A211">
        <v>254900</v>
      </c>
    </row>
    <row r="212" spans="1:1" x14ac:dyDescent="0.3">
      <c r="A212">
        <v>254000</v>
      </c>
    </row>
    <row r="213" spans="1:1" x14ac:dyDescent="0.3">
      <c r="A213">
        <v>253293</v>
      </c>
    </row>
    <row r="214" spans="1:1" x14ac:dyDescent="0.3">
      <c r="A214">
        <v>253000</v>
      </c>
    </row>
    <row r="215" spans="1:1" x14ac:dyDescent="0.3">
      <c r="A215">
        <v>252678</v>
      </c>
    </row>
    <row r="216" spans="1:1" x14ac:dyDescent="0.3">
      <c r="A216">
        <v>252000</v>
      </c>
    </row>
    <row r="217" spans="1:1" x14ac:dyDescent="0.3">
      <c r="A217">
        <v>251000</v>
      </c>
    </row>
    <row r="218" spans="1:1" x14ac:dyDescent="0.3">
      <c r="A218">
        <v>250580</v>
      </c>
    </row>
    <row r="219" spans="1:1" x14ac:dyDescent="0.3">
      <c r="A219">
        <v>250000</v>
      </c>
    </row>
    <row r="220" spans="1:1" x14ac:dyDescent="0.3">
      <c r="A220">
        <v>250000</v>
      </c>
    </row>
    <row r="221" spans="1:1" x14ac:dyDescent="0.3">
      <c r="A221">
        <v>250000</v>
      </c>
    </row>
    <row r="222" spans="1:1" x14ac:dyDescent="0.3">
      <c r="A222">
        <v>250000</v>
      </c>
    </row>
    <row r="223" spans="1:1" x14ac:dyDescent="0.3">
      <c r="A223">
        <v>250000</v>
      </c>
    </row>
    <row r="224" spans="1:1" x14ac:dyDescent="0.3">
      <c r="A224">
        <v>250000</v>
      </c>
    </row>
    <row r="225" spans="1:1" x14ac:dyDescent="0.3">
      <c r="A225">
        <v>250000</v>
      </c>
    </row>
    <row r="226" spans="1:1" x14ac:dyDescent="0.3">
      <c r="A226">
        <v>250000</v>
      </c>
    </row>
    <row r="227" spans="1:1" x14ac:dyDescent="0.3">
      <c r="A227">
        <v>249700</v>
      </c>
    </row>
    <row r="228" spans="1:1" x14ac:dyDescent="0.3">
      <c r="A228">
        <v>248900</v>
      </c>
    </row>
    <row r="229" spans="1:1" x14ac:dyDescent="0.3">
      <c r="A229">
        <v>248328</v>
      </c>
    </row>
    <row r="230" spans="1:1" x14ac:dyDescent="0.3">
      <c r="A230">
        <v>248000</v>
      </c>
    </row>
    <row r="231" spans="1:1" x14ac:dyDescent="0.3">
      <c r="A231">
        <v>248000</v>
      </c>
    </row>
    <row r="232" spans="1:1" x14ac:dyDescent="0.3">
      <c r="A232">
        <v>246578</v>
      </c>
    </row>
    <row r="233" spans="1:1" x14ac:dyDescent="0.3">
      <c r="A233">
        <v>245500</v>
      </c>
    </row>
    <row r="234" spans="1:1" x14ac:dyDescent="0.3">
      <c r="A234">
        <v>245350</v>
      </c>
    </row>
    <row r="235" spans="1:1" x14ac:dyDescent="0.3">
      <c r="A235">
        <v>245000</v>
      </c>
    </row>
    <row r="236" spans="1:1" x14ac:dyDescent="0.3">
      <c r="A236">
        <v>244600</v>
      </c>
    </row>
    <row r="237" spans="1:1" x14ac:dyDescent="0.3">
      <c r="A237">
        <v>244400</v>
      </c>
    </row>
    <row r="238" spans="1:1" x14ac:dyDescent="0.3">
      <c r="A238">
        <v>244000</v>
      </c>
    </row>
    <row r="239" spans="1:1" x14ac:dyDescent="0.3">
      <c r="A239">
        <v>244000</v>
      </c>
    </row>
    <row r="240" spans="1:1" x14ac:dyDescent="0.3">
      <c r="A240">
        <v>244000</v>
      </c>
    </row>
    <row r="241" spans="1:1" x14ac:dyDescent="0.3">
      <c r="A241">
        <v>243000</v>
      </c>
    </row>
    <row r="242" spans="1:1" x14ac:dyDescent="0.3">
      <c r="A242">
        <v>242000</v>
      </c>
    </row>
    <row r="243" spans="1:1" x14ac:dyDescent="0.3">
      <c r="A243">
        <v>242000</v>
      </c>
    </row>
    <row r="244" spans="1:1" x14ac:dyDescent="0.3">
      <c r="A244">
        <v>241500</v>
      </c>
    </row>
    <row r="245" spans="1:1" x14ac:dyDescent="0.3">
      <c r="A245">
        <v>241500</v>
      </c>
    </row>
    <row r="246" spans="1:1" x14ac:dyDescent="0.3">
      <c r="A246">
        <v>241000</v>
      </c>
    </row>
    <row r="247" spans="1:1" x14ac:dyDescent="0.3">
      <c r="A247">
        <v>240000</v>
      </c>
    </row>
    <row r="248" spans="1:1" x14ac:dyDescent="0.3">
      <c r="A248">
        <v>240000</v>
      </c>
    </row>
    <row r="249" spans="1:1" x14ac:dyDescent="0.3">
      <c r="A249">
        <v>240000</v>
      </c>
    </row>
    <row r="250" spans="1:1" x14ac:dyDescent="0.3">
      <c r="A250">
        <v>240000</v>
      </c>
    </row>
    <row r="251" spans="1:1" x14ac:dyDescent="0.3">
      <c r="A251">
        <v>240000</v>
      </c>
    </row>
    <row r="252" spans="1:1" x14ac:dyDescent="0.3">
      <c r="A252">
        <v>240000</v>
      </c>
    </row>
    <row r="253" spans="1:1" x14ac:dyDescent="0.3">
      <c r="A253">
        <v>239900</v>
      </c>
    </row>
    <row r="254" spans="1:1" x14ac:dyDescent="0.3">
      <c r="A254">
        <v>239799</v>
      </c>
    </row>
    <row r="255" spans="1:1" x14ac:dyDescent="0.3">
      <c r="A255">
        <v>239686</v>
      </c>
    </row>
    <row r="256" spans="1:1" x14ac:dyDescent="0.3">
      <c r="A256">
        <v>239500</v>
      </c>
    </row>
    <row r="257" spans="1:1" x14ac:dyDescent="0.3">
      <c r="A257">
        <v>239000</v>
      </c>
    </row>
    <row r="258" spans="1:1" x14ac:dyDescent="0.3">
      <c r="A258">
        <v>239000</v>
      </c>
    </row>
    <row r="259" spans="1:1" x14ac:dyDescent="0.3">
      <c r="A259">
        <v>239000</v>
      </c>
    </row>
    <row r="260" spans="1:1" x14ac:dyDescent="0.3">
      <c r="A260">
        <v>239000</v>
      </c>
    </row>
    <row r="261" spans="1:1" x14ac:dyDescent="0.3">
      <c r="A261">
        <v>239000</v>
      </c>
    </row>
    <row r="262" spans="1:1" x14ac:dyDescent="0.3">
      <c r="A262">
        <v>239000</v>
      </c>
    </row>
    <row r="263" spans="1:1" x14ac:dyDescent="0.3">
      <c r="A263">
        <v>238000</v>
      </c>
    </row>
    <row r="264" spans="1:1" x14ac:dyDescent="0.3">
      <c r="A264">
        <v>237500</v>
      </c>
    </row>
    <row r="265" spans="1:1" x14ac:dyDescent="0.3">
      <c r="A265">
        <v>237000</v>
      </c>
    </row>
    <row r="266" spans="1:1" x14ac:dyDescent="0.3">
      <c r="A266">
        <v>237000</v>
      </c>
    </row>
    <row r="267" spans="1:1" x14ac:dyDescent="0.3">
      <c r="A267">
        <v>236500</v>
      </c>
    </row>
    <row r="268" spans="1:1" x14ac:dyDescent="0.3">
      <c r="A268">
        <v>236500</v>
      </c>
    </row>
    <row r="269" spans="1:1" x14ac:dyDescent="0.3">
      <c r="A269">
        <v>236000</v>
      </c>
    </row>
    <row r="270" spans="1:1" x14ac:dyDescent="0.3">
      <c r="A270">
        <v>236000</v>
      </c>
    </row>
    <row r="271" spans="1:1" x14ac:dyDescent="0.3">
      <c r="A271">
        <v>235128</v>
      </c>
    </row>
    <row r="272" spans="1:1" x14ac:dyDescent="0.3">
      <c r="A272">
        <v>235000</v>
      </c>
    </row>
    <row r="273" spans="1:1" x14ac:dyDescent="0.3">
      <c r="A273">
        <v>235000</v>
      </c>
    </row>
    <row r="274" spans="1:1" x14ac:dyDescent="0.3">
      <c r="A274">
        <v>235000</v>
      </c>
    </row>
    <row r="275" spans="1:1" x14ac:dyDescent="0.3">
      <c r="A275">
        <v>235000</v>
      </c>
    </row>
    <row r="276" spans="1:1" x14ac:dyDescent="0.3">
      <c r="A276">
        <v>235000</v>
      </c>
    </row>
    <row r="277" spans="1:1" x14ac:dyDescent="0.3">
      <c r="A277">
        <v>235000</v>
      </c>
    </row>
    <row r="278" spans="1:1" x14ac:dyDescent="0.3">
      <c r="A278">
        <v>235000</v>
      </c>
    </row>
    <row r="279" spans="1:1" x14ac:dyDescent="0.3">
      <c r="A279">
        <v>234000</v>
      </c>
    </row>
    <row r="280" spans="1:1" x14ac:dyDescent="0.3">
      <c r="A280">
        <v>234000</v>
      </c>
    </row>
    <row r="281" spans="1:1" x14ac:dyDescent="0.3">
      <c r="A281">
        <v>233230</v>
      </c>
    </row>
    <row r="282" spans="1:1" x14ac:dyDescent="0.3">
      <c r="A282">
        <v>233170</v>
      </c>
    </row>
    <row r="283" spans="1:1" x14ac:dyDescent="0.3">
      <c r="A283">
        <v>233000</v>
      </c>
    </row>
    <row r="284" spans="1:1" x14ac:dyDescent="0.3">
      <c r="A284">
        <v>232600</v>
      </c>
    </row>
    <row r="285" spans="1:1" x14ac:dyDescent="0.3">
      <c r="A285">
        <v>232000</v>
      </c>
    </row>
    <row r="286" spans="1:1" x14ac:dyDescent="0.3">
      <c r="A286">
        <v>232000</v>
      </c>
    </row>
    <row r="287" spans="1:1" x14ac:dyDescent="0.3">
      <c r="A287">
        <v>232000</v>
      </c>
    </row>
    <row r="288" spans="1:1" x14ac:dyDescent="0.3">
      <c r="A288">
        <v>231500</v>
      </c>
    </row>
    <row r="289" spans="1:1" x14ac:dyDescent="0.3">
      <c r="A289">
        <v>231500</v>
      </c>
    </row>
    <row r="290" spans="1:1" x14ac:dyDescent="0.3">
      <c r="A290">
        <v>230500</v>
      </c>
    </row>
    <row r="291" spans="1:1" x14ac:dyDescent="0.3">
      <c r="A291">
        <v>230000</v>
      </c>
    </row>
    <row r="292" spans="1:1" x14ac:dyDescent="0.3">
      <c r="A292">
        <v>230000</v>
      </c>
    </row>
    <row r="293" spans="1:1" x14ac:dyDescent="0.3">
      <c r="A293">
        <v>230000</v>
      </c>
    </row>
    <row r="294" spans="1:1" x14ac:dyDescent="0.3">
      <c r="A294">
        <v>230000</v>
      </c>
    </row>
    <row r="295" spans="1:1" x14ac:dyDescent="0.3">
      <c r="A295">
        <v>230000</v>
      </c>
    </row>
    <row r="296" spans="1:1" x14ac:dyDescent="0.3">
      <c r="A296">
        <v>230000</v>
      </c>
    </row>
    <row r="297" spans="1:1" x14ac:dyDescent="0.3">
      <c r="A297">
        <v>230000</v>
      </c>
    </row>
    <row r="298" spans="1:1" x14ac:dyDescent="0.3">
      <c r="A298">
        <v>230000</v>
      </c>
    </row>
    <row r="299" spans="1:1" x14ac:dyDescent="0.3">
      <c r="A299">
        <v>229456</v>
      </c>
    </row>
    <row r="300" spans="1:1" x14ac:dyDescent="0.3">
      <c r="A300">
        <v>229000</v>
      </c>
    </row>
    <row r="301" spans="1:1" x14ac:dyDescent="0.3">
      <c r="A301">
        <v>228950</v>
      </c>
    </row>
    <row r="302" spans="1:1" x14ac:dyDescent="0.3">
      <c r="A302">
        <v>228500</v>
      </c>
    </row>
    <row r="303" spans="1:1" x14ac:dyDescent="0.3">
      <c r="A303">
        <v>228500</v>
      </c>
    </row>
    <row r="304" spans="1:1" x14ac:dyDescent="0.3">
      <c r="A304">
        <v>228000</v>
      </c>
    </row>
    <row r="305" spans="1:1" x14ac:dyDescent="0.3">
      <c r="A305">
        <v>228000</v>
      </c>
    </row>
    <row r="306" spans="1:1" x14ac:dyDescent="0.3">
      <c r="A306">
        <v>227875</v>
      </c>
    </row>
    <row r="307" spans="1:1" x14ac:dyDescent="0.3">
      <c r="A307">
        <v>227680</v>
      </c>
    </row>
    <row r="308" spans="1:1" x14ac:dyDescent="0.3">
      <c r="A308">
        <v>227000</v>
      </c>
    </row>
    <row r="309" spans="1:1" x14ac:dyDescent="0.3">
      <c r="A309">
        <v>227000</v>
      </c>
    </row>
    <row r="310" spans="1:1" x14ac:dyDescent="0.3">
      <c r="A310">
        <v>227000</v>
      </c>
    </row>
    <row r="311" spans="1:1" x14ac:dyDescent="0.3">
      <c r="A311">
        <v>226700</v>
      </c>
    </row>
    <row r="312" spans="1:1" x14ac:dyDescent="0.3">
      <c r="A312">
        <v>226000</v>
      </c>
    </row>
    <row r="313" spans="1:1" x14ac:dyDescent="0.3">
      <c r="A313">
        <v>226000</v>
      </c>
    </row>
    <row r="314" spans="1:1" x14ac:dyDescent="0.3">
      <c r="A314">
        <v>226000</v>
      </c>
    </row>
    <row r="315" spans="1:1" x14ac:dyDescent="0.3">
      <c r="A315">
        <v>225000</v>
      </c>
    </row>
    <row r="316" spans="1:1" x14ac:dyDescent="0.3">
      <c r="A316">
        <v>225000</v>
      </c>
    </row>
    <row r="317" spans="1:1" x14ac:dyDescent="0.3">
      <c r="A317">
        <v>225000</v>
      </c>
    </row>
    <row r="318" spans="1:1" x14ac:dyDescent="0.3">
      <c r="A318">
        <v>225000</v>
      </c>
    </row>
    <row r="319" spans="1:1" x14ac:dyDescent="0.3">
      <c r="A319">
        <v>225000</v>
      </c>
    </row>
    <row r="320" spans="1:1" x14ac:dyDescent="0.3">
      <c r="A320">
        <v>225000</v>
      </c>
    </row>
    <row r="321" spans="1:1" x14ac:dyDescent="0.3">
      <c r="A321">
        <v>224900</v>
      </c>
    </row>
    <row r="322" spans="1:1" x14ac:dyDescent="0.3">
      <c r="A322">
        <v>224900</v>
      </c>
    </row>
    <row r="323" spans="1:1" x14ac:dyDescent="0.3">
      <c r="A323">
        <v>224500</v>
      </c>
    </row>
    <row r="324" spans="1:1" x14ac:dyDescent="0.3">
      <c r="A324">
        <v>224000</v>
      </c>
    </row>
    <row r="325" spans="1:1" x14ac:dyDescent="0.3">
      <c r="A325">
        <v>224000</v>
      </c>
    </row>
    <row r="326" spans="1:1" x14ac:dyDescent="0.3">
      <c r="A326">
        <v>223500</v>
      </c>
    </row>
    <row r="327" spans="1:1" x14ac:dyDescent="0.3">
      <c r="A327">
        <v>223500</v>
      </c>
    </row>
    <row r="328" spans="1:1" x14ac:dyDescent="0.3">
      <c r="A328">
        <v>223000</v>
      </c>
    </row>
    <row r="329" spans="1:1" x14ac:dyDescent="0.3">
      <c r="A329">
        <v>222500</v>
      </c>
    </row>
    <row r="330" spans="1:1" x14ac:dyDescent="0.3">
      <c r="A330">
        <v>222500</v>
      </c>
    </row>
    <row r="331" spans="1:1" x14ac:dyDescent="0.3">
      <c r="A331">
        <v>222000</v>
      </c>
    </row>
    <row r="332" spans="1:1" x14ac:dyDescent="0.3">
      <c r="A332">
        <v>222000</v>
      </c>
    </row>
    <row r="333" spans="1:1" x14ac:dyDescent="0.3">
      <c r="A333">
        <v>222000</v>
      </c>
    </row>
    <row r="334" spans="1:1" x14ac:dyDescent="0.3">
      <c r="A334">
        <v>221500</v>
      </c>
    </row>
    <row r="335" spans="1:1" x14ac:dyDescent="0.3">
      <c r="A335">
        <v>221000</v>
      </c>
    </row>
    <row r="336" spans="1:1" x14ac:dyDescent="0.3">
      <c r="A336">
        <v>221000</v>
      </c>
    </row>
    <row r="337" spans="1:1" x14ac:dyDescent="0.3">
      <c r="A337">
        <v>220000</v>
      </c>
    </row>
    <row r="338" spans="1:1" x14ac:dyDescent="0.3">
      <c r="A338">
        <v>220000</v>
      </c>
    </row>
    <row r="339" spans="1:1" x14ac:dyDescent="0.3">
      <c r="A339">
        <v>220000</v>
      </c>
    </row>
    <row r="340" spans="1:1" x14ac:dyDescent="0.3">
      <c r="A340">
        <v>220000</v>
      </c>
    </row>
    <row r="341" spans="1:1" x14ac:dyDescent="0.3">
      <c r="A341">
        <v>220000</v>
      </c>
    </row>
    <row r="342" spans="1:1" x14ac:dyDescent="0.3">
      <c r="A342">
        <v>219500</v>
      </c>
    </row>
    <row r="343" spans="1:1" x14ac:dyDescent="0.3">
      <c r="A343">
        <v>219500</v>
      </c>
    </row>
    <row r="344" spans="1:1" x14ac:dyDescent="0.3">
      <c r="A344">
        <v>219500</v>
      </c>
    </row>
    <row r="345" spans="1:1" x14ac:dyDescent="0.3">
      <c r="A345">
        <v>219210</v>
      </c>
    </row>
    <row r="346" spans="1:1" x14ac:dyDescent="0.3">
      <c r="A346">
        <v>218000</v>
      </c>
    </row>
    <row r="347" spans="1:1" x14ac:dyDescent="0.3">
      <c r="A347">
        <v>217500</v>
      </c>
    </row>
    <row r="348" spans="1:1" x14ac:dyDescent="0.3">
      <c r="A348">
        <v>217000</v>
      </c>
    </row>
    <row r="349" spans="1:1" x14ac:dyDescent="0.3">
      <c r="A349">
        <v>217000</v>
      </c>
    </row>
    <row r="350" spans="1:1" x14ac:dyDescent="0.3">
      <c r="A350">
        <v>216837</v>
      </c>
    </row>
    <row r="351" spans="1:1" x14ac:dyDescent="0.3">
      <c r="A351">
        <v>216500</v>
      </c>
    </row>
    <row r="352" spans="1:1" x14ac:dyDescent="0.3">
      <c r="A352">
        <v>216000</v>
      </c>
    </row>
    <row r="353" spans="1:1" x14ac:dyDescent="0.3">
      <c r="A353">
        <v>215200</v>
      </c>
    </row>
    <row r="354" spans="1:1" x14ac:dyDescent="0.3">
      <c r="A354">
        <v>215000</v>
      </c>
    </row>
    <row r="355" spans="1:1" x14ac:dyDescent="0.3">
      <c r="A355">
        <v>215000</v>
      </c>
    </row>
    <row r="356" spans="1:1" x14ac:dyDescent="0.3">
      <c r="A356">
        <v>215000</v>
      </c>
    </row>
    <row r="357" spans="1:1" x14ac:dyDescent="0.3">
      <c r="A357">
        <v>215000</v>
      </c>
    </row>
    <row r="358" spans="1:1" x14ac:dyDescent="0.3">
      <c r="A358">
        <v>215000</v>
      </c>
    </row>
    <row r="359" spans="1:1" x14ac:dyDescent="0.3">
      <c r="A359">
        <v>215000</v>
      </c>
    </row>
    <row r="360" spans="1:1" x14ac:dyDescent="0.3">
      <c r="A360">
        <v>215000</v>
      </c>
    </row>
    <row r="361" spans="1:1" x14ac:dyDescent="0.3">
      <c r="A361">
        <v>215000</v>
      </c>
    </row>
    <row r="362" spans="1:1" x14ac:dyDescent="0.3">
      <c r="A362">
        <v>214900</v>
      </c>
    </row>
    <row r="363" spans="1:1" x14ac:dyDescent="0.3">
      <c r="A363">
        <v>214500</v>
      </c>
    </row>
    <row r="364" spans="1:1" x14ac:dyDescent="0.3">
      <c r="A364">
        <v>214000</v>
      </c>
    </row>
    <row r="365" spans="1:1" x14ac:dyDescent="0.3">
      <c r="A365">
        <v>214000</v>
      </c>
    </row>
    <row r="366" spans="1:1" x14ac:dyDescent="0.3">
      <c r="A366">
        <v>214000</v>
      </c>
    </row>
    <row r="367" spans="1:1" x14ac:dyDescent="0.3">
      <c r="A367">
        <v>214000</v>
      </c>
    </row>
    <row r="368" spans="1:1" x14ac:dyDescent="0.3">
      <c r="A368">
        <v>214000</v>
      </c>
    </row>
    <row r="369" spans="1:1" x14ac:dyDescent="0.3">
      <c r="A369">
        <v>213500</v>
      </c>
    </row>
    <row r="370" spans="1:1" x14ac:dyDescent="0.3">
      <c r="A370">
        <v>213500</v>
      </c>
    </row>
    <row r="371" spans="1:1" x14ac:dyDescent="0.3">
      <c r="A371">
        <v>213490</v>
      </c>
    </row>
    <row r="372" spans="1:1" x14ac:dyDescent="0.3">
      <c r="A372">
        <v>213250</v>
      </c>
    </row>
    <row r="373" spans="1:1" x14ac:dyDescent="0.3">
      <c r="A373">
        <v>213000</v>
      </c>
    </row>
    <row r="374" spans="1:1" x14ac:dyDescent="0.3">
      <c r="A374">
        <v>213000</v>
      </c>
    </row>
    <row r="375" spans="1:1" x14ac:dyDescent="0.3">
      <c r="A375">
        <v>213000</v>
      </c>
    </row>
    <row r="376" spans="1:1" x14ac:dyDescent="0.3">
      <c r="A376">
        <v>212900</v>
      </c>
    </row>
    <row r="377" spans="1:1" x14ac:dyDescent="0.3">
      <c r="A377">
        <v>212000</v>
      </c>
    </row>
    <row r="378" spans="1:1" x14ac:dyDescent="0.3">
      <c r="A378">
        <v>212000</v>
      </c>
    </row>
    <row r="379" spans="1:1" x14ac:dyDescent="0.3">
      <c r="A379">
        <v>212000</v>
      </c>
    </row>
    <row r="380" spans="1:1" x14ac:dyDescent="0.3">
      <c r="A380">
        <v>211000</v>
      </c>
    </row>
    <row r="381" spans="1:1" x14ac:dyDescent="0.3">
      <c r="A381">
        <v>211000</v>
      </c>
    </row>
    <row r="382" spans="1:1" x14ac:dyDescent="0.3">
      <c r="A382">
        <v>210000</v>
      </c>
    </row>
    <row r="383" spans="1:1" x14ac:dyDescent="0.3">
      <c r="A383">
        <v>210000</v>
      </c>
    </row>
    <row r="384" spans="1:1" x14ac:dyDescent="0.3">
      <c r="A384">
        <v>210000</v>
      </c>
    </row>
    <row r="385" spans="1:1" x14ac:dyDescent="0.3">
      <c r="A385">
        <v>210000</v>
      </c>
    </row>
    <row r="386" spans="1:1" x14ac:dyDescent="0.3">
      <c r="A386">
        <v>210000</v>
      </c>
    </row>
    <row r="387" spans="1:1" x14ac:dyDescent="0.3">
      <c r="A387">
        <v>209500</v>
      </c>
    </row>
    <row r="388" spans="1:1" x14ac:dyDescent="0.3">
      <c r="A388">
        <v>208900</v>
      </c>
    </row>
    <row r="389" spans="1:1" x14ac:dyDescent="0.3">
      <c r="A389">
        <v>208900</v>
      </c>
    </row>
    <row r="390" spans="1:1" x14ac:dyDescent="0.3">
      <c r="A390">
        <v>208500</v>
      </c>
    </row>
    <row r="391" spans="1:1" x14ac:dyDescent="0.3">
      <c r="A391">
        <v>208300</v>
      </c>
    </row>
    <row r="392" spans="1:1" x14ac:dyDescent="0.3">
      <c r="A392">
        <v>207500</v>
      </c>
    </row>
    <row r="393" spans="1:1" x14ac:dyDescent="0.3">
      <c r="A393">
        <v>207500</v>
      </c>
    </row>
    <row r="394" spans="1:1" x14ac:dyDescent="0.3">
      <c r="A394">
        <v>207500</v>
      </c>
    </row>
    <row r="395" spans="1:1" x14ac:dyDescent="0.3">
      <c r="A395">
        <v>207500</v>
      </c>
    </row>
    <row r="396" spans="1:1" x14ac:dyDescent="0.3">
      <c r="A396">
        <v>207500</v>
      </c>
    </row>
    <row r="397" spans="1:1" x14ac:dyDescent="0.3">
      <c r="A397">
        <v>207000</v>
      </c>
    </row>
    <row r="398" spans="1:1" x14ac:dyDescent="0.3">
      <c r="A398">
        <v>207000</v>
      </c>
    </row>
    <row r="399" spans="1:1" x14ac:dyDescent="0.3">
      <c r="A399">
        <v>206900</v>
      </c>
    </row>
    <row r="400" spans="1:1" x14ac:dyDescent="0.3">
      <c r="A400">
        <v>206300</v>
      </c>
    </row>
    <row r="401" spans="1:1" x14ac:dyDescent="0.3">
      <c r="A401">
        <v>206000</v>
      </c>
    </row>
    <row r="402" spans="1:1" x14ac:dyDescent="0.3">
      <c r="A402">
        <v>205950</v>
      </c>
    </row>
    <row r="403" spans="1:1" x14ac:dyDescent="0.3">
      <c r="A403">
        <v>205000</v>
      </c>
    </row>
    <row r="404" spans="1:1" x14ac:dyDescent="0.3">
      <c r="A404">
        <v>205000</v>
      </c>
    </row>
    <row r="405" spans="1:1" x14ac:dyDescent="0.3">
      <c r="A405">
        <v>205000</v>
      </c>
    </row>
    <row r="406" spans="1:1" x14ac:dyDescent="0.3">
      <c r="A406">
        <v>205000</v>
      </c>
    </row>
    <row r="407" spans="1:1" x14ac:dyDescent="0.3">
      <c r="A407">
        <v>205000</v>
      </c>
    </row>
    <row r="408" spans="1:1" x14ac:dyDescent="0.3">
      <c r="A408">
        <v>205000</v>
      </c>
    </row>
    <row r="409" spans="1:1" x14ac:dyDescent="0.3">
      <c r="A409">
        <v>204900</v>
      </c>
    </row>
    <row r="410" spans="1:1" x14ac:dyDescent="0.3">
      <c r="A410">
        <v>204750</v>
      </c>
    </row>
    <row r="411" spans="1:1" x14ac:dyDescent="0.3">
      <c r="A411">
        <v>204000</v>
      </c>
    </row>
    <row r="412" spans="1:1" x14ac:dyDescent="0.3">
      <c r="A412">
        <v>204000</v>
      </c>
    </row>
    <row r="413" spans="1:1" x14ac:dyDescent="0.3">
      <c r="A413">
        <v>203000</v>
      </c>
    </row>
    <row r="414" spans="1:1" x14ac:dyDescent="0.3">
      <c r="A414">
        <v>203000</v>
      </c>
    </row>
    <row r="415" spans="1:1" x14ac:dyDescent="0.3">
      <c r="A415">
        <v>202900</v>
      </c>
    </row>
    <row r="416" spans="1:1" x14ac:dyDescent="0.3">
      <c r="A416">
        <v>202665</v>
      </c>
    </row>
    <row r="417" spans="1:1" x14ac:dyDescent="0.3">
      <c r="A417">
        <v>202500</v>
      </c>
    </row>
    <row r="418" spans="1:1" x14ac:dyDescent="0.3">
      <c r="A418">
        <v>202500</v>
      </c>
    </row>
    <row r="419" spans="1:1" x14ac:dyDescent="0.3">
      <c r="A419">
        <v>202500</v>
      </c>
    </row>
    <row r="420" spans="1:1" x14ac:dyDescent="0.3">
      <c r="A420">
        <v>201800</v>
      </c>
    </row>
    <row r="421" spans="1:1" x14ac:dyDescent="0.3">
      <c r="A421">
        <v>201000</v>
      </c>
    </row>
    <row r="422" spans="1:1" x14ac:dyDescent="0.3">
      <c r="A422">
        <v>201000</v>
      </c>
    </row>
    <row r="423" spans="1:1" x14ac:dyDescent="0.3">
      <c r="A423">
        <v>201000</v>
      </c>
    </row>
    <row r="424" spans="1:1" x14ac:dyDescent="0.3">
      <c r="A424">
        <v>200624</v>
      </c>
    </row>
    <row r="425" spans="1:1" x14ac:dyDescent="0.3">
      <c r="A425">
        <v>200500</v>
      </c>
    </row>
    <row r="426" spans="1:1" x14ac:dyDescent="0.3">
      <c r="A426">
        <v>200500</v>
      </c>
    </row>
    <row r="427" spans="1:1" x14ac:dyDescent="0.3">
      <c r="A427">
        <v>200141</v>
      </c>
    </row>
    <row r="428" spans="1:1" x14ac:dyDescent="0.3">
      <c r="A428">
        <v>200100</v>
      </c>
    </row>
    <row r="429" spans="1:1" x14ac:dyDescent="0.3">
      <c r="A429">
        <v>200000</v>
      </c>
    </row>
    <row r="430" spans="1:1" x14ac:dyDescent="0.3">
      <c r="A430">
        <v>200000</v>
      </c>
    </row>
    <row r="431" spans="1:1" x14ac:dyDescent="0.3">
      <c r="A431">
        <v>200000</v>
      </c>
    </row>
    <row r="432" spans="1:1" x14ac:dyDescent="0.3">
      <c r="A432">
        <v>200000</v>
      </c>
    </row>
    <row r="433" spans="1:1" x14ac:dyDescent="0.3">
      <c r="A433">
        <v>200000</v>
      </c>
    </row>
    <row r="434" spans="1:1" x14ac:dyDescent="0.3">
      <c r="A434">
        <v>200000</v>
      </c>
    </row>
    <row r="435" spans="1:1" x14ac:dyDescent="0.3">
      <c r="A435">
        <v>200000</v>
      </c>
    </row>
    <row r="436" spans="1:1" x14ac:dyDescent="0.3">
      <c r="A436">
        <v>200000</v>
      </c>
    </row>
    <row r="437" spans="1:1" x14ac:dyDescent="0.3">
      <c r="A437">
        <v>199900</v>
      </c>
    </row>
    <row r="438" spans="1:1" x14ac:dyDescent="0.3">
      <c r="A438">
        <v>199900</v>
      </c>
    </row>
    <row r="439" spans="1:1" x14ac:dyDescent="0.3">
      <c r="A439">
        <v>198900</v>
      </c>
    </row>
    <row r="440" spans="1:1" x14ac:dyDescent="0.3">
      <c r="A440">
        <v>198500</v>
      </c>
    </row>
    <row r="441" spans="1:1" x14ac:dyDescent="0.3">
      <c r="A441">
        <v>197900</v>
      </c>
    </row>
    <row r="442" spans="1:1" x14ac:dyDescent="0.3">
      <c r="A442">
        <v>197900</v>
      </c>
    </row>
    <row r="443" spans="1:1" x14ac:dyDescent="0.3">
      <c r="A443">
        <v>197900</v>
      </c>
    </row>
    <row r="444" spans="1:1" x14ac:dyDescent="0.3">
      <c r="A444">
        <v>197500</v>
      </c>
    </row>
    <row r="445" spans="1:1" x14ac:dyDescent="0.3">
      <c r="A445">
        <v>197500</v>
      </c>
    </row>
    <row r="446" spans="1:1" x14ac:dyDescent="0.3">
      <c r="A446">
        <v>197000</v>
      </c>
    </row>
    <row r="447" spans="1:1" x14ac:dyDescent="0.3">
      <c r="A447">
        <v>197000</v>
      </c>
    </row>
    <row r="448" spans="1:1" x14ac:dyDescent="0.3">
      <c r="A448">
        <v>197000</v>
      </c>
    </row>
    <row r="449" spans="1:1" x14ac:dyDescent="0.3">
      <c r="A449">
        <v>197000</v>
      </c>
    </row>
    <row r="450" spans="1:1" x14ac:dyDescent="0.3">
      <c r="A450">
        <v>196500</v>
      </c>
    </row>
    <row r="451" spans="1:1" x14ac:dyDescent="0.3">
      <c r="A451">
        <v>196500</v>
      </c>
    </row>
    <row r="452" spans="1:1" x14ac:dyDescent="0.3">
      <c r="A452">
        <v>196000</v>
      </c>
    </row>
    <row r="453" spans="1:1" x14ac:dyDescent="0.3">
      <c r="A453">
        <v>196000</v>
      </c>
    </row>
    <row r="454" spans="1:1" x14ac:dyDescent="0.3">
      <c r="A454">
        <v>196000</v>
      </c>
    </row>
    <row r="455" spans="1:1" x14ac:dyDescent="0.3">
      <c r="A455">
        <v>195400</v>
      </c>
    </row>
    <row r="456" spans="1:1" x14ac:dyDescent="0.3">
      <c r="A456">
        <v>195000</v>
      </c>
    </row>
    <row r="457" spans="1:1" x14ac:dyDescent="0.3">
      <c r="A457">
        <v>195000</v>
      </c>
    </row>
    <row r="458" spans="1:1" x14ac:dyDescent="0.3">
      <c r="A458">
        <v>195000</v>
      </c>
    </row>
    <row r="459" spans="1:1" x14ac:dyDescent="0.3">
      <c r="A459">
        <v>194700</v>
      </c>
    </row>
    <row r="460" spans="1:1" x14ac:dyDescent="0.3">
      <c r="A460">
        <v>194500</v>
      </c>
    </row>
    <row r="461" spans="1:1" x14ac:dyDescent="0.3">
      <c r="A461">
        <v>194500</v>
      </c>
    </row>
    <row r="462" spans="1:1" x14ac:dyDescent="0.3">
      <c r="A462">
        <v>194500</v>
      </c>
    </row>
    <row r="463" spans="1:1" x14ac:dyDescent="0.3">
      <c r="A463">
        <v>194201</v>
      </c>
    </row>
    <row r="464" spans="1:1" x14ac:dyDescent="0.3">
      <c r="A464">
        <v>194000</v>
      </c>
    </row>
    <row r="465" spans="1:1" x14ac:dyDescent="0.3">
      <c r="A465">
        <v>194000</v>
      </c>
    </row>
    <row r="466" spans="1:1" x14ac:dyDescent="0.3">
      <c r="A466">
        <v>194000</v>
      </c>
    </row>
    <row r="467" spans="1:1" x14ac:dyDescent="0.3">
      <c r="A467">
        <v>193879</v>
      </c>
    </row>
    <row r="468" spans="1:1" x14ac:dyDescent="0.3">
      <c r="A468">
        <v>193500</v>
      </c>
    </row>
    <row r="469" spans="1:1" x14ac:dyDescent="0.3">
      <c r="A469">
        <v>193500</v>
      </c>
    </row>
    <row r="470" spans="1:1" x14ac:dyDescent="0.3">
      <c r="A470">
        <v>193000</v>
      </c>
    </row>
    <row r="471" spans="1:1" x14ac:dyDescent="0.3">
      <c r="A471">
        <v>193000</v>
      </c>
    </row>
    <row r="472" spans="1:1" x14ac:dyDescent="0.3">
      <c r="A472">
        <v>193000</v>
      </c>
    </row>
    <row r="473" spans="1:1" x14ac:dyDescent="0.3">
      <c r="A473">
        <v>192500</v>
      </c>
    </row>
    <row r="474" spans="1:1" x14ac:dyDescent="0.3">
      <c r="A474">
        <v>192500</v>
      </c>
    </row>
    <row r="475" spans="1:1" x14ac:dyDescent="0.3">
      <c r="A475">
        <v>192140</v>
      </c>
    </row>
    <row r="476" spans="1:1" x14ac:dyDescent="0.3">
      <c r="A476">
        <v>192000</v>
      </c>
    </row>
    <row r="477" spans="1:1" x14ac:dyDescent="0.3">
      <c r="A477">
        <v>192000</v>
      </c>
    </row>
    <row r="478" spans="1:1" x14ac:dyDescent="0.3">
      <c r="A478">
        <v>192000</v>
      </c>
    </row>
    <row r="479" spans="1:1" x14ac:dyDescent="0.3">
      <c r="A479">
        <v>192000</v>
      </c>
    </row>
    <row r="480" spans="1:1" x14ac:dyDescent="0.3">
      <c r="A480">
        <v>192000</v>
      </c>
    </row>
    <row r="481" spans="1:1" x14ac:dyDescent="0.3">
      <c r="A481">
        <v>191000</v>
      </c>
    </row>
    <row r="482" spans="1:1" x14ac:dyDescent="0.3">
      <c r="A482">
        <v>191000</v>
      </c>
    </row>
    <row r="483" spans="1:1" x14ac:dyDescent="0.3">
      <c r="A483">
        <v>191000</v>
      </c>
    </row>
    <row r="484" spans="1:1" x14ac:dyDescent="0.3">
      <c r="A484">
        <v>191000</v>
      </c>
    </row>
    <row r="485" spans="1:1" x14ac:dyDescent="0.3">
      <c r="A485">
        <v>190000</v>
      </c>
    </row>
    <row r="486" spans="1:1" x14ac:dyDescent="0.3">
      <c r="A486">
        <v>190000</v>
      </c>
    </row>
    <row r="487" spans="1:1" x14ac:dyDescent="0.3">
      <c r="A487">
        <v>190000</v>
      </c>
    </row>
    <row r="488" spans="1:1" x14ac:dyDescent="0.3">
      <c r="A488">
        <v>190000</v>
      </c>
    </row>
    <row r="489" spans="1:1" x14ac:dyDescent="0.3">
      <c r="A489">
        <v>190000</v>
      </c>
    </row>
    <row r="490" spans="1:1" x14ac:dyDescent="0.3">
      <c r="A490">
        <v>190000</v>
      </c>
    </row>
    <row r="491" spans="1:1" x14ac:dyDescent="0.3">
      <c r="A491">
        <v>190000</v>
      </c>
    </row>
    <row r="492" spans="1:1" x14ac:dyDescent="0.3">
      <c r="A492">
        <v>190000</v>
      </c>
    </row>
    <row r="493" spans="1:1" x14ac:dyDescent="0.3">
      <c r="A493">
        <v>190000</v>
      </c>
    </row>
    <row r="494" spans="1:1" x14ac:dyDescent="0.3">
      <c r="A494">
        <v>190000</v>
      </c>
    </row>
    <row r="495" spans="1:1" x14ac:dyDescent="0.3">
      <c r="A495">
        <v>190000</v>
      </c>
    </row>
    <row r="496" spans="1:1" x14ac:dyDescent="0.3">
      <c r="A496">
        <v>190000</v>
      </c>
    </row>
    <row r="497" spans="1:1" x14ac:dyDescent="0.3">
      <c r="A497">
        <v>190000</v>
      </c>
    </row>
    <row r="498" spans="1:1" x14ac:dyDescent="0.3">
      <c r="A498">
        <v>189950</v>
      </c>
    </row>
    <row r="499" spans="1:1" x14ac:dyDescent="0.3">
      <c r="A499">
        <v>189000</v>
      </c>
    </row>
    <row r="500" spans="1:1" x14ac:dyDescent="0.3">
      <c r="A500">
        <v>189000</v>
      </c>
    </row>
    <row r="501" spans="1:1" x14ac:dyDescent="0.3">
      <c r="A501">
        <v>189000</v>
      </c>
    </row>
    <row r="502" spans="1:1" x14ac:dyDescent="0.3">
      <c r="A502">
        <v>189000</v>
      </c>
    </row>
    <row r="503" spans="1:1" x14ac:dyDescent="0.3">
      <c r="A503">
        <v>189000</v>
      </c>
    </row>
    <row r="504" spans="1:1" x14ac:dyDescent="0.3">
      <c r="A504">
        <v>189000</v>
      </c>
    </row>
    <row r="505" spans="1:1" x14ac:dyDescent="0.3">
      <c r="A505">
        <v>188700</v>
      </c>
    </row>
    <row r="506" spans="1:1" x14ac:dyDescent="0.3">
      <c r="A506">
        <v>188500</v>
      </c>
    </row>
    <row r="507" spans="1:1" x14ac:dyDescent="0.3">
      <c r="A507">
        <v>188000</v>
      </c>
    </row>
    <row r="508" spans="1:1" x14ac:dyDescent="0.3">
      <c r="A508">
        <v>188000</v>
      </c>
    </row>
    <row r="509" spans="1:1" x14ac:dyDescent="0.3">
      <c r="A509">
        <v>188000</v>
      </c>
    </row>
    <row r="510" spans="1:1" x14ac:dyDescent="0.3">
      <c r="A510">
        <v>187750</v>
      </c>
    </row>
    <row r="511" spans="1:1" x14ac:dyDescent="0.3">
      <c r="A511">
        <v>187500</v>
      </c>
    </row>
    <row r="512" spans="1:1" x14ac:dyDescent="0.3">
      <c r="A512">
        <v>187500</v>
      </c>
    </row>
    <row r="513" spans="1:1" x14ac:dyDescent="0.3">
      <c r="A513">
        <v>187500</v>
      </c>
    </row>
    <row r="514" spans="1:1" x14ac:dyDescent="0.3">
      <c r="A514">
        <v>187500</v>
      </c>
    </row>
    <row r="515" spans="1:1" x14ac:dyDescent="0.3">
      <c r="A515">
        <v>187500</v>
      </c>
    </row>
    <row r="516" spans="1:1" x14ac:dyDescent="0.3">
      <c r="A516">
        <v>187500</v>
      </c>
    </row>
    <row r="517" spans="1:1" x14ac:dyDescent="0.3">
      <c r="A517">
        <v>187100</v>
      </c>
    </row>
    <row r="518" spans="1:1" x14ac:dyDescent="0.3">
      <c r="A518">
        <v>187000</v>
      </c>
    </row>
    <row r="519" spans="1:1" x14ac:dyDescent="0.3">
      <c r="A519">
        <v>187000</v>
      </c>
    </row>
    <row r="520" spans="1:1" x14ac:dyDescent="0.3">
      <c r="A520">
        <v>187000</v>
      </c>
    </row>
    <row r="521" spans="1:1" x14ac:dyDescent="0.3">
      <c r="A521">
        <v>186700</v>
      </c>
    </row>
    <row r="522" spans="1:1" x14ac:dyDescent="0.3">
      <c r="A522">
        <v>186500</v>
      </c>
    </row>
    <row r="523" spans="1:1" x14ac:dyDescent="0.3">
      <c r="A523">
        <v>186500</v>
      </c>
    </row>
    <row r="524" spans="1:1" x14ac:dyDescent="0.3">
      <c r="A524">
        <v>186000</v>
      </c>
    </row>
    <row r="525" spans="1:1" x14ac:dyDescent="0.3">
      <c r="A525">
        <v>185900</v>
      </c>
    </row>
    <row r="526" spans="1:1" x14ac:dyDescent="0.3">
      <c r="A526">
        <v>185850</v>
      </c>
    </row>
    <row r="527" spans="1:1" x14ac:dyDescent="0.3">
      <c r="A527">
        <v>185750</v>
      </c>
    </row>
    <row r="528" spans="1:1" x14ac:dyDescent="0.3">
      <c r="A528">
        <v>185500</v>
      </c>
    </row>
    <row r="529" spans="1:1" x14ac:dyDescent="0.3">
      <c r="A529">
        <v>185000</v>
      </c>
    </row>
    <row r="530" spans="1:1" x14ac:dyDescent="0.3">
      <c r="A530">
        <v>185000</v>
      </c>
    </row>
    <row r="531" spans="1:1" x14ac:dyDescent="0.3">
      <c r="A531">
        <v>185000</v>
      </c>
    </row>
    <row r="532" spans="1:1" x14ac:dyDescent="0.3">
      <c r="A532">
        <v>185000</v>
      </c>
    </row>
    <row r="533" spans="1:1" x14ac:dyDescent="0.3">
      <c r="A533">
        <v>185000</v>
      </c>
    </row>
    <row r="534" spans="1:1" x14ac:dyDescent="0.3">
      <c r="A534">
        <v>185000</v>
      </c>
    </row>
    <row r="535" spans="1:1" x14ac:dyDescent="0.3">
      <c r="A535">
        <v>185000</v>
      </c>
    </row>
    <row r="536" spans="1:1" x14ac:dyDescent="0.3">
      <c r="A536">
        <v>185000</v>
      </c>
    </row>
    <row r="537" spans="1:1" x14ac:dyDescent="0.3">
      <c r="A537">
        <v>185000</v>
      </c>
    </row>
    <row r="538" spans="1:1" x14ac:dyDescent="0.3">
      <c r="A538">
        <v>185000</v>
      </c>
    </row>
    <row r="539" spans="1:1" x14ac:dyDescent="0.3">
      <c r="A539">
        <v>184900</v>
      </c>
    </row>
    <row r="540" spans="1:1" x14ac:dyDescent="0.3">
      <c r="A540">
        <v>184750</v>
      </c>
    </row>
    <row r="541" spans="1:1" x14ac:dyDescent="0.3">
      <c r="A541">
        <v>184100</v>
      </c>
    </row>
    <row r="542" spans="1:1" x14ac:dyDescent="0.3">
      <c r="A542">
        <v>184000</v>
      </c>
    </row>
    <row r="543" spans="1:1" x14ac:dyDescent="0.3">
      <c r="A543">
        <v>184000</v>
      </c>
    </row>
    <row r="544" spans="1:1" x14ac:dyDescent="0.3">
      <c r="A544">
        <v>184000</v>
      </c>
    </row>
    <row r="545" spans="1:1" x14ac:dyDescent="0.3">
      <c r="A545">
        <v>184000</v>
      </c>
    </row>
    <row r="546" spans="1:1" x14ac:dyDescent="0.3">
      <c r="A546">
        <v>183900</v>
      </c>
    </row>
    <row r="547" spans="1:1" x14ac:dyDescent="0.3">
      <c r="A547">
        <v>183500</v>
      </c>
    </row>
    <row r="548" spans="1:1" x14ac:dyDescent="0.3">
      <c r="A548">
        <v>183200</v>
      </c>
    </row>
    <row r="549" spans="1:1" x14ac:dyDescent="0.3">
      <c r="A549">
        <v>183000</v>
      </c>
    </row>
    <row r="550" spans="1:1" x14ac:dyDescent="0.3">
      <c r="A550">
        <v>182900</v>
      </c>
    </row>
    <row r="551" spans="1:1" x14ac:dyDescent="0.3">
      <c r="A551">
        <v>182000</v>
      </c>
    </row>
    <row r="552" spans="1:1" x14ac:dyDescent="0.3">
      <c r="A552">
        <v>181900</v>
      </c>
    </row>
    <row r="553" spans="1:1" x14ac:dyDescent="0.3">
      <c r="A553">
        <v>181500</v>
      </c>
    </row>
    <row r="554" spans="1:1" x14ac:dyDescent="0.3">
      <c r="A554">
        <v>181134</v>
      </c>
    </row>
    <row r="555" spans="1:1" x14ac:dyDescent="0.3">
      <c r="A555">
        <v>181000</v>
      </c>
    </row>
    <row r="556" spans="1:1" x14ac:dyDescent="0.3">
      <c r="A556">
        <v>181000</v>
      </c>
    </row>
    <row r="557" spans="1:1" x14ac:dyDescent="0.3">
      <c r="A557">
        <v>181000</v>
      </c>
    </row>
    <row r="558" spans="1:1" x14ac:dyDescent="0.3">
      <c r="A558">
        <v>181000</v>
      </c>
    </row>
    <row r="559" spans="1:1" x14ac:dyDescent="0.3">
      <c r="A559">
        <v>181000</v>
      </c>
    </row>
    <row r="560" spans="1:1" x14ac:dyDescent="0.3">
      <c r="A560">
        <v>181000</v>
      </c>
    </row>
    <row r="561" spans="1:1" x14ac:dyDescent="0.3">
      <c r="A561">
        <v>181000</v>
      </c>
    </row>
    <row r="562" spans="1:1" x14ac:dyDescent="0.3">
      <c r="A562">
        <v>180500</v>
      </c>
    </row>
    <row r="563" spans="1:1" x14ac:dyDescent="0.3">
      <c r="A563">
        <v>180500</v>
      </c>
    </row>
    <row r="564" spans="1:1" x14ac:dyDescent="0.3">
      <c r="A564">
        <v>180500</v>
      </c>
    </row>
    <row r="565" spans="1:1" x14ac:dyDescent="0.3">
      <c r="A565">
        <v>180500</v>
      </c>
    </row>
    <row r="566" spans="1:1" x14ac:dyDescent="0.3">
      <c r="A566">
        <v>180000</v>
      </c>
    </row>
    <row r="567" spans="1:1" x14ac:dyDescent="0.3">
      <c r="A567">
        <v>180000</v>
      </c>
    </row>
    <row r="568" spans="1:1" x14ac:dyDescent="0.3">
      <c r="A568">
        <v>180000</v>
      </c>
    </row>
    <row r="569" spans="1:1" x14ac:dyDescent="0.3">
      <c r="A569">
        <v>180000</v>
      </c>
    </row>
    <row r="570" spans="1:1" x14ac:dyDescent="0.3">
      <c r="A570">
        <v>180000</v>
      </c>
    </row>
    <row r="571" spans="1:1" x14ac:dyDescent="0.3">
      <c r="A571">
        <v>180000</v>
      </c>
    </row>
    <row r="572" spans="1:1" x14ac:dyDescent="0.3">
      <c r="A572">
        <v>180000</v>
      </c>
    </row>
    <row r="573" spans="1:1" x14ac:dyDescent="0.3">
      <c r="A573">
        <v>180000</v>
      </c>
    </row>
    <row r="574" spans="1:1" x14ac:dyDescent="0.3">
      <c r="A574">
        <v>180000</v>
      </c>
    </row>
    <row r="575" spans="1:1" x14ac:dyDescent="0.3">
      <c r="A575">
        <v>180000</v>
      </c>
    </row>
    <row r="576" spans="1:1" x14ac:dyDescent="0.3">
      <c r="A576">
        <v>179900</v>
      </c>
    </row>
    <row r="577" spans="1:1" x14ac:dyDescent="0.3">
      <c r="A577">
        <v>179900</v>
      </c>
    </row>
    <row r="578" spans="1:1" x14ac:dyDescent="0.3">
      <c r="A578">
        <v>179900</v>
      </c>
    </row>
    <row r="579" spans="1:1" x14ac:dyDescent="0.3">
      <c r="A579">
        <v>179900</v>
      </c>
    </row>
    <row r="580" spans="1:1" x14ac:dyDescent="0.3">
      <c r="A580">
        <v>179900</v>
      </c>
    </row>
    <row r="581" spans="1:1" x14ac:dyDescent="0.3">
      <c r="A581">
        <v>179665</v>
      </c>
    </row>
    <row r="582" spans="1:1" x14ac:dyDescent="0.3">
      <c r="A582">
        <v>179600</v>
      </c>
    </row>
    <row r="583" spans="1:1" x14ac:dyDescent="0.3">
      <c r="A583">
        <v>179540</v>
      </c>
    </row>
    <row r="584" spans="1:1" x14ac:dyDescent="0.3">
      <c r="A584">
        <v>179500</v>
      </c>
    </row>
    <row r="585" spans="1:1" x14ac:dyDescent="0.3">
      <c r="A585">
        <v>179400</v>
      </c>
    </row>
    <row r="586" spans="1:1" x14ac:dyDescent="0.3">
      <c r="A586">
        <v>179200</v>
      </c>
    </row>
    <row r="587" spans="1:1" x14ac:dyDescent="0.3">
      <c r="A587">
        <v>179200</v>
      </c>
    </row>
    <row r="588" spans="1:1" x14ac:dyDescent="0.3">
      <c r="A588">
        <v>179000</v>
      </c>
    </row>
    <row r="589" spans="1:1" x14ac:dyDescent="0.3">
      <c r="A589">
        <v>179000</v>
      </c>
    </row>
    <row r="590" spans="1:1" x14ac:dyDescent="0.3">
      <c r="A590">
        <v>179000</v>
      </c>
    </row>
    <row r="591" spans="1:1" x14ac:dyDescent="0.3">
      <c r="A591">
        <v>178900</v>
      </c>
    </row>
    <row r="592" spans="1:1" x14ac:dyDescent="0.3">
      <c r="A592">
        <v>178740</v>
      </c>
    </row>
    <row r="593" spans="1:1" x14ac:dyDescent="0.3">
      <c r="A593">
        <v>178400</v>
      </c>
    </row>
    <row r="594" spans="1:1" x14ac:dyDescent="0.3">
      <c r="A594">
        <v>178000</v>
      </c>
    </row>
    <row r="595" spans="1:1" x14ac:dyDescent="0.3">
      <c r="A595">
        <v>178000</v>
      </c>
    </row>
    <row r="596" spans="1:1" x14ac:dyDescent="0.3">
      <c r="A596">
        <v>178000</v>
      </c>
    </row>
    <row r="597" spans="1:1" x14ac:dyDescent="0.3">
      <c r="A597">
        <v>178000</v>
      </c>
    </row>
    <row r="598" spans="1:1" x14ac:dyDescent="0.3">
      <c r="A598">
        <v>178000</v>
      </c>
    </row>
    <row r="599" spans="1:1" x14ac:dyDescent="0.3">
      <c r="A599">
        <v>178000</v>
      </c>
    </row>
    <row r="600" spans="1:1" x14ac:dyDescent="0.3">
      <c r="A600">
        <v>178000</v>
      </c>
    </row>
    <row r="601" spans="1:1" x14ac:dyDescent="0.3">
      <c r="A601">
        <v>177500</v>
      </c>
    </row>
    <row r="602" spans="1:1" x14ac:dyDescent="0.3">
      <c r="A602">
        <v>177500</v>
      </c>
    </row>
    <row r="603" spans="1:1" x14ac:dyDescent="0.3">
      <c r="A603">
        <v>177500</v>
      </c>
    </row>
    <row r="604" spans="1:1" x14ac:dyDescent="0.3">
      <c r="A604">
        <v>177000</v>
      </c>
    </row>
    <row r="605" spans="1:1" x14ac:dyDescent="0.3">
      <c r="A605">
        <v>177000</v>
      </c>
    </row>
    <row r="606" spans="1:1" x14ac:dyDescent="0.3">
      <c r="A606">
        <v>177000</v>
      </c>
    </row>
    <row r="607" spans="1:1" x14ac:dyDescent="0.3">
      <c r="A607">
        <v>177000</v>
      </c>
    </row>
    <row r="608" spans="1:1" x14ac:dyDescent="0.3">
      <c r="A608">
        <v>177000</v>
      </c>
    </row>
    <row r="609" spans="1:1" x14ac:dyDescent="0.3">
      <c r="A609">
        <v>176500</v>
      </c>
    </row>
    <row r="610" spans="1:1" x14ac:dyDescent="0.3">
      <c r="A610">
        <v>176500</v>
      </c>
    </row>
    <row r="611" spans="1:1" x14ac:dyDescent="0.3">
      <c r="A611">
        <v>176485</v>
      </c>
    </row>
    <row r="612" spans="1:1" x14ac:dyDescent="0.3">
      <c r="A612">
        <v>176432</v>
      </c>
    </row>
    <row r="613" spans="1:1" x14ac:dyDescent="0.3">
      <c r="A613">
        <v>176000</v>
      </c>
    </row>
    <row r="614" spans="1:1" x14ac:dyDescent="0.3">
      <c r="A614">
        <v>176000</v>
      </c>
    </row>
    <row r="615" spans="1:1" x14ac:dyDescent="0.3">
      <c r="A615">
        <v>176000</v>
      </c>
    </row>
    <row r="616" spans="1:1" x14ac:dyDescent="0.3">
      <c r="A616">
        <v>176000</v>
      </c>
    </row>
    <row r="617" spans="1:1" x14ac:dyDescent="0.3">
      <c r="A617">
        <v>176000</v>
      </c>
    </row>
    <row r="618" spans="1:1" x14ac:dyDescent="0.3">
      <c r="A618">
        <v>176000</v>
      </c>
    </row>
    <row r="619" spans="1:1" x14ac:dyDescent="0.3">
      <c r="A619">
        <v>176000</v>
      </c>
    </row>
    <row r="620" spans="1:1" x14ac:dyDescent="0.3">
      <c r="A620">
        <v>176000</v>
      </c>
    </row>
    <row r="621" spans="1:1" x14ac:dyDescent="0.3">
      <c r="A621">
        <v>175900</v>
      </c>
    </row>
    <row r="622" spans="1:1" x14ac:dyDescent="0.3">
      <c r="A622">
        <v>175900</v>
      </c>
    </row>
    <row r="623" spans="1:1" x14ac:dyDescent="0.3">
      <c r="A623">
        <v>175500</v>
      </c>
    </row>
    <row r="624" spans="1:1" x14ac:dyDescent="0.3">
      <c r="A624">
        <v>175500</v>
      </c>
    </row>
    <row r="625" spans="1:1" x14ac:dyDescent="0.3">
      <c r="A625">
        <v>175500</v>
      </c>
    </row>
    <row r="626" spans="1:1" x14ac:dyDescent="0.3">
      <c r="A626">
        <v>175000</v>
      </c>
    </row>
    <row r="627" spans="1:1" x14ac:dyDescent="0.3">
      <c r="A627">
        <v>175000</v>
      </c>
    </row>
    <row r="628" spans="1:1" x14ac:dyDescent="0.3">
      <c r="A628">
        <v>175000</v>
      </c>
    </row>
    <row r="629" spans="1:1" x14ac:dyDescent="0.3">
      <c r="A629">
        <v>175000</v>
      </c>
    </row>
    <row r="630" spans="1:1" x14ac:dyDescent="0.3">
      <c r="A630">
        <v>175000</v>
      </c>
    </row>
    <row r="631" spans="1:1" x14ac:dyDescent="0.3">
      <c r="A631">
        <v>175000</v>
      </c>
    </row>
    <row r="632" spans="1:1" x14ac:dyDescent="0.3">
      <c r="A632">
        <v>175000</v>
      </c>
    </row>
    <row r="633" spans="1:1" x14ac:dyDescent="0.3">
      <c r="A633">
        <v>175000</v>
      </c>
    </row>
    <row r="634" spans="1:1" x14ac:dyDescent="0.3">
      <c r="A634">
        <v>175000</v>
      </c>
    </row>
    <row r="635" spans="1:1" x14ac:dyDescent="0.3">
      <c r="A635">
        <v>174900</v>
      </c>
    </row>
    <row r="636" spans="1:1" x14ac:dyDescent="0.3">
      <c r="A636">
        <v>174500</v>
      </c>
    </row>
    <row r="637" spans="1:1" x14ac:dyDescent="0.3">
      <c r="A637">
        <v>174000</v>
      </c>
    </row>
    <row r="638" spans="1:1" x14ac:dyDescent="0.3">
      <c r="A638">
        <v>174000</v>
      </c>
    </row>
    <row r="639" spans="1:1" x14ac:dyDescent="0.3">
      <c r="A639">
        <v>174000</v>
      </c>
    </row>
    <row r="640" spans="1:1" x14ac:dyDescent="0.3">
      <c r="A640">
        <v>174000</v>
      </c>
    </row>
    <row r="641" spans="1:1" x14ac:dyDescent="0.3">
      <c r="A641">
        <v>174000</v>
      </c>
    </row>
    <row r="642" spans="1:1" x14ac:dyDescent="0.3">
      <c r="A642">
        <v>174000</v>
      </c>
    </row>
    <row r="643" spans="1:1" x14ac:dyDescent="0.3">
      <c r="A643">
        <v>174000</v>
      </c>
    </row>
    <row r="644" spans="1:1" x14ac:dyDescent="0.3">
      <c r="A644">
        <v>173900</v>
      </c>
    </row>
    <row r="645" spans="1:1" x14ac:dyDescent="0.3">
      <c r="A645">
        <v>173733</v>
      </c>
    </row>
    <row r="646" spans="1:1" x14ac:dyDescent="0.3">
      <c r="A646">
        <v>173500</v>
      </c>
    </row>
    <row r="647" spans="1:1" x14ac:dyDescent="0.3">
      <c r="A647">
        <v>173000</v>
      </c>
    </row>
    <row r="648" spans="1:1" x14ac:dyDescent="0.3">
      <c r="A648">
        <v>173000</v>
      </c>
    </row>
    <row r="649" spans="1:1" x14ac:dyDescent="0.3">
      <c r="A649">
        <v>173000</v>
      </c>
    </row>
    <row r="650" spans="1:1" x14ac:dyDescent="0.3">
      <c r="A650">
        <v>173000</v>
      </c>
    </row>
    <row r="651" spans="1:1" x14ac:dyDescent="0.3">
      <c r="A651">
        <v>173000</v>
      </c>
    </row>
    <row r="652" spans="1:1" x14ac:dyDescent="0.3">
      <c r="A652">
        <v>173000</v>
      </c>
    </row>
    <row r="653" spans="1:1" x14ac:dyDescent="0.3">
      <c r="A653">
        <v>173000</v>
      </c>
    </row>
    <row r="654" spans="1:1" x14ac:dyDescent="0.3">
      <c r="A654">
        <v>172785</v>
      </c>
    </row>
    <row r="655" spans="1:1" x14ac:dyDescent="0.3">
      <c r="A655">
        <v>172500</v>
      </c>
    </row>
    <row r="656" spans="1:1" x14ac:dyDescent="0.3">
      <c r="A656">
        <v>172500</v>
      </c>
    </row>
    <row r="657" spans="1:1" x14ac:dyDescent="0.3">
      <c r="A657">
        <v>172500</v>
      </c>
    </row>
    <row r="658" spans="1:1" x14ac:dyDescent="0.3">
      <c r="A658">
        <v>172500</v>
      </c>
    </row>
    <row r="659" spans="1:1" x14ac:dyDescent="0.3">
      <c r="A659">
        <v>172500</v>
      </c>
    </row>
    <row r="660" spans="1:1" x14ac:dyDescent="0.3">
      <c r="A660">
        <v>172400</v>
      </c>
    </row>
    <row r="661" spans="1:1" x14ac:dyDescent="0.3">
      <c r="A661">
        <v>172000</v>
      </c>
    </row>
    <row r="662" spans="1:1" x14ac:dyDescent="0.3">
      <c r="A662">
        <v>171900</v>
      </c>
    </row>
    <row r="663" spans="1:1" x14ac:dyDescent="0.3">
      <c r="A663">
        <v>171750</v>
      </c>
    </row>
    <row r="664" spans="1:1" x14ac:dyDescent="0.3">
      <c r="A664">
        <v>171500</v>
      </c>
    </row>
    <row r="665" spans="1:1" x14ac:dyDescent="0.3">
      <c r="A665">
        <v>171000</v>
      </c>
    </row>
    <row r="666" spans="1:1" x14ac:dyDescent="0.3">
      <c r="A666">
        <v>171000</v>
      </c>
    </row>
    <row r="667" spans="1:1" x14ac:dyDescent="0.3">
      <c r="A667">
        <v>171000</v>
      </c>
    </row>
    <row r="668" spans="1:1" x14ac:dyDescent="0.3">
      <c r="A668">
        <v>171000</v>
      </c>
    </row>
    <row r="669" spans="1:1" x14ac:dyDescent="0.3">
      <c r="A669">
        <v>171000</v>
      </c>
    </row>
    <row r="670" spans="1:1" x14ac:dyDescent="0.3">
      <c r="A670">
        <v>170000</v>
      </c>
    </row>
    <row r="671" spans="1:1" x14ac:dyDescent="0.3">
      <c r="A671">
        <v>170000</v>
      </c>
    </row>
    <row r="672" spans="1:1" x14ac:dyDescent="0.3">
      <c r="A672">
        <v>170000</v>
      </c>
    </row>
    <row r="673" spans="1:1" x14ac:dyDescent="0.3">
      <c r="A673">
        <v>170000</v>
      </c>
    </row>
    <row r="674" spans="1:1" x14ac:dyDescent="0.3">
      <c r="A674">
        <v>170000</v>
      </c>
    </row>
    <row r="675" spans="1:1" x14ac:dyDescent="0.3">
      <c r="A675">
        <v>170000</v>
      </c>
    </row>
    <row r="676" spans="1:1" x14ac:dyDescent="0.3">
      <c r="A676">
        <v>170000</v>
      </c>
    </row>
    <row r="677" spans="1:1" x14ac:dyDescent="0.3">
      <c r="A677">
        <v>170000</v>
      </c>
    </row>
    <row r="678" spans="1:1" x14ac:dyDescent="0.3">
      <c r="A678">
        <v>169990</v>
      </c>
    </row>
    <row r="679" spans="1:1" x14ac:dyDescent="0.3">
      <c r="A679">
        <v>169900</v>
      </c>
    </row>
    <row r="680" spans="1:1" x14ac:dyDescent="0.3">
      <c r="A680">
        <v>169500</v>
      </c>
    </row>
    <row r="681" spans="1:1" x14ac:dyDescent="0.3">
      <c r="A681">
        <v>169500</v>
      </c>
    </row>
    <row r="682" spans="1:1" x14ac:dyDescent="0.3">
      <c r="A682">
        <v>169000</v>
      </c>
    </row>
    <row r="683" spans="1:1" x14ac:dyDescent="0.3">
      <c r="A683">
        <v>169000</v>
      </c>
    </row>
    <row r="684" spans="1:1" x14ac:dyDescent="0.3">
      <c r="A684">
        <v>169000</v>
      </c>
    </row>
    <row r="685" spans="1:1" x14ac:dyDescent="0.3">
      <c r="A685">
        <v>168500</v>
      </c>
    </row>
    <row r="686" spans="1:1" x14ac:dyDescent="0.3">
      <c r="A686">
        <v>168500</v>
      </c>
    </row>
    <row r="687" spans="1:1" x14ac:dyDescent="0.3">
      <c r="A687">
        <v>168500</v>
      </c>
    </row>
    <row r="688" spans="1:1" x14ac:dyDescent="0.3">
      <c r="A688">
        <v>168000</v>
      </c>
    </row>
    <row r="689" spans="1:1" x14ac:dyDescent="0.3">
      <c r="A689">
        <v>168000</v>
      </c>
    </row>
    <row r="690" spans="1:1" x14ac:dyDescent="0.3">
      <c r="A690">
        <v>168000</v>
      </c>
    </row>
    <row r="691" spans="1:1" x14ac:dyDescent="0.3">
      <c r="A691">
        <v>168000</v>
      </c>
    </row>
    <row r="692" spans="1:1" x14ac:dyDescent="0.3">
      <c r="A692">
        <v>167900</v>
      </c>
    </row>
    <row r="693" spans="1:1" x14ac:dyDescent="0.3">
      <c r="A693">
        <v>167900</v>
      </c>
    </row>
    <row r="694" spans="1:1" x14ac:dyDescent="0.3">
      <c r="A694">
        <v>167500</v>
      </c>
    </row>
    <row r="695" spans="1:1" x14ac:dyDescent="0.3">
      <c r="A695">
        <v>167500</v>
      </c>
    </row>
    <row r="696" spans="1:1" x14ac:dyDescent="0.3">
      <c r="A696">
        <v>167500</v>
      </c>
    </row>
    <row r="697" spans="1:1" x14ac:dyDescent="0.3">
      <c r="A697">
        <v>167240</v>
      </c>
    </row>
    <row r="698" spans="1:1" x14ac:dyDescent="0.3">
      <c r="A698">
        <v>167000</v>
      </c>
    </row>
    <row r="699" spans="1:1" x14ac:dyDescent="0.3">
      <c r="A699">
        <v>167000</v>
      </c>
    </row>
    <row r="700" spans="1:1" x14ac:dyDescent="0.3">
      <c r="A700">
        <v>167000</v>
      </c>
    </row>
    <row r="701" spans="1:1" x14ac:dyDescent="0.3">
      <c r="A701">
        <v>167000</v>
      </c>
    </row>
    <row r="702" spans="1:1" x14ac:dyDescent="0.3">
      <c r="A702">
        <v>166000</v>
      </c>
    </row>
    <row r="703" spans="1:1" x14ac:dyDescent="0.3">
      <c r="A703">
        <v>166000</v>
      </c>
    </row>
    <row r="704" spans="1:1" x14ac:dyDescent="0.3">
      <c r="A704">
        <v>165600</v>
      </c>
    </row>
    <row r="705" spans="1:1" x14ac:dyDescent="0.3">
      <c r="A705">
        <v>165500</v>
      </c>
    </row>
    <row r="706" spans="1:1" x14ac:dyDescent="0.3">
      <c r="A706">
        <v>165500</v>
      </c>
    </row>
    <row r="707" spans="1:1" x14ac:dyDescent="0.3">
      <c r="A707">
        <v>165500</v>
      </c>
    </row>
    <row r="708" spans="1:1" x14ac:dyDescent="0.3">
      <c r="A708">
        <v>165400</v>
      </c>
    </row>
    <row r="709" spans="1:1" x14ac:dyDescent="0.3">
      <c r="A709">
        <v>165150</v>
      </c>
    </row>
    <row r="710" spans="1:1" x14ac:dyDescent="0.3">
      <c r="A710">
        <v>165000</v>
      </c>
    </row>
    <row r="711" spans="1:1" x14ac:dyDescent="0.3">
      <c r="A711">
        <v>165000</v>
      </c>
    </row>
    <row r="712" spans="1:1" x14ac:dyDescent="0.3">
      <c r="A712">
        <v>165000</v>
      </c>
    </row>
    <row r="713" spans="1:1" x14ac:dyDescent="0.3">
      <c r="A713">
        <v>165000</v>
      </c>
    </row>
    <row r="714" spans="1:1" x14ac:dyDescent="0.3">
      <c r="A714">
        <v>165000</v>
      </c>
    </row>
    <row r="715" spans="1:1" x14ac:dyDescent="0.3">
      <c r="A715">
        <v>165000</v>
      </c>
    </row>
    <row r="716" spans="1:1" x14ac:dyDescent="0.3">
      <c r="A716">
        <v>165000</v>
      </c>
    </row>
    <row r="717" spans="1:1" x14ac:dyDescent="0.3">
      <c r="A717">
        <v>165000</v>
      </c>
    </row>
    <row r="718" spans="1:1" x14ac:dyDescent="0.3">
      <c r="A718">
        <v>164990</v>
      </c>
    </row>
    <row r="719" spans="1:1" x14ac:dyDescent="0.3">
      <c r="A719">
        <v>164900</v>
      </c>
    </row>
    <row r="720" spans="1:1" x14ac:dyDescent="0.3">
      <c r="A720">
        <v>164700</v>
      </c>
    </row>
    <row r="721" spans="1:1" x14ac:dyDescent="0.3">
      <c r="A721">
        <v>164500</v>
      </c>
    </row>
    <row r="722" spans="1:1" x14ac:dyDescent="0.3">
      <c r="A722">
        <v>164500</v>
      </c>
    </row>
    <row r="723" spans="1:1" x14ac:dyDescent="0.3">
      <c r="A723">
        <v>164000</v>
      </c>
    </row>
    <row r="724" spans="1:1" x14ac:dyDescent="0.3">
      <c r="A724">
        <v>164000</v>
      </c>
    </row>
    <row r="725" spans="1:1" x14ac:dyDescent="0.3">
      <c r="A725">
        <v>164000</v>
      </c>
    </row>
    <row r="726" spans="1:1" x14ac:dyDescent="0.3">
      <c r="A726">
        <v>163990</v>
      </c>
    </row>
    <row r="727" spans="1:1" x14ac:dyDescent="0.3">
      <c r="A727">
        <v>163900</v>
      </c>
    </row>
    <row r="728" spans="1:1" x14ac:dyDescent="0.3">
      <c r="A728">
        <v>163500</v>
      </c>
    </row>
    <row r="729" spans="1:1" x14ac:dyDescent="0.3">
      <c r="A729">
        <v>163500</v>
      </c>
    </row>
    <row r="730" spans="1:1" x14ac:dyDescent="0.3">
      <c r="A730">
        <v>163000</v>
      </c>
    </row>
    <row r="731" spans="1:1" x14ac:dyDescent="0.3">
      <c r="A731">
        <v>163000</v>
      </c>
    </row>
    <row r="732" spans="1:1" x14ac:dyDescent="0.3">
      <c r="A732">
        <v>163000</v>
      </c>
    </row>
    <row r="733" spans="1:1" x14ac:dyDescent="0.3">
      <c r="A733">
        <v>163000</v>
      </c>
    </row>
    <row r="734" spans="1:1" x14ac:dyDescent="0.3">
      <c r="A734">
        <v>162900</v>
      </c>
    </row>
    <row r="735" spans="1:1" x14ac:dyDescent="0.3">
      <c r="A735">
        <v>162900</v>
      </c>
    </row>
    <row r="736" spans="1:1" x14ac:dyDescent="0.3">
      <c r="A736">
        <v>162500</v>
      </c>
    </row>
    <row r="737" spans="1:1" x14ac:dyDescent="0.3">
      <c r="A737">
        <v>162000</v>
      </c>
    </row>
    <row r="738" spans="1:1" x14ac:dyDescent="0.3">
      <c r="A738">
        <v>162000</v>
      </c>
    </row>
    <row r="739" spans="1:1" x14ac:dyDescent="0.3">
      <c r="A739">
        <v>162000</v>
      </c>
    </row>
    <row r="740" spans="1:1" x14ac:dyDescent="0.3">
      <c r="A740">
        <v>162000</v>
      </c>
    </row>
    <row r="741" spans="1:1" x14ac:dyDescent="0.3">
      <c r="A741">
        <v>161750</v>
      </c>
    </row>
    <row r="742" spans="1:1" x14ac:dyDescent="0.3">
      <c r="A742">
        <v>161500</v>
      </c>
    </row>
    <row r="743" spans="1:1" x14ac:dyDescent="0.3">
      <c r="A743">
        <v>161500</v>
      </c>
    </row>
    <row r="744" spans="1:1" x14ac:dyDescent="0.3">
      <c r="A744">
        <v>161000</v>
      </c>
    </row>
    <row r="745" spans="1:1" x14ac:dyDescent="0.3">
      <c r="A745">
        <v>161000</v>
      </c>
    </row>
    <row r="746" spans="1:1" x14ac:dyDescent="0.3">
      <c r="A746">
        <v>160200</v>
      </c>
    </row>
    <row r="747" spans="1:1" x14ac:dyDescent="0.3">
      <c r="A747">
        <v>160000</v>
      </c>
    </row>
    <row r="748" spans="1:1" x14ac:dyDescent="0.3">
      <c r="A748">
        <v>160000</v>
      </c>
    </row>
    <row r="749" spans="1:1" x14ac:dyDescent="0.3">
      <c r="A749">
        <v>160000</v>
      </c>
    </row>
    <row r="750" spans="1:1" x14ac:dyDescent="0.3">
      <c r="A750">
        <v>160000</v>
      </c>
    </row>
    <row r="751" spans="1:1" x14ac:dyDescent="0.3">
      <c r="A751">
        <v>160000</v>
      </c>
    </row>
    <row r="752" spans="1:1" x14ac:dyDescent="0.3">
      <c r="A752">
        <v>160000</v>
      </c>
    </row>
    <row r="753" spans="1:1" x14ac:dyDescent="0.3">
      <c r="A753">
        <v>160000</v>
      </c>
    </row>
    <row r="754" spans="1:1" x14ac:dyDescent="0.3">
      <c r="A754">
        <v>160000</v>
      </c>
    </row>
    <row r="755" spans="1:1" x14ac:dyDescent="0.3">
      <c r="A755">
        <v>160000</v>
      </c>
    </row>
    <row r="756" spans="1:1" x14ac:dyDescent="0.3">
      <c r="A756">
        <v>160000</v>
      </c>
    </row>
    <row r="757" spans="1:1" x14ac:dyDescent="0.3">
      <c r="A757">
        <v>160000</v>
      </c>
    </row>
    <row r="758" spans="1:1" x14ac:dyDescent="0.3">
      <c r="A758">
        <v>160000</v>
      </c>
    </row>
    <row r="759" spans="1:1" x14ac:dyDescent="0.3">
      <c r="A759">
        <v>159950</v>
      </c>
    </row>
    <row r="760" spans="1:1" x14ac:dyDescent="0.3">
      <c r="A760">
        <v>159895</v>
      </c>
    </row>
    <row r="761" spans="1:1" x14ac:dyDescent="0.3">
      <c r="A761">
        <v>159500</v>
      </c>
    </row>
    <row r="762" spans="1:1" x14ac:dyDescent="0.3">
      <c r="A762">
        <v>159500</v>
      </c>
    </row>
    <row r="763" spans="1:1" x14ac:dyDescent="0.3">
      <c r="A763">
        <v>159500</v>
      </c>
    </row>
    <row r="764" spans="1:1" x14ac:dyDescent="0.3">
      <c r="A764">
        <v>159434</v>
      </c>
    </row>
    <row r="765" spans="1:1" x14ac:dyDescent="0.3">
      <c r="A765">
        <v>159000</v>
      </c>
    </row>
    <row r="766" spans="1:1" x14ac:dyDescent="0.3">
      <c r="A766">
        <v>159000</v>
      </c>
    </row>
    <row r="767" spans="1:1" x14ac:dyDescent="0.3">
      <c r="A767">
        <v>159000</v>
      </c>
    </row>
    <row r="768" spans="1:1" x14ac:dyDescent="0.3">
      <c r="A768">
        <v>159000</v>
      </c>
    </row>
    <row r="769" spans="1:1" x14ac:dyDescent="0.3">
      <c r="A769">
        <v>158900</v>
      </c>
    </row>
    <row r="770" spans="1:1" x14ac:dyDescent="0.3">
      <c r="A770">
        <v>158500</v>
      </c>
    </row>
    <row r="771" spans="1:1" x14ac:dyDescent="0.3">
      <c r="A771">
        <v>158000</v>
      </c>
    </row>
    <row r="772" spans="1:1" x14ac:dyDescent="0.3">
      <c r="A772">
        <v>158000</v>
      </c>
    </row>
    <row r="773" spans="1:1" x14ac:dyDescent="0.3">
      <c r="A773">
        <v>158000</v>
      </c>
    </row>
    <row r="774" spans="1:1" x14ac:dyDescent="0.3">
      <c r="A774">
        <v>158000</v>
      </c>
    </row>
    <row r="775" spans="1:1" x14ac:dyDescent="0.3">
      <c r="A775">
        <v>158000</v>
      </c>
    </row>
    <row r="776" spans="1:1" x14ac:dyDescent="0.3">
      <c r="A776">
        <v>158000</v>
      </c>
    </row>
    <row r="777" spans="1:1" x14ac:dyDescent="0.3">
      <c r="A777">
        <v>157900</v>
      </c>
    </row>
    <row r="778" spans="1:1" x14ac:dyDescent="0.3">
      <c r="A778">
        <v>157900</v>
      </c>
    </row>
    <row r="779" spans="1:1" x14ac:dyDescent="0.3">
      <c r="A779">
        <v>157500</v>
      </c>
    </row>
    <row r="780" spans="1:1" x14ac:dyDescent="0.3">
      <c r="A780">
        <v>157500</v>
      </c>
    </row>
    <row r="781" spans="1:1" x14ac:dyDescent="0.3">
      <c r="A781">
        <v>157000</v>
      </c>
    </row>
    <row r="782" spans="1:1" x14ac:dyDescent="0.3">
      <c r="A782">
        <v>157000</v>
      </c>
    </row>
    <row r="783" spans="1:1" x14ac:dyDescent="0.3">
      <c r="A783">
        <v>157000</v>
      </c>
    </row>
    <row r="784" spans="1:1" x14ac:dyDescent="0.3">
      <c r="A784">
        <v>157000</v>
      </c>
    </row>
    <row r="785" spans="1:1" x14ac:dyDescent="0.3">
      <c r="A785">
        <v>157000</v>
      </c>
    </row>
    <row r="786" spans="1:1" x14ac:dyDescent="0.3">
      <c r="A786">
        <v>157000</v>
      </c>
    </row>
    <row r="787" spans="1:1" x14ac:dyDescent="0.3">
      <c r="A787">
        <v>156932</v>
      </c>
    </row>
    <row r="788" spans="1:1" x14ac:dyDescent="0.3">
      <c r="A788">
        <v>156500</v>
      </c>
    </row>
    <row r="789" spans="1:1" x14ac:dyDescent="0.3">
      <c r="A789">
        <v>156000</v>
      </c>
    </row>
    <row r="790" spans="1:1" x14ac:dyDescent="0.3">
      <c r="A790">
        <v>156000</v>
      </c>
    </row>
    <row r="791" spans="1:1" x14ac:dyDescent="0.3">
      <c r="A791">
        <v>156000</v>
      </c>
    </row>
    <row r="792" spans="1:1" x14ac:dyDescent="0.3">
      <c r="A792">
        <v>156000</v>
      </c>
    </row>
    <row r="793" spans="1:1" x14ac:dyDescent="0.3">
      <c r="A793">
        <v>155900</v>
      </c>
    </row>
    <row r="794" spans="1:1" x14ac:dyDescent="0.3">
      <c r="A794">
        <v>155835</v>
      </c>
    </row>
    <row r="795" spans="1:1" x14ac:dyDescent="0.3">
      <c r="A795">
        <v>155000</v>
      </c>
    </row>
    <row r="796" spans="1:1" x14ac:dyDescent="0.3">
      <c r="A796">
        <v>155000</v>
      </c>
    </row>
    <row r="797" spans="1:1" x14ac:dyDescent="0.3">
      <c r="A797">
        <v>155000</v>
      </c>
    </row>
    <row r="798" spans="1:1" x14ac:dyDescent="0.3">
      <c r="A798">
        <v>155000</v>
      </c>
    </row>
    <row r="799" spans="1:1" x14ac:dyDescent="0.3">
      <c r="A799">
        <v>155000</v>
      </c>
    </row>
    <row r="800" spans="1:1" x14ac:dyDescent="0.3">
      <c r="A800">
        <v>155000</v>
      </c>
    </row>
    <row r="801" spans="1:1" x14ac:dyDescent="0.3">
      <c r="A801">
        <v>155000</v>
      </c>
    </row>
    <row r="802" spans="1:1" x14ac:dyDescent="0.3">
      <c r="A802">
        <v>155000</v>
      </c>
    </row>
    <row r="803" spans="1:1" x14ac:dyDescent="0.3">
      <c r="A803">
        <v>155000</v>
      </c>
    </row>
    <row r="804" spans="1:1" x14ac:dyDescent="0.3">
      <c r="A804">
        <v>155000</v>
      </c>
    </row>
    <row r="805" spans="1:1" x14ac:dyDescent="0.3">
      <c r="A805">
        <v>155000</v>
      </c>
    </row>
    <row r="806" spans="1:1" x14ac:dyDescent="0.3">
      <c r="A806">
        <v>155000</v>
      </c>
    </row>
    <row r="807" spans="1:1" x14ac:dyDescent="0.3">
      <c r="A807">
        <v>155000</v>
      </c>
    </row>
    <row r="808" spans="1:1" x14ac:dyDescent="0.3">
      <c r="A808">
        <v>155000</v>
      </c>
    </row>
    <row r="809" spans="1:1" x14ac:dyDescent="0.3">
      <c r="A809">
        <v>154900</v>
      </c>
    </row>
    <row r="810" spans="1:1" x14ac:dyDescent="0.3">
      <c r="A810">
        <v>154500</v>
      </c>
    </row>
    <row r="811" spans="1:1" x14ac:dyDescent="0.3">
      <c r="A811">
        <v>154300</v>
      </c>
    </row>
    <row r="812" spans="1:1" x14ac:dyDescent="0.3">
      <c r="A812">
        <v>154000</v>
      </c>
    </row>
    <row r="813" spans="1:1" x14ac:dyDescent="0.3">
      <c r="A813">
        <v>154000</v>
      </c>
    </row>
    <row r="814" spans="1:1" x14ac:dyDescent="0.3">
      <c r="A814">
        <v>154000</v>
      </c>
    </row>
    <row r="815" spans="1:1" x14ac:dyDescent="0.3">
      <c r="A815">
        <v>154000</v>
      </c>
    </row>
    <row r="816" spans="1:1" x14ac:dyDescent="0.3">
      <c r="A816">
        <v>154000</v>
      </c>
    </row>
    <row r="817" spans="1:1" x14ac:dyDescent="0.3">
      <c r="A817">
        <v>153900</v>
      </c>
    </row>
    <row r="818" spans="1:1" x14ac:dyDescent="0.3">
      <c r="A818">
        <v>153900</v>
      </c>
    </row>
    <row r="819" spans="1:1" x14ac:dyDescent="0.3">
      <c r="A819">
        <v>153575</v>
      </c>
    </row>
    <row r="820" spans="1:1" x14ac:dyDescent="0.3">
      <c r="A820">
        <v>153500</v>
      </c>
    </row>
    <row r="821" spans="1:1" x14ac:dyDescent="0.3">
      <c r="A821">
        <v>153500</v>
      </c>
    </row>
    <row r="822" spans="1:1" x14ac:dyDescent="0.3">
      <c r="A822">
        <v>153500</v>
      </c>
    </row>
    <row r="823" spans="1:1" x14ac:dyDescent="0.3">
      <c r="A823">
        <v>153337</v>
      </c>
    </row>
    <row r="824" spans="1:1" x14ac:dyDescent="0.3">
      <c r="A824">
        <v>153000</v>
      </c>
    </row>
    <row r="825" spans="1:1" x14ac:dyDescent="0.3">
      <c r="A825">
        <v>153000</v>
      </c>
    </row>
    <row r="826" spans="1:1" x14ac:dyDescent="0.3">
      <c r="A826">
        <v>153000</v>
      </c>
    </row>
    <row r="827" spans="1:1" x14ac:dyDescent="0.3">
      <c r="A827">
        <v>152000</v>
      </c>
    </row>
    <row r="828" spans="1:1" x14ac:dyDescent="0.3">
      <c r="A828">
        <v>152000</v>
      </c>
    </row>
    <row r="829" spans="1:1" x14ac:dyDescent="0.3">
      <c r="A829">
        <v>152000</v>
      </c>
    </row>
    <row r="830" spans="1:1" x14ac:dyDescent="0.3">
      <c r="A830">
        <v>152000</v>
      </c>
    </row>
    <row r="831" spans="1:1" x14ac:dyDescent="0.3">
      <c r="A831">
        <v>152000</v>
      </c>
    </row>
    <row r="832" spans="1:1" x14ac:dyDescent="0.3">
      <c r="A832">
        <v>152000</v>
      </c>
    </row>
    <row r="833" spans="1:1" x14ac:dyDescent="0.3">
      <c r="A833">
        <v>151500</v>
      </c>
    </row>
    <row r="834" spans="1:1" x14ac:dyDescent="0.3">
      <c r="A834">
        <v>151400</v>
      </c>
    </row>
    <row r="835" spans="1:1" x14ac:dyDescent="0.3">
      <c r="A835">
        <v>151000</v>
      </c>
    </row>
    <row r="836" spans="1:1" x14ac:dyDescent="0.3">
      <c r="A836">
        <v>151000</v>
      </c>
    </row>
    <row r="837" spans="1:1" x14ac:dyDescent="0.3">
      <c r="A837">
        <v>151000</v>
      </c>
    </row>
    <row r="838" spans="1:1" x14ac:dyDescent="0.3">
      <c r="A838">
        <v>151000</v>
      </c>
    </row>
    <row r="839" spans="1:1" x14ac:dyDescent="0.3">
      <c r="A839">
        <v>151000</v>
      </c>
    </row>
    <row r="840" spans="1:1" x14ac:dyDescent="0.3">
      <c r="A840">
        <v>150900</v>
      </c>
    </row>
    <row r="841" spans="1:1" x14ac:dyDescent="0.3">
      <c r="A841">
        <v>150750</v>
      </c>
    </row>
    <row r="842" spans="1:1" x14ac:dyDescent="0.3">
      <c r="A842">
        <v>150500</v>
      </c>
    </row>
    <row r="843" spans="1:1" x14ac:dyDescent="0.3">
      <c r="A843">
        <v>150000</v>
      </c>
    </row>
    <row r="844" spans="1:1" x14ac:dyDescent="0.3">
      <c r="A844">
        <v>150000</v>
      </c>
    </row>
    <row r="845" spans="1:1" x14ac:dyDescent="0.3">
      <c r="A845">
        <v>150000</v>
      </c>
    </row>
    <row r="846" spans="1:1" x14ac:dyDescent="0.3">
      <c r="A846">
        <v>150000</v>
      </c>
    </row>
    <row r="847" spans="1:1" x14ac:dyDescent="0.3">
      <c r="A847">
        <v>149900</v>
      </c>
    </row>
    <row r="848" spans="1:1" x14ac:dyDescent="0.3">
      <c r="A848">
        <v>149900</v>
      </c>
    </row>
    <row r="849" spans="1:1" x14ac:dyDescent="0.3">
      <c r="A849">
        <v>149900</v>
      </c>
    </row>
    <row r="850" spans="1:1" x14ac:dyDescent="0.3">
      <c r="A850">
        <v>149900</v>
      </c>
    </row>
    <row r="851" spans="1:1" x14ac:dyDescent="0.3">
      <c r="A851">
        <v>149700</v>
      </c>
    </row>
    <row r="852" spans="1:1" x14ac:dyDescent="0.3">
      <c r="A852">
        <v>149500</v>
      </c>
    </row>
    <row r="853" spans="1:1" x14ac:dyDescent="0.3">
      <c r="A853">
        <v>149500</v>
      </c>
    </row>
    <row r="854" spans="1:1" x14ac:dyDescent="0.3">
      <c r="A854">
        <v>149350</v>
      </c>
    </row>
    <row r="855" spans="1:1" x14ac:dyDescent="0.3">
      <c r="A855">
        <v>149300</v>
      </c>
    </row>
    <row r="856" spans="1:1" x14ac:dyDescent="0.3">
      <c r="A856">
        <v>149000</v>
      </c>
    </row>
    <row r="857" spans="1:1" x14ac:dyDescent="0.3">
      <c r="A857">
        <v>149000</v>
      </c>
    </row>
    <row r="858" spans="1:1" x14ac:dyDescent="0.3">
      <c r="A858">
        <v>149000</v>
      </c>
    </row>
    <row r="859" spans="1:1" x14ac:dyDescent="0.3">
      <c r="A859">
        <v>149000</v>
      </c>
    </row>
    <row r="860" spans="1:1" x14ac:dyDescent="0.3">
      <c r="A860">
        <v>148800</v>
      </c>
    </row>
    <row r="861" spans="1:1" x14ac:dyDescent="0.3">
      <c r="A861">
        <v>148500</v>
      </c>
    </row>
    <row r="862" spans="1:1" x14ac:dyDescent="0.3">
      <c r="A862">
        <v>148500</v>
      </c>
    </row>
    <row r="863" spans="1:1" x14ac:dyDescent="0.3">
      <c r="A863">
        <v>148500</v>
      </c>
    </row>
    <row r="864" spans="1:1" x14ac:dyDescent="0.3">
      <c r="A864">
        <v>148000</v>
      </c>
    </row>
    <row r="865" spans="1:1" x14ac:dyDescent="0.3">
      <c r="A865">
        <v>148000</v>
      </c>
    </row>
    <row r="866" spans="1:1" x14ac:dyDescent="0.3">
      <c r="A866">
        <v>148000</v>
      </c>
    </row>
    <row r="867" spans="1:1" x14ac:dyDescent="0.3">
      <c r="A867">
        <v>148000</v>
      </c>
    </row>
    <row r="868" spans="1:1" x14ac:dyDescent="0.3">
      <c r="A868">
        <v>148000</v>
      </c>
    </row>
    <row r="869" spans="1:1" x14ac:dyDescent="0.3">
      <c r="A869">
        <v>148000</v>
      </c>
    </row>
    <row r="870" spans="1:1" x14ac:dyDescent="0.3">
      <c r="A870">
        <v>148000</v>
      </c>
    </row>
    <row r="871" spans="1:1" x14ac:dyDescent="0.3">
      <c r="A871">
        <v>147500</v>
      </c>
    </row>
    <row r="872" spans="1:1" x14ac:dyDescent="0.3">
      <c r="A872">
        <v>147400</v>
      </c>
    </row>
    <row r="873" spans="1:1" x14ac:dyDescent="0.3">
      <c r="A873">
        <v>147000</v>
      </c>
    </row>
    <row r="874" spans="1:1" x14ac:dyDescent="0.3">
      <c r="A874">
        <v>147000</v>
      </c>
    </row>
    <row r="875" spans="1:1" x14ac:dyDescent="0.3">
      <c r="A875">
        <v>147000</v>
      </c>
    </row>
    <row r="876" spans="1:1" x14ac:dyDescent="0.3">
      <c r="A876">
        <v>147000</v>
      </c>
    </row>
    <row r="877" spans="1:1" x14ac:dyDescent="0.3">
      <c r="A877">
        <v>147000</v>
      </c>
    </row>
    <row r="878" spans="1:1" x14ac:dyDescent="0.3">
      <c r="A878">
        <v>147000</v>
      </c>
    </row>
    <row r="879" spans="1:1" x14ac:dyDescent="0.3">
      <c r="A879">
        <v>147000</v>
      </c>
    </row>
    <row r="880" spans="1:1" x14ac:dyDescent="0.3">
      <c r="A880">
        <v>147000</v>
      </c>
    </row>
    <row r="881" spans="1:1" x14ac:dyDescent="0.3">
      <c r="A881">
        <v>147000</v>
      </c>
    </row>
    <row r="882" spans="1:1" x14ac:dyDescent="0.3">
      <c r="A882">
        <v>146800</v>
      </c>
    </row>
    <row r="883" spans="1:1" x14ac:dyDescent="0.3">
      <c r="A883">
        <v>146500</v>
      </c>
    </row>
    <row r="884" spans="1:1" x14ac:dyDescent="0.3">
      <c r="A884">
        <v>146000</v>
      </c>
    </row>
    <row r="885" spans="1:1" x14ac:dyDescent="0.3">
      <c r="A885">
        <v>146000</v>
      </c>
    </row>
    <row r="886" spans="1:1" x14ac:dyDescent="0.3">
      <c r="A886">
        <v>146000</v>
      </c>
    </row>
    <row r="887" spans="1:1" x14ac:dyDescent="0.3">
      <c r="A887">
        <v>145900</v>
      </c>
    </row>
    <row r="888" spans="1:1" x14ac:dyDescent="0.3">
      <c r="A888">
        <v>145500</v>
      </c>
    </row>
    <row r="889" spans="1:1" x14ac:dyDescent="0.3">
      <c r="A889">
        <v>145250</v>
      </c>
    </row>
    <row r="890" spans="1:1" x14ac:dyDescent="0.3">
      <c r="A890">
        <v>145000</v>
      </c>
    </row>
    <row r="891" spans="1:1" x14ac:dyDescent="0.3">
      <c r="A891">
        <v>145000</v>
      </c>
    </row>
    <row r="892" spans="1:1" x14ac:dyDescent="0.3">
      <c r="A892">
        <v>145000</v>
      </c>
    </row>
    <row r="893" spans="1:1" x14ac:dyDescent="0.3">
      <c r="A893">
        <v>145000</v>
      </c>
    </row>
    <row r="894" spans="1:1" x14ac:dyDescent="0.3">
      <c r="A894">
        <v>145000</v>
      </c>
    </row>
    <row r="895" spans="1:1" x14ac:dyDescent="0.3">
      <c r="A895">
        <v>145000</v>
      </c>
    </row>
    <row r="896" spans="1:1" x14ac:dyDescent="0.3">
      <c r="A896">
        <v>145000</v>
      </c>
    </row>
    <row r="897" spans="1:1" x14ac:dyDescent="0.3">
      <c r="A897">
        <v>145000</v>
      </c>
    </row>
    <row r="898" spans="1:1" x14ac:dyDescent="0.3">
      <c r="A898">
        <v>145000</v>
      </c>
    </row>
    <row r="899" spans="1:1" x14ac:dyDescent="0.3">
      <c r="A899">
        <v>145000</v>
      </c>
    </row>
    <row r="900" spans="1:1" x14ac:dyDescent="0.3">
      <c r="A900">
        <v>145000</v>
      </c>
    </row>
    <row r="901" spans="1:1" x14ac:dyDescent="0.3">
      <c r="A901">
        <v>145000</v>
      </c>
    </row>
    <row r="902" spans="1:1" x14ac:dyDescent="0.3">
      <c r="A902">
        <v>145000</v>
      </c>
    </row>
    <row r="903" spans="1:1" x14ac:dyDescent="0.3">
      <c r="A903">
        <v>145000</v>
      </c>
    </row>
    <row r="904" spans="1:1" x14ac:dyDescent="0.3">
      <c r="A904">
        <v>144900</v>
      </c>
    </row>
    <row r="905" spans="1:1" x14ac:dyDescent="0.3">
      <c r="A905">
        <v>144500</v>
      </c>
    </row>
    <row r="906" spans="1:1" x14ac:dyDescent="0.3">
      <c r="A906">
        <v>144500</v>
      </c>
    </row>
    <row r="907" spans="1:1" x14ac:dyDescent="0.3">
      <c r="A907">
        <v>144152</v>
      </c>
    </row>
    <row r="908" spans="1:1" x14ac:dyDescent="0.3">
      <c r="A908">
        <v>144000</v>
      </c>
    </row>
    <row r="909" spans="1:1" x14ac:dyDescent="0.3">
      <c r="A909">
        <v>144000</v>
      </c>
    </row>
    <row r="910" spans="1:1" x14ac:dyDescent="0.3">
      <c r="A910">
        <v>144000</v>
      </c>
    </row>
    <row r="911" spans="1:1" x14ac:dyDescent="0.3">
      <c r="A911">
        <v>144000</v>
      </c>
    </row>
    <row r="912" spans="1:1" x14ac:dyDescent="0.3">
      <c r="A912">
        <v>144000</v>
      </c>
    </row>
    <row r="913" spans="1:1" x14ac:dyDescent="0.3">
      <c r="A913">
        <v>144000</v>
      </c>
    </row>
    <row r="914" spans="1:1" x14ac:dyDescent="0.3">
      <c r="A914">
        <v>144000</v>
      </c>
    </row>
    <row r="915" spans="1:1" x14ac:dyDescent="0.3">
      <c r="A915">
        <v>144000</v>
      </c>
    </row>
    <row r="916" spans="1:1" x14ac:dyDescent="0.3">
      <c r="A916">
        <v>144000</v>
      </c>
    </row>
    <row r="917" spans="1:1" x14ac:dyDescent="0.3">
      <c r="A917">
        <v>144000</v>
      </c>
    </row>
    <row r="918" spans="1:1" x14ac:dyDescent="0.3">
      <c r="A918">
        <v>143900</v>
      </c>
    </row>
    <row r="919" spans="1:1" x14ac:dyDescent="0.3">
      <c r="A919">
        <v>143750</v>
      </c>
    </row>
    <row r="920" spans="1:1" x14ac:dyDescent="0.3">
      <c r="A920">
        <v>143500</v>
      </c>
    </row>
    <row r="921" spans="1:1" x14ac:dyDescent="0.3">
      <c r="A921">
        <v>143500</v>
      </c>
    </row>
    <row r="922" spans="1:1" x14ac:dyDescent="0.3">
      <c r="A922">
        <v>143250</v>
      </c>
    </row>
    <row r="923" spans="1:1" x14ac:dyDescent="0.3">
      <c r="A923">
        <v>143000</v>
      </c>
    </row>
    <row r="924" spans="1:1" x14ac:dyDescent="0.3">
      <c r="A924">
        <v>143000</v>
      </c>
    </row>
    <row r="925" spans="1:1" x14ac:dyDescent="0.3">
      <c r="A925">
        <v>143000</v>
      </c>
    </row>
    <row r="926" spans="1:1" x14ac:dyDescent="0.3">
      <c r="A926">
        <v>143000</v>
      </c>
    </row>
    <row r="927" spans="1:1" x14ac:dyDescent="0.3">
      <c r="A927">
        <v>143000</v>
      </c>
    </row>
    <row r="928" spans="1:1" x14ac:dyDescent="0.3">
      <c r="A928">
        <v>143000</v>
      </c>
    </row>
    <row r="929" spans="1:1" x14ac:dyDescent="0.3">
      <c r="A929">
        <v>143000</v>
      </c>
    </row>
    <row r="930" spans="1:1" x14ac:dyDescent="0.3">
      <c r="A930">
        <v>143000</v>
      </c>
    </row>
    <row r="931" spans="1:1" x14ac:dyDescent="0.3">
      <c r="A931">
        <v>143000</v>
      </c>
    </row>
    <row r="932" spans="1:1" x14ac:dyDescent="0.3">
      <c r="A932">
        <v>143000</v>
      </c>
    </row>
    <row r="933" spans="1:1" x14ac:dyDescent="0.3">
      <c r="A933">
        <v>142953</v>
      </c>
    </row>
    <row r="934" spans="1:1" x14ac:dyDescent="0.3">
      <c r="A934">
        <v>142600</v>
      </c>
    </row>
    <row r="935" spans="1:1" x14ac:dyDescent="0.3">
      <c r="A935">
        <v>142500</v>
      </c>
    </row>
    <row r="936" spans="1:1" x14ac:dyDescent="0.3">
      <c r="A936">
        <v>142500</v>
      </c>
    </row>
    <row r="937" spans="1:1" x14ac:dyDescent="0.3">
      <c r="A937">
        <v>142500</v>
      </c>
    </row>
    <row r="938" spans="1:1" x14ac:dyDescent="0.3">
      <c r="A938">
        <v>142125</v>
      </c>
    </row>
    <row r="939" spans="1:1" x14ac:dyDescent="0.3">
      <c r="A939">
        <v>142000</v>
      </c>
    </row>
    <row r="940" spans="1:1" x14ac:dyDescent="0.3">
      <c r="A940">
        <v>142000</v>
      </c>
    </row>
    <row r="941" spans="1:1" x14ac:dyDescent="0.3">
      <c r="A941">
        <v>142000</v>
      </c>
    </row>
    <row r="942" spans="1:1" x14ac:dyDescent="0.3">
      <c r="A942">
        <v>142000</v>
      </c>
    </row>
    <row r="943" spans="1:1" x14ac:dyDescent="0.3">
      <c r="A943">
        <v>141500</v>
      </c>
    </row>
    <row r="944" spans="1:1" x14ac:dyDescent="0.3">
      <c r="A944">
        <v>141000</v>
      </c>
    </row>
    <row r="945" spans="1:1" x14ac:dyDescent="0.3">
      <c r="A945">
        <v>141000</v>
      </c>
    </row>
    <row r="946" spans="1:1" x14ac:dyDescent="0.3">
      <c r="A946">
        <v>141000</v>
      </c>
    </row>
    <row r="947" spans="1:1" x14ac:dyDescent="0.3">
      <c r="A947">
        <v>141000</v>
      </c>
    </row>
    <row r="948" spans="1:1" x14ac:dyDescent="0.3">
      <c r="A948">
        <v>141000</v>
      </c>
    </row>
    <row r="949" spans="1:1" x14ac:dyDescent="0.3">
      <c r="A949">
        <v>141000</v>
      </c>
    </row>
    <row r="950" spans="1:1" x14ac:dyDescent="0.3">
      <c r="A950">
        <v>141000</v>
      </c>
    </row>
    <row r="951" spans="1:1" x14ac:dyDescent="0.3">
      <c r="A951">
        <v>141000</v>
      </c>
    </row>
    <row r="952" spans="1:1" x14ac:dyDescent="0.3">
      <c r="A952">
        <v>140200</v>
      </c>
    </row>
    <row r="953" spans="1:1" x14ac:dyDescent="0.3">
      <c r="A953">
        <v>140000</v>
      </c>
    </row>
    <row r="954" spans="1:1" x14ac:dyDescent="0.3">
      <c r="A954">
        <v>140000</v>
      </c>
    </row>
    <row r="955" spans="1:1" x14ac:dyDescent="0.3">
      <c r="A955">
        <v>140000</v>
      </c>
    </row>
    <row r="956" spans="1:1" x14ac:dyDescent="0.3">
      <c r="A956">
        <v>140000</v>
      </c>
    </row>
    <row r="957" spans="1:1" x14ac:dyDescent="0.3">
      <c r="A957">
        <v>140000</v>
      </c>
    </row>
    <row r="958" spans="1:1" x14ac:dyDescent="0.3">
      <c r="A958">
        <v>140000</v>
      </c>
    </row>
    <row r="959" spans="1:1" x14ac:dyDescent="0.3">
      <c r="A959">
        <v>140000</v>
      </c>
    </row>
    <row r="960" spans="1:1" x14ac:dyDescent="0.3">
      <c r="A960">
        <v>140000</v>
      </c>
    </row>
    <row r="961" spans="1:1" x14ac:dyDescent="0.3">
      <c r="A961">
        <v>140000</v>
      </c>
    </row>
    <row r="962" spans="1:1" x14ac:dyDescent="0.3">
      <c r="A962">
        <v>140000</v>
      </c>
    </row>
    <row r="963" spans="1:1" x14ac:dyDescent="0.3">
      <c r="A963">
        <v>140000</v>
      </c>
    </row>
    <row r="964" spans="1:1" x14ac:dyDescent="0.3">
      <c r="A964">
        <v>140000</v>
      </c>
    </row>
    <row r="965" spans="1:1" x14ac:dyDescent="0.3">
      <c r="A965">
        <v>140000</v>
      </c>
    </row>
    <row r="966" spans="1:1" x14ac:dyDescent="0.3">
      <c r="A966">
        <v>140000</v>
      </c>
    </row>
    <row r="967" spans="1:1" x14ac:dyDescent="0.3">
      <c r="A967">
        <v>140000</v>
      </c>
    </row>
    <row r="968" spans="1:1" x14ac:dyDescent="0.3">
      <c r="A968">
        <v>140000</v>
      </c>
    </row>
    <row r="969" spans="1:1" x14ac:dyDescent="0.3">
      <c r="A969">
        <v>140000</v>
      </c>
    </row>
    <row r="970" spans="1:1" x14ac:dyDescent="0.3">
      <c r="A970">
        <v>140000</v>
      </c>
    </row>
    <row r="971" spans="1:1" x14ac:dyDescent="0.3">
      <c r="A971">
        <v>140000</v>
      </c>
    </row>
    <row r="972" spans="1:1" x14ac:dyDescent="0.3">
      <c r="A972">
        <v>140000</v>
      </c>
    </row>
    <row r="973" spans="1:1" x14ac:dyDescent="0.3">
      <c r="A973">
        <v>139950</v>
      </c>
    </row>
    <row r="974" spans="1:1" x14ac:dyDescent="0.3">
      <c r="A974">
        <v>139900</v>
      </c>
    </row>
    <row r="975" spans="1:1" x14ac:dyDescent="0.3">
      <c r="A975">
        <v>139600</v>
      </c>
    </row>
    <row r="976" spans="1:1" x14ac:dyDescent="0.3">
      <c r="A976">
        <v>139500</v>
      </c>
    </row>
    <row r="977" spans="1:1" x14ac:dyDescent="0.3">
      <c r="A977">
        <v>139400</v>
      </c>
    </row>
    <row r="978" spans="1:1" x14ac:dyDescent="0.3">
      <c r="A978">
        <v>139400</v>
      </c>
    </row>
    <row r="979" spans="1:1" x14ac:dyDescent="0.3">
      <c r="A979">
        <v>139000</v>
      </c>
    </row>
    <row r="980" spans="1:1" x14ac:dyDescent="0.3">
      <c r="A980">
        <v>139000</v>
      </c>
    </row>
    <row r="981" spans="1:1" x14ac:dyDescent="0.3">
      <c r="A981">
        <v>139000</v>
      </c>
    </row>
    <row r="982" spans="1:1" x14ac:dyDescent="0.3">
      <c r="A982">
        <v>139000</v>
      </c>
    </row>
    <row r="983" spans="1:1" x14ac:dyDescent="0.3">
      <c r="A983">
        <v>139000</v>
      </c>
    </row>
    <row r="984" spans="1:1" x14ac:dyDescent="0.3">
      <c r="A984">
        <v>139000</v>
      </c>
    </row>
    <row r="985" spans="1:1" x14ac:dyDescent="0.3">
      <c r="A985">
        <v>139000</v>
      </c>
    </row>
    <row r="986" spans="1:1" x14ac:dyDescent="0.3">
      <c r="A986">
        <v>139000</v>
      </c>
    </row>
    <row r="987" spans="1:1" x14ac:dyDescent="0.3">
      <c r="A987">
        <v>139000</v>
      </c>
    </row>
    <row r="988" spans="1:1" x14ac:dyDescent="0.3">
      <c r="A988">
        <v>139000</v>
      </c>
    </row>
    <row r="989" spans="1:1" x14ac:dyDescent="0.3">
      <c r="A989">
        <v>139000</v>
      </c>
    </row>
    <row r="990" spans="1:1" x14ac:dyDescent="0.3">
      <c r="A990">
        <v>138887</v>
      </c>
    </row>
    <row r="991" spans="1:1" x14ac:dyDescent="0.3">
      <c r="A991">
        <v>138800</v>
      </c>
    </row>
    <row r="992" spans="1:1" x14ac:dyDescent="0.3">
      <c r="A992">
        <v>138500</v>
      </c>
    </row>
    <row r="993" spans="1:1" x14ac:dyDescent="0.3">
      <c r="A993">
        <v>138500</v>
      </c>
    </row>
    <row r="994" spans="1:1" x14ac:dyDescent="0.3">
      <c r="A994">
        <v>138000</v>
      </c>
    </row>
    <row r="995" spans="1:1" x14ac:dyDescent="0.3">
      <c r="A995">
        <v>138000</v>
      </c>
    </row>
    <row r="996" spans="1:1" x14ac:dyDescent="0.3">
      <c r="A996">
        <v>138000</v>
      </c>
    </row>
    <row r="997" spans="1:1" x14ac:dyDescent="0.3">
      <c r="A997">
        <v>137900</v>
      </c>
    </row>
    <row r="998" spans="1:1" x14ac:dyDescent="0.3">
      <c r="A998">
        <v>137500</v>
      </c>
    </row>
    <row r="999" spans="1:1" x14ac:dyDescent="0.3">
      <c r="A999">
        <v>137500</v>
      </c>
    </row>
    <row r="1000" spans="1:1" x14ac:dyDescent="0.3">
      <c r="A1000">
        <v>137500</v>
      </c>
    </row>
    <row r="1001" spans="1:1" x14ac:dyDescent="0.3">
      <c r="A1001">
        <v>137500</v>
      </c>
    </row>
    <row r="1002" spans="1:1" x14ac:dyDescent="0.3">
      <c r="A1002">
        <v>137500</v>
      </c>
    </row>
    <row r="1003" spans="1:1" x14ac:dyDescent="0.3">
      <c r="A1003">
        <v>137500</v>
      </c>
    </row>
    <row r="1004" spans="1:1" x14ac:dyDescent="0.3">
      <c r="A1004">
        <v>137450</v>
      </c>
    </row>
    <row r="1005" spans="1:1" x14ac:dyDescent="0.3">
      <c r="A1005">
        <v>137000</v>
      </c>
    </row>
    <row r="1006" spans="1:1" x14ac:dyDescent="0.3">
      <c r="A1006">
        <v>137000</v>
      </c>
    </row>
    <row r="1007" spans="1:1" x14ac:dyDescent="0.3">
      <c r="A1007">
        <v>137000</v>
      </c>
    </row>
    <row r="1008" spans="1:1" x14ac:dyDescent="0.3">
      <c r="A1008">
        <v>137000</v>
      </c>
    </row>
    <row r="1009" spans="1:1" x14ac:dyDescent="0.3">
      <c r="A1009">
        <v>137000</v>
      </c>
    </row>
    <row r="1010" spans="1:1" x14ac:dyDescent="0.3">
      <c r="A1010">
        <v>136905</v>
      </c>
    </row>
    <row r="1011" spans="1:1" x14ac:dyDescent="0.3">
      <c r="A1011">
        <v>136900</v>
      </c>
    </row>
    <row r="1012" spans="1:1" x14ac:dyDescent="0.3">
      <c r="A1012">
        <v>136500</v>
      </c>
    </row>
    <row r="1013" spans="1:1" x14ac:dyDescent="0.3">
      <c r="A1013">
        <v>136500</v>
      </c>
    </row>
    <row r="1014" spans="1:1" x14ac:dyDescent="0.3">
      <c r="A1014">
        <v>136500</v>
      </c>
    </row>
    <row r="1015" spans="1:1" x14ac:dyDescent="0.3">
      <c r="A1015">
        <v>136500</v>
      </c>
    </row>
    <row r="1016" spans="1:1" x14ac:dyDescent="0.3">
      <c r="A1016">
        <v>136500</v>
      </c>
    </row>
    <row r="1017" spans="1:1" x14ac:dyDescent="0.3">
      <c r="A1017">
        <v>136000</v>
      </c>
    </row>
    <row r="1018" spans="1:1" x14ac:dyDescent="0.3">
      <c r="A1018">
        <v>136000</v>
      </c>
    </row>
    <row r="1019" spans="1:1" x14ac:dyDescent="0.3">
      <c r="A1019">
        <v>136000</v>
      </c>
    </row>
    <row r="1020" spans="1:1" x14ac:dyDescent="0.3">
      <c r="A1020">
        <v>135960</v>
      </c>
    </row>
    <row r="1021" spans="1:1" x14ac:dyDescent="0.3">
      <c r="A1021">
        <v>135900</v>
      </c>
    </row>
    <row r="1022" spans="1:1" x14ac:dyDescent="0.3">
      <c r="A1022">
        <v>135750</v>
      </c>
    </row>
    <row r="1023" spans="1:1" x14ac:dyDescent="0.3">
      <c r="A1023">
        <v>135500</v>
      </c>
    </row>
    <row r="1024" spans="1:1" x14ac:dyDescent="0.3">
      <c r="A1024">
        <v>135500</v>
      </c>
    </row>
    <row r="1025" spans="1:1" x14ac:dyDescent="0.3">
      <c r="A1025">
        <v>135000</v>
      </c>
    </row>
    <row r="1026" spans="1:1" x14ac:dyDescent="0.3">
      <c r="A1026">
        <v>135000</v>
      </c>
    </row>
    <row r="1027" spans="1:1" x14ac:dyDescent="0.3">
      <c r="A1027">
        <v>135000</v>
      </c>
    </row>
    <row r="1028" spans="1:1" x14ac:dyDescent="0.3">
      <c r="A1028">
        <v>135000</v>
      </c>
    </row>
    <row r="1029" spans="1:1" x14ac:dyDescent="0.3">
      <c r="A1029">
        <v>135000</v>
      </c>
    </row>
    <row r="1030" spans="1:1" x14ac:dyDescent="0.3">
      <c r="A1030">
        <v>135000</v>
      </c>
    </row>
    <row r="1031" spans="1:1" x14ac:dyDescent="0.3">
      <c r="A1031">
        <v>135000</v>
      </c>
    </row>
    <row r="1032" spans="1:1" x14ac:dyDescent="0.3">
      <c r="A1032">
        <v>135000</v>
      </c>
    </row>
    <row r="1033" spans="1:1" x14ac:dyDescent="0.3">
      <c r="A1033">
        <v>135000</v>
      </c>
    </row>
    <row r="1034" spans="1:1" x14ac:dyDescent="0.3">
      <c r="A1034">
        <v>135000</v>
      </c>
    </row>
    <row r="1035" spans="1:1" x14ac:dyDescent="0.3">
      <c r="A1035">
        <v>135000</v>
      </c>
    </row>
    <row r="1036" spans="1:1" x14ac:dyDescent="0.3">
      <c r="A1036">
        <v>135000</v>
      </c>
    </row>
    <row r="1037" spans="1:1" x14ac:dyDescent="0.3">
      <c r="A1037">
        <v>135000</v>
      </c>
    </row>
    <row r="1038" spans="1:1" x14ac:dyDescent="0.3">
      <c r="A1038">
        <v>135000</v>
      </c>
    </row>
    <row r="1039" spans="1:1" x14ac:dyDescent="0.3">
      <c r="A1039">
        <v>135000</v>
      </c>
    </row>
    <row r="1040" spans="1:1" x14ac:dyDescent="0.3">
      <c r="A1040">
        <v>135000</v>
      </c>
    </row>
    <row r="1041" spans="1:1" x14ac:dyDescent="0.3">
      <c r="A1041">
        <v>135000</v>
      </c>
    </row>
    <row r="1042" spans="1:1" x14ac:dyDescent="0.3">
      <c r="A1042">
        <v>134900</v>
      </c>
    </row>
    <row r="1043" spans="1:1" x14ac:dyDescent="0.3">
      <c r="A1043">
        <v>134900</v>
      </c>
    </row>
    <row r="1044" spans="1:1" x14ac:dyDescent="0.3">
      <c r="A1044">
        <v>134800</v>
      </c>
    </row>
    <row r="1045" spans="1:1" x14ac:dyDescent="0.3">
      <c r="A1045">
        <v>134500</v>
      </c>
    </row>
    <row r="1046" spans="1:1" x14ac:dyDescent="0.3">
      <c r="A1046">
        <v>134500</v>
      </c>
    </row>
    <row r="1047" spans="1:1" x14ac:dyDescent="0.3">
      <c r="A1047">
        <v>134450</v>
      </c>
    </row>
    <row r="1048" spans="1:1" x14ac:dyDescent="0.3">
      <c r="A1048">
        <v>134432</v>
      </c>
    </row>
    <row r="1049" spans="1:1" x14ac:dyDescent="0.3">
      <c r="A1049">
        <v>134000</v>
      </c>
    </row>
    <row r="1050" spans="1:1" x14ac:dyDescent="0.3">
      <c r="A1050">
        <v>134000</v>
      </c>
    </row>
    <row r="1051" spans="1:1" x14ac:dyDescent="0.3">
      <c r="A1051">
        <v>134000</v>
      </c>
    </row>
    <row r="1052" spans="1:1" x14ac:dyDescent="0.3">
      <c r="A1052">
        <v>133900</v>
      </c>
    </row>
    <row r="1053" spans="1:1" x14ac:dyDescent="0.3">
      <c r="A1053">
        <v>133900</v>
      </c>
    </row>
    <row r="1054" spans="1:1" x14ac:dyDescent="0.3">
      <c r="A1054">
        <v>133700</v>
      </c>
    </row>
    <row r="1055" spans="1:1" x14ac:dyDescent="0.3">
      <c r="A1055">
        <v>133500</v>
      </c>
    </row>
    <row r="1056" spans="1:1" x14ac:dyDescent="0.3">
      <c r="A1056">
        <v>133000</v>
      </c>
    </row>
    <row r="1057" spans="1:1" x14ac:dyDescent="0.3">
      <c r="A1057">
        <v>133000</v>
      </c>
    </row>
    <row r="1058" spans="1:1" x14ac:dyDescent="0.3">
      <c r="A1058">
        <v>133000</v>
      </c>
    </row>
    <row r="1059" spans="1:1" x14ac:dyDescent="0.3">
      <c r="A1059">
        <v>133000</v>
      </c>
    </row>
    <row r="1060" spans="1:1" x14ac:dyDescent="0.3">
      <c r="A1060">
        <v>133000</v>
      </c>
    </row>
    <row r="1061" spans="1:1" x14ac:dyDescent="0.3">
      <c r="A1061">
        <v>133000</v>
      </c>
    </row>
    <row r="1062" spans="1:1" x14ac:dyDescent="0.3">
      <c r="A1062">
        <v>132500</v>
      </c>
    </row>
    <row r="1063" spans="1:1" x14ac:dyDescent="0.3">
      <c r="A1063">
        <v>132500</v>
      </c>
    </row>
    <row r="1064" spans="1:1" x14ac:dyDescent="0.3">
      <c r="A1064">
        <v>132500</v>
      </c>
    </row>
    <row r="1065" spans="1:1" x14ac:dyDescent="0.3">
      <c r="A1065">
        <v>132500</v>
      </c>
    </row>
    <row r="1066" spans="1:1" x14ac:dyDescent="0.3">
      <c r="A1066">
        <v>132500</v>
      </c>
    </row>
    <row r="1067" spans="1:1" x14ac:dyDescent="0.3">
      <c r="A1067">
        <v>132500</v>
      </c>
    </row>
    <row r="1068" spans="1:1" x14ac:dyDescent="0.3">
      <c r="A1068">
        <v>132250</v>
      </c>
    </row>
    <row r="1069" spans="1:1" x14ac:dyDescent="0.3">
      <c r="A1069">
        <v>132000</v>
      </c>
    </row>
    <row r="1070" spans="1:1" x14ac:dyDescent="0.3">
      <c r="A1070">
        <v>132000</v>
      </c>
    </row>
    <row r="1071" spans="1:1" x14ac:dyDescent="0.3">
      <c r="A1071">
        <v>132000</v>
      </c>
    </row>
    <row r="1072" spans="1:1" x14ac:dyDescent="0.3">
      <c r="A1072">
        <v>132000</v>
      </c>
    </row>
    <row r="1073" spans="1:1" x14ac:dyDescent="0.3">
      <c r="A1073">
        <v>132000</v>
      </c>
    </row>
    <row r="1074" spans="1:1" x14ac:dyDescent="0.3">
      <c r="A1074">
        <v>132000</v>
      </c>
    </row>
    <row r="1075" spans="1:1" x14ac:dyDescent="0.3">
      <c r="A1075">
        <v>131500</v>
      </c>
    </row>
    <row r="1076" spans="1:1" x14ac:dyDescent="0.3">
      <c r="A1076">
        <v>131500</v>
      </c>
    </row>
    <row r="1077" spans="1:1" x14ac:dyDescent="0.3">
      <c r="A1077">
        <v>131500</v>
      </c>
    </row>
    <row r="1078" spans="1:1" x14ac:dyDescent="0.3">
      <c r="A1078">
        <v>131400</v>
      </c>
    </row>
    <row r="1079" spans="1:1" x14ac:dyDescent="0.3">
      <c r="A1079">
        <v>131000</v>
      </c>
    </row>
    <row r="1080" spans="1:1" x14ac:dyDescent="0.3">
      <c r="A1080">
        <v>131000</v>
      </c>
    </row>
    <row r="1081" spans="1:1" x14ac:dyDescent="0.3">
      <c r="A1081">
        <v>131000</v>
      </c>
    </row>
    <row r="1082" spans="1:1" x14ac:dyDescent="0.3">
      <c r="A1082">
        <v>130500</v>
      </c>
    </row>
    <row r="1083" spans="1:1" x14ac:dyDescent="0.3">
      <c r="A1083">
        <v>130500</v>
      </c>
    </row>
    <row r="1084" spans="1:1" x14ac:dyDescent="0.3">
      <c r="A1084">
        <v>130500</v>
      </c>
    </row>
    <row r="1085" spans="1:1" x14ac:dyDescent="0.3">
      <c r="A1085">
        <v>130250</v>
      </c>
    </row>
    <row r="1086" spans="1:1" x14ac:dyDescent="0.3">
      <c r="A1086">
        <v>130000</v>
      </c>
    </row>
    <row r="1087" spans="1:1" x14ac:dyDescent="0.3">
      <c r="A1087">
        <v>130000</v>
      </c>
    </row>
    <row r="1088" spans="1:1" x14ac:dyDescent="0.3">
      <c r="A1088">
        <v>130000</v>
      </c>
    </row>
    <row r="1089" spans="1:1" x14ac:dyDescent="0.3">
      <c r="A1089">
        <v>130000</v>
      </c>
    </row>
    <row r="1090" spans="1:1" x14ac:dyDescent="0.3">
      <c r="A1090">
        <v>130000</v>
      </c>
    </row>
    <row r="1091" spans="1:1" x14ac:dyDescent="0.3">
      <c r="A1091">
        <v>130000</v>
      </c>
    </row>
    <row r="1092" spans="1:1" x14ac:dyDescent="0.3">
      <c r="A1092">
        <v>130000</v>
      </c>
    </row>
    <row r="1093" spans="1:1" x14ac:dyDescent="0.3">
      <c r="A1093">
        <v>130000</v>
      </c>
    </row>
    <row r="1094" spans="1:1" x14ac:dyDescent="0.3">
      <c r="A1094">
        <v>130000</v>
      </c>
    </row>
    <row r="1095" spans="1:1" x14ac:dyDescent="0.3">
      <c r="A1095">
        <v>130000</v>
      </c>
    </row>
    <row r="1096" spans="1:1" x14ac:dyDescent="0.3">
      <c r="A1096">
        <v>130000</v>
      </c>
    </row>
    <row r="1097" spans="1:1" x14ac:dyDescent="0.3">
      <c r="A1097">
        <v>129900</v>
      </c>
    </row>
    <row r="1098" spans="1:1" x14ac:dyDescent="0.3">
      <c r="A1098">
        <v>129900</v>
      </c>
    </row>
    <row r="1099" spans="1:1" x14ac:dyDescent="0.3">
      <c r="A1099">
        <v>129900</v>
      </c>
    </row>
    <row r="1100" spans="1:1" x14ac:dyDescent="0.3">
      <c r="A1100">
        <v>129900</v>
      </c>
    </row>
    <row r="1101" spans="1:1" x14ac:dyDescent="0.3">
      <c r="A1101">
        <v>129500</v>
      </c>
    </row>
    <row r="1102" spans="1:1" x14ac:dyDescent="0.3">
      <c r="A1102">
        <v>129500</v>
      </c>
    </row>
    <row r="1103" spans="1:1" x14ac:dyDescent="0.3">
      <c r="A1103">
        <v>129500</v>
      </c>
    </row>
    <row r="1104" spans="1:1" x14ac:dyDescent="0.3">
      <c r="A1104">
        <v>129500</v>
      </c>
    </row>
    <row r="1105" spans="1:1" x14ac:dyDescent="0.3">
      <c r="A1105">
        <v>129000</v>
      </c>
    </row>
    <row r="1106" spans="1:1" x14ac:dyDescent="0.3">
      <c r="A1106">
        <v>129000</v>
      </c>
    </row>
    <row r="1107" spans="1:1" x14ac:dyDescent="0.3">
      <c r="A1107">
        <v>129000</v>
      </c>
    </row>
    <row r="1108" spans="1:1" x14ac:dyDescent="0.3">
      <c r="A1108">
        <v>129000</v>
      </c>
    </row>
    <row r="1109" spans="1:1" x14ac:dyDescent="0.3">
      <c r="A1109">
        <v>129000</v>
      </c>
    </row>
    <row r="1110" spans="1:1" x14ac:dyDescent="0.3">
      <c r="A1110">
        <v>129000</v>
      </c>
    </row>
    <row r="1111" spans="1:1" x14ac:dyDescent="0.3">
      <c r="A1111">
        <v>129000</v>
      </c>
    </row>
    <row r="1112" spans="1:1" x14ac:dyDescent="0.3">
      <c r="A1112">
        <v>129000</v>
      </c>
    </row>
    <row r="1113" spans="1:1" x14ac:dyDescent="0.3">
      <c r="A1113">
        <v>128950</v>
      </c>
    </row>
    <row r="1114" spans="1:1" x14ac:dyDescent="0.3">
      <c r="A1114">
        <v>128900</v>
      </c>
    </row>
    <row r="1115" spans="1:1" x14ac:dyDescent="0.3">
      <c r="A1115">
        <v>128500</v>
      </c>
    </row>
    <row r="1116" spans="1:1" x14ac:dyDescent="0.3">
      <c r="A1116">
        <v>128500</v>
      </c>
    </row>
    <row r="1117" spans="1:1" x14ac:dyDescent="0.3">
      <c r="A1117">
        <v>128500</v>
      </c>
    </row>
    <row r="1118" spans="1:1" x14ac:dyDescent="0.3">
      <c r="A1118">
        <v>128500</v>
      </c>
    </row>
    <row r="1119" spans="1:1" x14ac:dyDescent="0.3">
      <c r="A1119">
        <v>128200</v>
      </c>
    </row>
    <row r="1120" spans="1:1" x14ac:dyDescent="0.3">
      <c r="A1120">
        <v>128000</v>
      </c>
    </row>
    <row r="1121" spans="1:1" x14ac:dyDescent="0.3">
      <c r="A1121">
        <v>128000</v>
      </c>
    </row>
    <row r="1122" spans="1:1" x14ac:dyDescent="0.3">
      <c r="A1122">
        <v>128000</v>
      </c>
    </row>
    <row r="1123" spans="1:1" x14ac:dyDescent="0.3">
      <c r="A1123">
        <v>128000</v>
      </c>
    </row>
    <row r="1124" spans="1:1" x14ac:dyDescent="0.3">
      <c r="A1124">
        <v>128000</v>
      </c>
    </row>
    <row r="1125" spans="1:1" x14ac:dyDescent="0.3">
      <c r="A1125">
        <v>128000</v>
      </c>
    </row>
    <row r="1126" spans="1:1" x14ac:dyDescent="0.3">
      <c r="A1126">
        <v>128000</v>
      </c>
    </row>
    <row r="1127" spans="1:1" x14ac:dyDescent="0.3">
      <c r="A1127">
        <v>127500</v>
      </c>
    </row>
    <row r="1128" spans="1:1" x14ac:dyDescent="0.3">
      <c r="A1128">
        <v>127500</v>
      </c>
    </row>
    <row r="1129" spans="1:1" x14ac:dyDescent="0.3">
      <c r="A1129">
        <v>127500</v>
      </c>
    </row>
    <row r="1130" spans="1:1" x14ac:dyDescent="0.3">
      <c r="A1130">
        <v>127500</v>
      </c>
    </row>
    <row r="1131" spans="1:1" x14ac:dyDescent="0.3">
      <c r="A1131">
        <v>127500</v>
      </c>
    </row>
    <row r="1132" spans="1:1" x14ac:dyDescent="0.3">
      <c r="A1132">
        <v>127500</v>
      </c>
    </row>
    <row r="1133" spans="1:1" x14ac:dyDescent="0.3">
      <c r="A1133">
        <v>127000</v>
      </c>
    </row>
    <row r="1134" spans="1:1" x14ac:dyDescent="0.3">
      <c r="A1134">
        <v>127000</v>
      </c>
    </row>
    <row r="1135" spans="1:1" x14ac:dyDescent="0.3">
      <c r="A1135">
        <v>127000</v>
      </c>
    </row>
    <row r="1136" spans="1:1" x14ac:dyDescent="0.3">
      <c r="A1136">
        <v>127000</v>
      </c>
    </row>
    <row r="1137" spans="1:1" x14ac:dyDescent="0.3">
      <c r="A1137">
        <v>127000</v>
      </c>
    </row>
    <row r="1138" spans="1:1" x14ac:dyDescent="0.3">
      <c r="A1138">
        <v>127000</v>
      </c>
    </row>
    <row r="1139" spans="1:1" x14ac:dyDescent="0.3">
      <c r="A1139">
        <v>127000</v>
      </c>
    </row>
    <row r="1140" spans="1:1" x14ac:dyDescent="0.3">
      <c r="A1140">
        <v>127000</v>
      </c>
    </row>
    <row r="1141" spans="1:1" x14ac:dyDescent="0.3">
      <c r="A1141">
        <v>127000</v>
      </c>
    </row>
    <row r="1142" spans="1:1" x14ac:dyDescent="0.3">
      <c r="A1142">
        <v>126500</v>
      </c>
    </row>
    <row r="1143" spans="1:1" x14ac:dyDescent="0.3">
      <c r="A1143">
        <v>126175</v>
      </c>
    </row>
    <row r="1144" spans="1:1" x14ac:dyDescent="0.3">
      <c r="A1144">
        <v>126000</v>
      </c>
    </row>
    <row r="1145" spans="1:1" x14ac:dyDescent="0.3">
      <c r="A1145">
        <v>126000</v>
      </c>
    </row>
    <row r="1146" spans="1:1" x14ac:dyDescent="0.3">
      <c r="A1146">
        <v>126000</v>
      </c>
    </row>
    <row r="1147" spans="1:1" x14ac:dyDescent="0.3">
      <c r="A1147">
        <v>125500</v>
      </c>
    </row>
    <row r="1148" spans="1:1" x14ac:dyDescent="0.3">
      <c r="A1148">
        <v>125500</v>
      </c>
    </row>
    <row r="1149" spans="1:1" x14ac:dyDescent="0.3">
      <c r="A1149">
        <v>125500</v>
      </c>
    </row>
    <row r="1150" spans="1:1" x14ac:dyDescent="0.3">
      <c r="A1150">
        <v>125500</v>
      </c>
    </row>
    <row r="1151" spans="1:1" x14ac:dyDescent="0.3">
      <c r="A1151">
        <v>125000</v>
      </c>
    </row>
    <row r="1152" spans="1:1" x14ac:dyDescent="0.3">
      <c r="A1152">
        <v>125000</v>
      </c>
    </row>
    <row r="1153" spans="1:1" x14ac:dyDescent="0.3">
      <c r="A1153">
        <v>125000</v>
      </c>
    </row>
    <row r="1154" spans="1:1" x14ac:dyDescent="0.3">
      <c r="A1154">
        <v>125000</v>
      </c>
    </row>
    <row r="1155" spans="1:1" x14ac:dyDescent="0.3">
      <c r="A1155">
        <v>125000</v>
      </c>
    </row>
    <row r="1156" spans="1:1" x14ac:dyDescent="0.3">
      <c r="A1156">
        <v>125000</v>
      </c>
    </row>
    <row r="1157" spans="1:1" x14ac:dyDescent="0.3">
      <c r="A1157">
        <v>125000</v>
      </c>
    </row>
    <row r="1158" spans="1:1" x14ac:dyDescent="0.3">
      <c r="A1158">
        <v>125000</v>
      </c>
    </row>
    <row r="1159" spans="1:1" x14ac:dyDescent="0.3">
      <c r="A1159">
        <v>125000</v>
      </c>
    </row>
    <row r="1160" spans="1:1" x14ac:dyDescent="0.3">
      <c r="A1160">
        <v>125000</v>
      </c>
    </row>
    <row r="1161" spans="1:1" x14ac:dyDescent="0.3">
      <c r="A1161">
        <v>124900</v>
      </c>
    </row>
    <row r="1162" spans="1:1" x14ac:dyDescent="0.3">
      <c r="A1162">
        <v>124900</v>
      </c>
    </row>
    <row r="1163" spans="1:1" x14ac:dyDescent="0.3">
      <c r="A1163">
        <v>124500</v>
      </c>
    </row>
    <row r="1164" spans="1:1" x14ac:dyDescent="0.3">
      <c r="A1164">
        <v>124500</v>
      </c>
    </row>
    <row r="1165" spans="1:1" x14ac:dyDescent="0.3">
      <c r="A1165">
        <v>124500</v>
      </c>
    </row>
    <row r="1166" spans="1:1" x14ac:dyDescent="0.3">
      <c r="A1166">
        <v>124500</v>
      </c>
    </row>
    <row r="1167" spans="1:1" x14ac:dyDescent="0.3">
      <c r="A1167">
        <v>124000</v>
      </c>
    </row>
    <row r="1168" spans="1:1" x14ac:dyDescent="0.3">
      <c r="A1168">
        <v>124000</v>
      </c>
    </row>
    <row r="1169" spans="1:1" x14ac:dyDescent="0.3">
      <c r="A1169">
        <v>124000</v>
      </c>
    </row>
    <row r="1170" spans="1:1" x14ac:dyDescent="0.3">
      <c r="A1170">
        <v>124000</v>
      </c>
    </row>
    <row r="1171" spans="1:1" x14ac:dyDescent="0.3">
      <c r="A1171">
        <v>124000</v>
      </c>
    </row>
    <row r="1172" spans="1:1" x14ac:dyDescent="0.3">
      <c r="A1172">
        <v>124000</v>
      </c>
    </row>
    <row r="1173" spans="1:1" x14ac:dyDescent="0.3">
      <c r="A1173">
        <v>123600</v>
      </c>
    </row>
    <row r="1174" spans="1:1" x14ac:dyDescent="0.3">
      <c r="A1174">
        <v>123500</v>
      </c>
    </row>
    <row r="1175" spans="1:1" x14ac:dyDescent="0.3">
      <c r="A1175">
        <v>123000</v>
      </c>
    </row>
    <row r="1176" spans="1:1" x14ac:dyDescent="0.3">
      <c r="A1176">
        <v>123000</v>
      </c>
    </row>
    <row r="1177" spans="1:1" x14ac:dyDescent="0.3">
      <c r="A1177">
        <v>123000</v>
      </c>
    </row>
    <row r="1178" spans="1:1" x14ac:dyDescent="0.3">
      <c r="A1178">
        <v>123000</v>
      </c>
    </row>
    <row r="1179" spans="1:1" x14ac:dyDescent="0.3">
      <c r="A1179">
        <v>122900</v>
      </c>
    </row>
    <row r="1180" spans="1:1" x14ac:dyDescent="0.3">
      <c r="A1180">
        <v>122500</v>
      </c>
    </row>
    <row r="1181" spans="1:1" x14ac:dyDescent="0.3">
      <c r="A1181">
        <v>122500</v>
      </c>
    </row>
    <row r="1182" spans="1:1" x14ac:dyDescent="0.3">
      <c r="A1182">
        <v>122000</v>
      </c>
    </row>
    <row r="1183" spans="1:1" x14ac:dyDescent="0.3">
      <c r="A1183">
        <v>122000</v>
      </c>
    </row>
    <row r="1184" spans="1:1" x14ac:dyDescent="0.3">
      <c r="A1184">
        <v>122000</v>
      </c>
    </row>
    <row r="1185" spans="1:1" x14ac:dyDescent="0.3">
      <c r="A1185">
        <v>122000</v>
      </c>
    </row>
    <row r="1186" spans="1:1" x14ac:dyDescent="0.3">
      <c r="A1186">
        <v>121600</v>
      </c>
    </row>
    <row r="1187" spans="1:1" x14ac:dyDescent="0.3">
      <c r="A1187">
        <v>121500</v>
      </c>
    </row>
    <row r="1188" spans="1:1" x14ac:dyDescent="0.3">
      <c r="A1188">
        <v>121000</v>
      </c>
    </row>
    <row r="1189" spans="1:1" x14ac:dyDescent="0.3">
      <c r="A1189">
        <v>120500</v>
      </c>
    </row>
    <row r="1190" spans="1:1" x14ac:dyDescent="0.3">
      <c r="A1190">
        <v>120500</v>
      </c>
    </row>
    <row r="1191" spans="1:1" x14ac:dyDescent="0.3">
      <c r="A1191">
        <v>120500</v>
      </c>
    </row>
    <row r="1192" spans="1:1" x14ac:dyDescent="0.3">
      <c r="A1192">
        <v>120500</v>
      </c>
    </row>
    <row r="1193" spans="1:1" x14ac:dyDescent="0.3">
      <c r="A1193">
        <v>120000</v>
      </c>
    </row>
    <row r="1194" spans="1:1" x14ac:dyDescent="0.3">
      <c r="A1194">
        <v>120000</v>
      </c>
    </row>
    <row r="1195" spans="1:1" x14ac:dyDescent="0.3">
      <c r="A1195">
        <v>120000</v>
      </c>
    </row>
    <row r="1196" spans="1:1" x14ac:dyDescent="0.3">
      <c r="A1196">
        <v>120000</v>
      </c>
    </row>
    <row r="1197" spans="1:1" x14ac:dyDescent="0.3">
      <c r="A1197">
        <v>120000</v>
      </c>
    </row>
    <row r="1198" spans="1:1" x14ac:dyDescent="0.3">
      <c r="A1198">
        <v>120000</v>
      </c>
    </row>
    <row r="1199" spans="1:1" x14ac:dyDescent="0.3">
      <c r="A1199">
        <v>120000</v>
      </c>
    </row>
    <row r="1200" spans="1:1" x14ac:dyDescent="0.3">
      <c r="A1200">
        <v>119900</v>
      </c>
    </row>
    <row r="1201" spans="1:1" x14ac:dyDescent="0.3">
      <c r="A1201">
        <v>119900</v>
      </c>
    </row>
    <row r="1202" spans="1:1" x14ac:dyDescent="0.3">
      <c r="A1202">
        <v>119750</v>
      </c>
    </row>
    <row r="1203" spans="1:1" x14ac:dyDescent="0.3">
      <c r="A1203">
        <v>119500</v>
      </c>
    </row>
    <row r="1204" spans="1:1" x14ac:dyDescent="0.3">
      <c r="A1204">
        <v>119500</v>
      </c>
    </row>
    <row r="1205" spans="1:1" x14ac:dyDescent="0.3">
      <c r="A1205">
        <v>119500</v>
      </c>
    </row>
    <row r="1206" spans="1:1" x14ac:dyDescent="0.3">
      <c r="A1206">
        <v>119500</v>
      </c>
    </row>
    <row r="1207" spans="1:1" x14ac:dyDescent="0.3">
      <c r="A1207">
        <v>119200</v>
      </c>
    </row>
    <row r="1208" spans="1:1" x14ac:dyDescent="0.3">
      <c r="A1208">
        <v>119000</v>
      </c>
    </row>
    <row r="1209" spans="1:1" x14ac:dyDescent="0.3">
      <c r="A1209">
        <v>119000</v>
      </c>
    </row>
    <row r="1210" spans="1:1" x14ac:dyDescent="0.3">
      <c r="A1210">
        <v>119000</v>
      </c>
    </row>
    <row r="1211" spans="1:1" x14ac:dyDescent="0.3">
      <c r="A1211">
        <v>119000</v>
      </c>
    </row>
    <row r="1212" spans="1:1" x14ac:dyDescent="0.3">
      <c r="A1212">
        <v>119000</v>
      </c>
    </row>
    <row r="1213" spans="1:1" x14ac:dyDescent="0.3">
      <c r="A1213">
        <v>119000</v>
      </c>
    </row>
    <row r="1214" spans="1:1" x14ac:dyDescent="0.3">
      <c r="A1214">
        <v>119000</v>
      </c>
    </row>
    <row r="1215" spans="1:1" x14ac:dyDescent="0.3">
      <c r="A1215">
        <v>118964</v>
      </c>
    </row>
    <row r="1216" spans="1:1" x14ac:dyDescent="0.3">
      <c r="A1216">
        <v>118858</v>
      </c>
    </row>
    <row r="1217" spans="1:1" x14ac:dyDescent="0.3">
      <c r="A1217">
        <v>118500</v>
      </c>
    </row>
    <row r="1218" spans="1:1" x14ac:dyDescent="0.3">
      <c r="A1218">
        <v>118500</v>
      </c>
    </row>
    <row r="1219" spans="1:1" x14ac:dyDescent="0.3">
      <c r="A1219">
        <v>118500</v>
      </c>
    </row>
    <row r="1220" spans="1:1" x14ac:dyDescent="0.3">
      <c r="A1220">
        <v>118500</v>
      </c>
    </row>
    <row r="1221" spans="1:1" x14ac:dyDescent="0.3">
      <c r="A1221">
        <v>118400</v>
      </c>
    </row>
    <row r="1222" spans="1:1" x14ac:dyDescent="0.3">
      <c r="A1222">
        <v>118000</v>
      </c>
    </row>
    <row r="1223" spans="1:1" x14ac:dyDescent="0.3">
      <c r="A1223">
        <v>118000</v>
      </c>
    </row>
    <row r="1224" spans="1:1" x14ac:dyDescent="0.3">
      <c r="A1224">
        <v>118000</v>
      </c>
    </row>
    <row r="1225" spans="1:1" x14ac:dyDescent="0.3">
      <c r="A1225">
        <v>118000</v>
      </c>
    </row>
    <row r="1226" spans="1:1" x14ac:dyDescent="0.3">
      <c r="A1226">
        <v>118000</v>
      </c>
    </row>
    <row r="1227" spans="1:1" x14ac:dyDescent="0.3">
      <c r="A1227">
        <v>118000</v>
      </c>
    </row>
    <row r="1228" spans="1:1" x14ac:dyDescent="0.3">
      <c r="A1228">
        <v>117500</v>
      </c>
    </row>
    <row r="1229" spans="1:1" x14ac:dyDescent="0.3">
      <c r="A1229">
        <v>117500</v>
      </c>
    </row>
    <row r="1230" spans="1:1" x14ac:dyDescent="0.3">
      <c r="A1230">
        <v>117000</v>
      </c>
    </row>
    <row r="1231" spans="1:1" x14ac:dyDescent="0.3">
      <c r="A1231">
        <v>117000</v>
      </c>
    </row>
    <row r="1232" spans="1:1" x14ac:dyDescent="0.3">
      <c r="A1232">
        <v>117000</v>
      </c>
    </row>
    <row r="1233" spans="1:1" x14ac:dyDescent="0.3">
      <c r="A1233">
        <v>117000</v>
      </c>
    </row>
    <row r="1234" spans="1:1" x14ac:dyDescent="0.3">
      <c r="A1234">
        <v>116900</v>
      </c>
    </row>
    <row r="1235" spans="1:1" x14ac:dyDescent="0.3">
      <c r="A1235">
        <v>116500</v>
      </c>
    </row>
    <row r="1236" spans="1:1" x14ac:dyDescent="0.3">
      <c r="A1236">
        <v>116050</v>
      </c>
    </row>
    <row r="1237" spans="1:1" x14ac:dyDescent="0.3">
      <c r="A1237">
        <v>116000</v>
      </c>
    </row>
    <row r="1238" spans="1:1" x14ac:dyDescent="0.3">
      <c r="A1238">
        <v>116000</v>
      </c>
    </row>
    <row r="1239" spans="1:1" x14ac:dyDescent="0.3">
      <c r="A1239">
        <v>116000</v>
      </c>
    </row>
    <row r="1240" spans="1:1" x14ac:dyDescent="0.3">
      <c r="A1240">
        <v>115000</v>
      </c>
    </row>
    <row r="1241" spans="1:1" x14ac:dyDescent="0.3">
      <c r="A1241">
        <v>115000</v>
      </c>
    </row>
    <row r="1242" spans="1:1" x14ac:dyDescent="0.3">
      <c r="A1242">
        <v>115000</v>
      </c>
    </row>
    <row r="1243" spans="1:1" x14ac:dyDescent="0.3">
      <c r="A1243">
        <v>115000</v>
      </c>
    </row>
    <row r="1244" spans="1:1" x14ac:dyDescent="0.3">
      <c r="A1244">
        <v>115000</v>
      </c>
    </row>
    <row r="1245" spans="1:1" x14ac:dyDescent="0.3">
      <c r="A1245">
        <v>115000</v>
      </c>
    </row>
    <row r="1246" spans="1:1" x14ac:dyDescent="0.3">
      <c r="A1246">
        <v>115000</v>
      </c>
    </row>
    <row r="1247" spans="1:1" x14ac:dyDescent="0.3">
      <c r="A1247">
        <v>115000</v>
      </c>
    </row>
    <row r="1248" spans="1:1" x14ac:dyDescent="0.3">
      <c r="A1248">
        <v>115000</v>
      </c>
    </row>
    <row r="1249" spans="1:1" x14ac:dyDescent="0.3">
      <c r="A1249">
        <v>115000</v>
      </c>
    </row>
    <row r="1250" spans="1:1" x14ac:dyDescent="0.3">
      <c r="A1250">
        <v>115000</v>
      </c>
    </row>
    <row r="1251" spans="1:1" x14ac:dyDescent="0.3">
      <c r="A1251">
        <v>115000</v>
      </c>
    </row>
    <row r="1252" spans="1:1" x14ac:dyDescent="0.3">
      <c r="A1252">
        <v>114504</v>
      </c>
    </row>
    <row r="1253" spans="1:1" x14ac:dyDescent="0.3">
      <c r="A1253">
        <v>114500</v>
      </c>
    </row>
    <row r="1254" spans="1:1" x14ac:dyDescent="0.3">
      <c r="A1254">
        <v>114500</v>
      </c>
    </row>
    <row r="1255" spans="1:1" x14ac:dyDescent="0.3">
      <c r="A1255">
        <v>113000</v>
      </c>
    </row>
    <row r="1256" spans="1:1" x14ac:dyDescent="0.3">
      <c r="A1256">
        <v>113000</v>
      </c>
    </row>
    <row r="1257" spans="1:1" x14ac:dyDescent="0.3">
      <c r="A1257">
        <v>113000</v>
      </c>
    </row>
    <row r="1258" spans="1:1" x14ac:dyDescent="0.3">
      <c r="A1258">
        <v>113000</v>
      </c>
    </row>
    <row r="1259" spans="1:1" x14ac:dyDescent="0.3">
      <c r="A1259">
        <v>113000</v>
      </c>
    </row>
    <row r="1260" spans="1:1" x14ac:dyDescent="0.3">
      <c r="A1260">
        <v>113000</v>
      </c>
    </row>
    <row r="1261" spans="1:1" x14ac:dyDescent="0.3">
      <c r="A1261">
        <v>112500</v>
      </c>
    </row>
    <row r="1262" spans="1:1" x14ac:dyDescent="0.3">
      <c r="A1262">
        <v>112500</v>
      </c>
    </row>
    <row r="1263" spans="1:1" x14ac:dyDescent="0.3">
      <c r="A1263">
        <v>112000</v>
      </c>
    </row>
    <row r="1264" spans="1:1" x14ac:dyDescent="0.3">
      <c r="A1264">
        <v>112000</v>
      </c>
    </row>
    <row r="1265" spans="1:1" x14ac:dyDescent="0.3">
      <c r="A1265">
        <v>112000</v>
      </c>
    </row>
    <row r="1266" spans="1:1" x14ac:dyDescent="0.3">
      <c r="A1266">
        <v>112000</v>
      </c>
    </row>
    <row r="1267" spans="1:1" x14ac:dyDescent="0.3">
      <c r="A1267">
        <v>112000</v>
      </c>
    </row>
    <row r="1268" spans="1:1" x14ac:dyDescent="0.3">
      <c r="A1268">
        <v>112000</v>
      </c>
    </row>
    <row r="1269" spans="1:1" x14ac:dyDescent="0.3">
      <c r="A1269">
        <v>112000</v>
      </c>
    </row>
    <row r="1270" spans="1:1" x14ac:dyDescent="0.3">
      <c r="A1270">
        <v>111250</v>
      </c>
    </row>
    <row r="1271" spans="1:1" x14ac:dyDescent="0.3">
      <c r="A1271">
        <v>111000</v>
      </c>
    </row>
    <row r="1272" spans="1:1" x14ac:dyDescent="0.3">
      <c r="A1272">
        <v>110500</v>
      </c>
    </row>
    <row r="1273" spans="1:1" x14ac:dyDescent="0.3">
      <c r="A1273">
        <v>110500</v>
      </c>
    </row>
    <row r="1274" spans="1:1" x14ac:dyDescent="0.3">
      <c r="A1274">
        <v>110000</v>
      </c>
    </row>
    <row r="1275" spans="1:1" x14ac:dyDescent="0.3">
      <c r="A1275">
        <v>110000</v>
      </c>
    </row>
    <row r="1276" spans="1:1" x14ac:dyDescent="0.3">
      <c r="A1276">
        <v>110000</v>
      </c>
    </row>
    <row r="1277" spans="1:1" x14ac:dyDescent="0.3">
      <c r="A1277">
        <v>110000</v>
      </c>
    </row>
    <row r="1278" spans="1:1" x14ac:dyDescent="0.3">
      <c r="A1278">
        <v>110000</v>
      </c>
    </row>
    <row r="1279" spans="1:1" x14ac:dyDescent="0.3">
      <c r="A1279">
        <v>110000</v>
      </c>
    </row>
    <row r="1280" spans="1:1" x14ac:dyDescent="0.3">
      <c r="A1280">
        <v>110000</v>
      </c>
    </row>
    <row r="1281" spans="1:1" x14ac:dyDescent="0.3">
      <c r="A1281">
        <v>110000</v>
      </c>
    </row>
    <row r="1282" spans="1:1" x14ac:dyDescent="0.3">
      <c r="A1282">
        <v>110000</v>
      </c>
    </row>
    <row r="1283" spans="1:1" x14ac:dyDescent="0.3">
      <c r="A1283">
        <v>110000</v>
      </c>
    </row>
    <row r="1284" spans="1:1" x14ac:dyDescent="0.3">
      <c r="A1284">
        <v>110000</v>
      </c>
    </row>
    <row r="1285" spans="1:1" x14ac:dyDescent="0.3">
      <c r="A1285">
        <v>110000</v>
      </c>
    </row>
    <row r="1286" spans="1:1" x14ac:dyDescent="0.3">
      <c r="A1286">
        <v>110000</v>
      </c>
    </row>
    <row r="1287" spans="1:1" x14ac:dyDescent="0.3">
      <c r="A1287">
        <v>109900</v>
      </c>
    </row>
    <row r="1288" spans="1:1" x14ac:dyDescent="0.3">
      <c r="A1288">
        <v>109900</v>
      </c>
    </row>
    <row r="1289" spans="1:1" x14ac:dyDescent="0.3">
      <c r="A1289">
        <v>109900</v>
      </c>
    </row>
    <row r="1290" spans="1:1" x14ac:dyDescent="0.3">
      <c r="A1290">
        <v>109500</v>
      </c>
    </row>
    <row r="1291" spans="1:1" x14ac:dyDescent="0.3">
      <c r="A1291">
        <v>109500</v>
      </c>
    </row>
    <row r="1292" spans="1:1" x14ac:dyDescent="0.3">
      <c r="A1292">
        <v>109500</v>
      </c>
    </row>
    <row r="1293" spans="1:1" x14ac:dyDescent="0.3">
      <c r="A1293">
        <v>109500</v>
      </c>
    </row>
    <row r="1294" spans="1:1" x14ac:dyDescent="0.3">
      <c r="A1294">
        <v>109008</v>
      </c>
    </row>
    <row r="1295" spans="1:1" x14ac:dyDescent="0.3">
      <c r="A1295">
        <v>109000</v>
      </c>
    </row>
    <row r="1296" spans="1:1" x14ac:dyDescent="0.3">
      <c r="A1296">
        <v>109000</v>
      </c>
    </row>
    <row r="1297" spans="1:1" x14ac:dyDescent="0.3">
      <c r="A1297">
        <v>108959</v>
      </c>
    </row>
    <row r="1298" spans="1:1" x14ac:dyDescent="0.3">
      <c r="A1298">
        <v>108500</v>
      </c>
    </row>
    <row r="1299" spans="1:1" x14ac:dyDescent="0.3">
      <c r="A1299">
        <v>108480</v>
      </c>
    </row>
    <row r="1300" spans="1:1" x14ac:dyDescent="0.3">
      <c r="A1300">
        <v>108000</v>
      </c>
    </row>
    <row r="1301" spans="1:1" x14ac:dyDescent="0.3">
      <c r="A1301">
        <v>108000</v>
      </c>
    </row>
    <row r="1302" spans="1:1" x14ac:dyDescent="0.3">
      <c r="A1302">
        <v>108000</v>
      </c>
    </row>
    <row r="1303" spans="1:1" x14ac:dyDescent="0.3">
      <c r="A1303">
        <v>108000</v>
      </c>
    </row>
    <row r="1304" spans="1:1" x14ac:dyDescent="0.3">
      <c r="A1304">
        <v>108000</v>
      </c>
    </row>
    <row r="1305" spans="1:1" x14ac:dyDescent="0.3">
      <c r="A1305">
        <v>108000</v>
      </c>
    </row>
    <row r="1306" spans="1:1" x14ac:dyDescent="0.3">
      <c r="A1306">
        <v>107900</v>
      </c>
    </row>
    <row r="1307" spans="1:1" x14ac:dyDescent="0.3">
      <c r="A1307">
        <v>107500</v>
      </c>
    </row>
    <row r="1308" spans="1:1" x14ac:dyDescent="0.3">
      <c r="A1308">
        <v>107500</v>
      </c>
    </row>
    <row r="1309" spans="1:1" x14ac:dyDescent="0.3">
      <c r="A1309">
        <v>107500</v>
      </c>
    </row>
    <row r="1310" spans="1:1" x14ac:dyDescent="0.3">
      <c r="A1310">
        <v>107400</v>
      </c>
    </row>
    <row r="1311" spans="1:1" x14ac:dyDescent="0.3">
      <c r="A1311">
        <v>107000</v>
      </c>
    </row>
    <row r="1312" spans="1:1" x14ac:dyDescent="0.3">
      <c r="A1312">
        <v>107000</v>
      </c>
    </row>
    <row r="1313" spans="1:1" x14ac:dyDescent="0.3">
      <c r="A1313">
        <v>107000</v>
      </c>
    </row>
    <row r="1314" spans="1:1" x14ac:dyDescent="0.3">
      <c r="A1314">
        <v>106500</v>
      </c>
    </row>
    <row r="1315" spans="1:1" x14ac:dyDescent="0.3">
      <c r="A1315">
        <v>106500</v>
      </c>
    </row>
    <row r="1316" spans="1:1" x14ac:dyDescent="0.3">
      <c r="A1316">
        <v>106250</v>
      </c>
    </row>
    <row r="1317" spans="1:1" x14ac:dyDescent="0.3">
      <c r="A1317">
        <v>106000</v>
      </c>
    </row>
    <row r="1318" spans="1:1" x14ac:dyDescent="0.3">
      <c r="A1318">
        <v>106000</v>
      </c>
    </row>
    <row r="1319" spans="1:1" x14ac:dyDescent="0.3">
      <c r="A1319">
        <v>106000</v>
      </c>
    </row>
    <row r="1320" spans="1:1" x14ac:dyDescent="0.3">
      <c r="A1320">
        <v>105900</v>
      </c>
    </row>
    <row r="1321" spans="1:1" x14ac:dyDescent="0.3">
      <c r="A1321">
        <v>105500</v>
      </c>
    </row>
    <row r="1322" spans="1:1" x14ac:dyDescent="0.3">
      <c r="A1322">
        <v>105000</v>
      </c>
    </row>
    <row r="1323" spans="1:1" x14ac:dyDescent="0.3">
      <c r="A1323">
        <v>105000</v>
      </c>
    </row>
    <row r="1324" spans="1:1" x14ac:dyDescent="0.3">
      <c r="A1324">
        <v>105000</v>
      </c>
    </row>
    <row r="1325" spans="1:1" x14ac:dyDescent="0.3">
      <c r="A1325">
        <v>105000</v>
      </c>
    </row>
    <row r="1326" spans="1:1" x14ac:dyDescent="0.3">
      <c r="A1326">
        <v>105000</v>
      </c>
    </row>
    <row r="1327" spans="1:1" x14ac:dyDescent="0.3">
      <c r="A1327">
        <v>104900</v>
      </c>
    </row>
    <row r="1328" spans="1:1" x14ac:dyDescent="0.3">
      <c r="A1328">
        <v>104900</v>
      </c>
    </row>
    <row r="1329" spans="1:1" x14ac:dyDescent="0.3">
      <c r="A1329">
        <v>104000</v>
      </c>
    </row>
    <row r="1330" spans="1:1" x14ac:dyDescent="0.3">
      <c r="A1330">
        <v>103600</v>
      </c>
    </row>
    <row r="1331" spans="1:1" x14ac:dyDescent="0.3">
      <c r="A1331">
        <v>103200</v>
      </c>
    </row>
    <row r="1332" spans="1:1" x14ac:dyDescent="0.3">
      <c r="A1332">
        <v>103000</v>
      </c>
    </row>
    <row r="1333" spans="1:1" x14ac:dyDescent="0.3">
      <c r="A1333">
        <v>102776</v>
      </c>
    </row>
    <row r="1334" spans="1:1" x14ac:dyDescent="0.3">
      <c r="A1334">
        <v>102000</v>
      </c>
    </row>
    <row r="1335" spans="1:1" x14ac:dyDescent="0.3">
      <c r="A1335">
        <v>102000</v>
      </c>
    </row>
    <row r="1336" spans="1:1" x14ac:dyDescent="0.3">
      <c r="A1336">
        <v>102000</v>
      </c>
    </row>
    <row r="1337" spans="1:1" x14ac:dyDescent="0.3">
      <c r="A1337">
        <v>101800</v>
      </c>
    </row>
    <row r="1338" spans="1:1" x14ac:dyDescent="0.3">
      <c r="A1338">
        <v>101000</v>
      </c>
    </row>
    <row r="1339" spans="1:1" x14ac:dyDescent="0.3">
      <c r="A1339">
        <v>100000</v>
      </c>
    </row>
    <row r="1340" spans="1:1" x14ac:dyDescent="0.3">
      <c r="A1340">
        <v>100000</v>
      </c>
    </row>
    <row r="1341" spans="1:1" x14ac:dyDescent="0.3">
      <c r="A1341">
        <v>100000</v>
      </c>
    </row>
    <row r="1342" spans="1:1" x14ac:dyDescent="0.3">
      <c r="A1342">
        <v>100000</v>
      </c>
    </row>
    <row r="1343" spans="1:1" x14ac:dyDescent="0.3">
      <c r="A1343">
        <v>100000</v>
      </c>
    </row>
    <row r="1344" spans="1:1" x14ac:dyDescent="0.3">
      <c r="A1344">
        <v>100000</v>
      </c>
    </row>
    <row r="1345" spans="1:1" x14ac:dyDescent="0.3">
      <c r="A1345">
        <v>100000</v>
      </c>
    </row>
    <row r="1346" spans="1:1" x14ac:dyDescent="0.3">
      <c r="A1346">
        <v>100000</v>
      </c>
    </row>
    <row r="1347" spans="1:1" x14ac:dyDescent="0.3">
      <c r="A1347">
        <v>100000</v>
      </c>
    </row>
    <row r="1348" spans="1:1" x14ac:dyDescent="0.3">
      <c r="A1348">
        <v>99900</v>
      </c>
    </row>
    <row r="1349" spans="1:1" x14ac:dyDescent="0.3">
      <c r="A1349">
        <v>99500</v>
      </c>
    </row>
    <row r="1350" spans="1:1" x14ac:dyDescent="0.3">
      <c r="A1350">
        <v>98600</v>
      </c>
    </row>
    <row r="1351" spans="1:1" x14ac:dyDescent="0.3">
      <c r="A1351">
        <v>98300</v>
      </c>
    </row>
    <row r="1352" spans="1:1" x14ac:dyDescent="0.3">
      <c r="A1352">
        <v>98000</v>
      </c>
    </row>
    <row r="1353" spans="1:1" x14ac:dyDescent="0.3">
      <c r="A1353">
        <v>98000</v>
      </c>
    </row>
    <row r="1354" spans="1:1" x14ac:dyDescent="0.3">
      <c r="A1354">
        <v>98000</v>
      </c>
    </row>
    <row r="1355" spans="1:1" x14ac:dyDescent="0.3">
      <c r="A1355">
        <v>97500</v>
      </c>
    </row>
    <row r="1356" spans="1:1" x14ac:dyDescent="0.3">
      <c r="A1356">
        <v>97000</v>
      </c>
    </row>
    <row r="1357" spans="1:1" x14ac:dyDescent="0.3">
      <c r="A1357">
        <v>97000</v>
      </c>
    </row>
    <row r="1358" spans="1:1" x14ac:dyDescent="0.3">
      <c r="A1358">
        <v>97000</v>
      </c>
    </row>
    <row r="1359" spans="1:1" x14ac:dyDescent="0.3">
      <c r="A1359">
        <v>96500</v>
      </c>
    </row>
    <row r="1360" spans="1:1" x14ac:dyDescent="0.3">
      <c r="A1360">
        <v>96500</v>
      </c>
    </row>
    <row r="1361" spans="1:1" x14ac:dyDescent="0.3">
      <c r="A1361">
        <v>95000</v>
      </c>
    </row>
    <row r="1362" spans="1:1" x14ac:dyDescent="0.3">
      <c r="A1362">
        <v>95000</v>
      </c>
    </row>
    <row r="1363" spans="1:1" x14ac:dyDescent="0.3">
      <c r="A1363">
        <v>94750</v>
      </c>
    </row>
    <row r="1364" spans="1:1" x14ac:dyDescent="0.3">
      <c r="A1364">
        <v>94500</v>
      </c>
    </row>
    <row r="1365" spans="1:1" x14ac:dyDescent="0.3">
      <c r="A1365">
        <v>94000</v>
      </c>
    </row>
    <row r="1366" spans="1:1" x14ac:dyDescent="0.3">
      <c r="A1366">
        <v>93500</v>
      </c>
    </row>
    <row r="1367" spans="1:1" x14ac:dyDescent="0.3">
      <c r="A1367">
        <v>93500</v>
      </c>
    </row>
    <row r="1368" spans="1:1" x14ac:dyDescent="0.3">
      <c r="A1368">
        <v>93000</v>
      </c>
    </row>
    <row r="1369" spans="1:1" x14ac:dyDescent="0.3">
      <c r="A1369">
        <v>93000</v>
      </c>
    </row>
    <row r="1370" spans="1:1" x14ac:dyDescent="0.3">
      <c r="A1370">
        <v>93000</v>
      </c>
    </row>
    <row r="1371" spans="1:1" x14ac:dyDescent="0.3">
      <c r="A1371">
        <v>92900</v>
      </c>
    </row>
    <row r="1372" spans="1:1" x14ac:dyDescent="0.3">
      <c r="A1372">
        <v>92000</v>
      </c>
    </row>
    <row r="1373" spans="1:1" x14ac:dyDescent="0.3">
      <c r="A1373">
        <v>91500</v>
      </c>
    </row>
    <row r="1374" spans="1:1" x14ac:dyDescent="0.3">
      <c r="A1374">
        <v>91500</v>
      </c>
    </row>
    <row r="1375" spans="1:1" x14ac:dyDescent="0.3">
      <c r="A1375">
        <v>91300</v>
      </c>
    </row>
    <row r="1376" spans="1:1" x14ac:dyDescent="0.3">
      <c r="A1376">
        <v>91000</v>
      </c>
    </row>
    <row r="1377" spans="1:1" x14ac:dyDescent="0.3">
      <c r="A1377">
        <v>91000</v>
      </c>
    </row>
    <row r="1378" spans="1:1" x14ac:dyDescent="0.3">
      <c r="A1378">
        <v>91000</v>
      </c>
    </row>
    <row r="1379" spans="1:1" x14ac:dyDescent="0.3">
      <c r="A1379">
        <v>90350</v>
      </c>
    </row>
    <row r="1380" spans="1:1" x14ac:dyDescent="0.3">
      <c r="A1380">
        <v>90000</v>
      </c>
    </row>
    <row r="1381" spans="1:1" x14ac:dyDescent="0.3">
      <c r="A1381">
        <v>90000</v>
      </c>
    </row>
    <row r="1382" spans="1:1" x14ac:dyDescent="0.3">
      <c r="A1382">
        <v>90000</v>
      </c>
    </row>
    <row r="1383" spans="1:1" x14ac:dyDescent="0.3">
      <c r="A1383">
        <v>89500</v>
      </c>
    </row>
    <row r="1384" spans="1:1" x14ac:dyDescent="0.3">
      <c r="A1384">
        <v>89500</v>
      </c>
    </row>
    <row r="1385" spans="1:1" x14ac:dyDescent="0.3">
      <c r="A1385">
        <v>89471</v>
      </c>
    </row>
    <row r="1386" spans="1:1" x14ac:dyDescent="0.3">
      <c r="A1386">
        <v>89000</v>
      </c>
    </row>
    <row r="1387" spans="1:1" x14ac:dyDescent="0.3">
      <c r="A1387">
        <v>88000</v>
      </c>
    </row>
    <row r="1388" spans="1:1" x14ac:dyDescent="0.3">
      <c r="A1388">
        <v>88000</v>
      </c>
    </row>
    <row r="1389" spans="1:1" x14ac:dyDescent="0.3">
      <c r="A1389">
        <v>88000</v>
      </c>
    </row>
    <row r="1390" spans="1:1" x14ac:dyDescent="0.3">
      <c r="A1390">
        <v>88000</v>
      </c>
    </row>
    <row r="1391" spans="1:1" x14ac:dyDescent="0.3">
      <c r="A1391">
        <v>87500</v>
      </c>
    </row>
    <row r="1392" spans="1:1" x14ac:dyDescent="0.3">
      <c r="A1392">
        <v>87000</v>
      </c>
    </row>
    <row r="1393" spans="1:1" x14ac:dyDescent="0.3">
      <c r="A1393">
        <v>87000</v>
      </c>
    </row>
    <row r="1394" spans="1:1" x14ac:dyDescent="0.3">
      <c r="A1394">
        <v>87000</v>
      </c>
    </row>
    <row r="1395" spans="1:1" x14ac:dyDescent="0.3">
      <c r="A1395">
        <v>87000</v>
      </c>
    </row>
    <row r="1396" spans="1:1" x14ac:dyDescent="0.3">
      <c r="A1396">
        <v>86000</v>
      </c>
    </row>
    <row r="1397" spans="1:1" x14ac:dyDescent="0.3">
      <c r="A1397">
        <v>86000</v>
      </c>
    </row>
    <row r="1398" spans="1:1" x14ac:dyDescent="0.3">
      <c r="A1398">
        <v>86000</v>
      </c>
    </row>
    <row r="1399" spans="1:1" x14ac:dyDescent="0.3">
      <c r="A1399">
        <v>85500</v>
      </c>
    </row>
    <row r="1400" spans="1:1" x14ac:dyDescent="0.3">
      <c r="A1400">
        <v>85400</v>
      </c>
    </row>
    <row r="1401" spans="1:1" x14ac:dyDescent="0.3">
      <c r="A1401">
        <v>85000</v>
      </c>
    </row>
    <row r="1402" spans="1:1" x14ac:dyDescent="0.3">
      <c r="A1402">
        <v>85000</v>
      </c>
    </row>
    <row r="1403" spans="1:1" x14ac:dyDescent="0.3">
      <c r="A1403">
        <v>85000</v>
      </c>
    </row>
    <row r="1404" spans="1:1" x14ac:dyDescent="0.3">
      <c r="A1404">
        <v>85000</v>
      </c>
    </row>
    <row r="1405" spans="1:1" x14ac:dyDescent="0.3">
      <c r="A1405">
        <v>84900</v>
      </c>
    </row>
    <row r="1406" spans="1:1" x14ac:dyDescent="0.3">
      <c r="A1406">
        <v>84500</v>
      </c>
    </row>
    <row r="1407" spans="1:1" x14ac:dyDescent="0.3">
      <c r="A1407">
        <v>84500</v>
      </c>
    </row>
    <row r="1408" spans="1:1" x14ac:dyDescent="0.3">
      <c r="A1408">
        <v>84500</v>
      </c>
    </row>
    <row r="1409" spans="1:1" x14ac:dyDescent="0.3">
      <c r="A1409">
        <v>84000</v>
      </c>
    </row>
    <row r="1410" spans="1:1" x14ac:dyDescent="0.3">
      <c r="A1410">
        <v>83500</v>
      </c>
    </row>
    <row r="1411" spans="1:1" x14ac:dyDescent="0.3">
      <c r="A1411">
        <v>83000</v>
      </c>
    </row>
    <row r="1412" spans="1:1" x14ac:dyDescent="0.3">
      <c r="A1412">
        <v>83000</v>
      </c>
    </row>
    <row r="1413" spans="1:1" x14ac:dyDescent="0.3">
      <c r="A1413">
        <v>82500</v>
      </c>
    </row>
    <row r="1414" spans="1:1" x14ac:dyDescent="0.3">
      <c r="A1414">
        <v>82500</v>
      </c>
    </row>
    <row r="1415" spans="1:1" x14ac:dyDescent="0.3">
      <c r="A1415">
        <v>82500</v>
      </c>
    </row>
    <row r="1416" spans="1:1" x14ac:dyDescent="0.3">
      <c r="A1416">
        <v>82000</v>
      </c>
    </row>
    <row r="1417" spans="1:1" x14ac:dyDescent="0.3">
      <c r="A1417">
        <v>82000</v>
      </c>
    </row>
    <row r="1418" spans="1:1" x14ac:dyDescent="0.3">
      <c r="A1418">
        <v>82000</v>
      </c>
    </row>
    <row r="1419" spans="1:1" x14ac:dyDescent="0.3">
      <c r="A1419">
        <v>81000</v>
      </c>
    </row>
    <row r="1420" spans="1:1" x14ac:dyDescent="0.3">
      <c r="A1420">
        <v>81000</v>
      </c>
    </row>
    <row r="1421" spans="1:1" x14ac:dyDescent="0.3">
      <c r="A1421">
        <v>81000</v>
      </c>
    </row>
    <row r="1422" spans="1:1" x14ac:dyDescent="0.3">
      <c r="A1422">
        <v>80500</v>
      </c>
    </row>
    <row r="1423" spans="1:1" x14ac:dyDescent="0.3">
      <c r="A1423">
        <v>80000</v>
      </c>
    </row>
    <row r="1424" spans="1:1" x14ac:dyDescent="0.3">
      <c r="A1424">
        <v>80000</v>
      </c>
    </row>
    <row r="1425" spans="1:1" x14ac:dyDescent="0.3">
      <c r="A1425">
        <v>80000</v>
      </c>
    </row>
    <row r="1426" spans="1:1" x14ac:dyDescent="0.3">
      <c r="A1426">
        <v>80000</v>
      </c>
    </row>
    <row r="1427" spans="1:1" x14ac:dyDescent="0.3">
      <c r="A1427">
        <v>79900</v>
      </c>
    </row>
    <row r="1428" spans="1:1" x14ac:dyDescent="0.3">
      <c r="A1428">
        <v>79900</v>
      </c>
    </row>
    <row r="1429" spans="1:1" x14ac:dyDescent="0.3">
      <c r="A1429">
        <v>79500</v>
      </c>
    </row>
    <row r="1430" spans="1:1" x14ac:dyDescent="0.3">
      <c r="A1430">
        <v>79000</v>
      </c>
    </row>
    <row r="1431" spans="1:1" x14ac:dyDescent="0.3">
      <c r="A1431">
        <v>79000</v>
      </c>
    </row>
    <row r="1432" spans="1:1" x14ac:dyDescent="0.3">
      <c r="A1432">
        <v>79000</v>
      </c>
    </row>
    <row r="1433" spans="1:1" x14ac:dyDescent="0.3">
      <c r="A1433">
        <v>78000</v>
      </c>
    </row>
    <row r="1434" spans="1:1" x14ac:dyDescent="0.3">
      <c r="A1434">
        <v>76500</v>
      </c>
    </row>
    <row r="1435" spans="1:1" x14ac:dyDescent="0.3">
      <c r="A1435">
        <v>76000</v>
      </c>
    </row>
    <row r="1436" spans="1:1" x14ac:dyDescent="0.3">
      <c r="A1436">
        <v>75500</v>
      </c>
    </row>
    <row r="1437" spans="1:1" x14ac:dyDescent="0.3">
      <c r="A1437">
        <v>75000</v>
      </c>
    </row>
    <row r="1438" spans="1:1" x14ac:dyDescent="0.3">
      <c r="A1438">
        <v>73000</v>
      </c>
    </row>
    <row r="1439" spans="1:1" x14ac:dyDescent="0.3">
      <c r="A1439">
        <v>72500</v>
      </c>
    </row>
    <row r="1440" spans="1:1" x14ac:dyDescent="0.3">
      <c r="A1440">
        <v>68500</v>
      </c>
    </row>
    <row r="1441" spans="1:1" x14ac:dyDescent="0.3">
      <c r="A1441">
        <v>68400</v>
      </c>
    </row>
    <row r="1442" spans="1:1" x14ac:dyDescent="0.3">
      <c r="A1442">
        <v>67000</v>
      </c>
    </row>
    <row r="1443" spans="1:1" x14ac:dyDescent="0.3">
      <c r="A1443">
        <v>67000</v>
      </c>
    </row>
    <row r="1444" spans="1:1" x14ac:dyDescent="0.3">
      <c r="A1444">
        <v>66500</v>
      </c>
    </row>
    <row r="1445" spans="1:1" x14ac:dyDescent="0.3">
      <c r="A1445">
        <v>64500</v>
      </c>
    </row>
    <row r="1446" spans="1:1" x14ac:dyDescent="0.3">
      <c r="A1446">
        <v>62383</v>
      </c>
    </row>
    <row r="1447" spans="1:1" x14ac:dyDescent="0.3">
      <c r="A1447">
        <v>61000</v>
      </c>
    </row>
    <row r="1448" spans="1:1" x14ac:dyDescent="0.3">
      <c r="A1448">
        <v>60000</v>
      </c>
    </row>
    <row r="1449" spans="1:1" x14ac:dyDescent="0.3">
      <c r="A1449">
        <v>60000</v>
      </c>
    </row>
    <row r="1450" spans="1:1" x14ac:dyDescent="0.3">
      <c r="A1450">
        <v>60000</v>
      </c>
    </row>
    <row r="1451" spans="1:1" x14ac:dyDescent="0.3">
      <c r="A1451">
        <v>58500</v>
      </c>
    </row>
    <row r="1452" spans="1:1" x14ac:dyDescent="0.3">
      <c r="A1452">
        <v>55993</v>
      </c>
    </row>
    <row r="1453" spans="1:1" x14ac:dyDescent="0.3">
      <c r="A1453">
        <v>55000</v>
      </c>
    </row>
    <row r="1454" spans="1:1" x14ac:dyDescent="0.3">
      <c r="A1454">
        <v>55000</v>
      </c>
    </row>
    <row r="1455" spans="1:1" x14ac:dyDescent="0.3">
      <c r="A1455">
        <v>52500</v>
      </c>
    </row>
    <row r="1456" spans="1:1" x14ac:dyDescent="0.3">
      <c r="A1456">
        <v>52000</v>
      </c>
    </row>
    <row r="1457" spans="1:1" x14ac:dyDescent="0.3">
      <c r="A1457">
        <v>40000</v>
      </c>
    </row>
    <row r="1458" spans="1:1" x14ac:dyDescent="0.3">
      <c r="A1458">
        <v>39300</v>
      </c>
    </row>
    <row r="1459" spans="1:1" x14ac:dyDescent="0.3">
      <c r="A1459">
        <v>37900</v>
      </c>
    </row>
    <row r="1460" spans="1:1" x14ac:dyDescent="0.3">
      <c r="A1460">
        <v>35311</v>
      </c>
    </row>
    <row r="1461" spans="1:1" x14ac:dyDescent="0.3">
      <c r="A1461">
        <v>34900</v>
      </c>
    </row>
  </sheetData>
  <sortState xmlns:xlrd2="http://schemas.microsoft.com/office/spreadsheetml/2017/richdata2" ref="A2:A1461">
    <sortCondition descending="1" ref="A2:A1461"/>
  </sortState>
  <mergeCells count="1">
    <mergeCell ref="C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Analysis1</vt:lpstr>
      <vt:lpstr>Analysis2</vt:lpstr>
      <vt:lpstr>Analysis3</vt:lpstr>
      <vt:lpstr>Analysis4</vt:lpstr>
      <vt:lpstr>Analysis5</vt:lpstr>
      <vt:lpstr>Analysis6</vt:lpstr>
      <vt:lpstr>Analysis7</vt:lpstr>
      <vt:lpstr>Analysis8</vt:lpstr>
      <vt:lpstr>Analysis9</vt:lpstr>
      <vt:lpstr>Analysis10</vt:lpstr>
      <vt:lpstr>Analysis11</vt:lpstr>
      <vt:lpstr>Analysis12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Dharmi Shah</cp:lastModifiedBy>
  <dcterms:created xsi:type="dcterms:W3CDTF">2026-09-27T09:58:09Z</dcterms:created>
  <dcterms:modified xsi:type="dcterms:W3CDTF">2026-09-30T18:42:06Z</dcterms:modified>
</cp:coreProperties>
</file>